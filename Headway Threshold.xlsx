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6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2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2.xml" ContentType="application/vnd.openxmlformats-officedocument.drawing+xml"/>
  <Override PartName="/xl/charts/chart2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2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4.xml" ContentType="application/vnd.openxmlformats-officedocument.drawing+xml"/>
  <Override PartName="/xl/charts/chart3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5.xml" ContentType="application/vnd.openxmlformats-officedocument.drawing+xml"/>
  <Override PartName="/xl/charts/chart3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6.xml" ContentType="application/vnd.openxmlformats-officedocument.drawing+xml"/>
  <Override PartName="/xl/charts/chart3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3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7.xml" ContentType="application/vnd.openxmlformats-officedocument.drawing+xml"/>
  <Override PartName="/xl/charts/chart3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3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Ex8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SFR Repo\"/>
    </mc:Choice>
  </mc:AlternateContent>
  <xr:revisionPtr revIDLastSave="0" documentId="13_ncr:1_{80796340-8D50-4A19-B7AA-B6468349AF65}" xr6:coauthVersionLast="47" xr6:coauthVersionMax="47" xr10:uidLastSave="{00000000-0000-0000-0000-000000000000}"/>
  <bookViews>
    <workbookView xWindow="1860" yWindow="690" windowWidth="26940" windowHeight="14835" activeTab="1" xr2:uid="{80783DB7-BC27-47E9-B7DE-00D5A97FF2A0}"/>
  </bookViews>
  <sheets>
    <sheet name="Speed" sheetId="21" r:id="rId1"/>
    <sheet name="Cars L2+3" sheetId="2" r:id="rId2"/>
    <sheet name="Bike L3" sheetId="20" r:id="rId3"/>
    <sheet name="3.35" sheetId="1" r:id="rId4"/>
    <sheet name="3.01" sheetId="3" r:id="rId5"/>
    <sheet name="3.40" sheetId="4" r:id="rId6"/>
    <sheet name="8.15" sheetId="5" r:id="rId7"/>
    <sheet name="8.58" sheetId="6" r:id="rId8"/>
    <sheet name="9.03" sheetId="7" r:id="rId9"/>
    <sheet name="12.07" sheetId="8" r:id="rId10"/>
    <sheet name="12.16" sheetId="9" r:id="rId11"/>
    <sheet name="13.00" sheetId="11" r:id="rId12"/>
    <sheet name="13.04" sheetId="12" r:id="rId13"/>
    <sheet name="17.02" sheetId="13" r:id="rId14"/>
    <sheet name="17.11" sheetId="14" r:id="rId15"/>
    <sheet name="17.21" sheetId="15" r:id="rId16"/>
    <sheet name="Cars L2" sheetId="19" r:id="rId17"/>
  </sheets>
  <definedNames>
    <definedName name="_xlchart.v1.0" hidden="1">Speed!$D$2:$D$273</definedName>
    <definedName name="_xlchart.v1.1" hidden="1">Speed!$F$2:$F$273</definedName>
    <definedName name="_xlchart.v1.2" hidden="1">Speed!$A$2:$A$488</definedName>
    <definedName name="_xlchart.v1.3" hidden="1">Speed!$C$2:$C$273</definedName>
    <definedName name="_xlchart.v1.4" hidden="1">Speed!$B$2:$B$467</definedName>
    <definedName name="_xlchart.v1.5" hidden="1">Speed!$C$2:$C$273</definedName>
    <definedName name="_xlchart.v1.6" hidden="1">Speed!$D$2:$D$273</definedName>
    <definedName name="_xlchart.v1.7" hidden="1">'Cars L2'!$G$3:$G$101</definedName>
    <definedName name="_xlnm.Print_Area" localSheetId="2">'Bike L3'!$P$37:$AB$53</definedName>
    <definedName name="_xlnm.Print_Area" localSheetId="1">'Cars L2+3'!$M$46:$Z$61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0" l="1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3" i="20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F2" i="21" a="1"/>
  <c r="F2" i="21" s="1"/>
  <c r="W88" i="21" s="1"/>
  <c r="X88" i="21" s="1"/>
  <c r="E2" i="21" a="1"/>
  <c r="E2" i="21" s="1"/>
  <c r="D2" i="21" a="1"/>
  <c r="D2" i="21" s="1"/>
  <c r="C2" i="21" a="1"/>
  <c r="C2" i="21" s="1"/>
  <c r="B2" i="21" a="1"/>
  <c r="B2" i="21" s="1"/>
  <c r="A2" i="21" a="1"/>
  <c r="W82" i="21" l="1"/>
  <c r="W37" i="21"/>
  <c r="X37" i="21" s="1"/>
  <c r="W60" i="21"/>
  <c r="W36" i="21"/>
  <c r="W59" i="21"/>
  <c r="W35" i="21"/>
  <c r="W58" i="21"/>
  <c r="W83" i="21"/>
  <c r="X83" i="21" s="1"/>
  <c r="W34" i="21"/>
  <c r="W57" i="21"/>
  <c r="W84" i="21"/>
  <c r="X84" i="21" s="1"/>
  <c r="W33" i="21"/>
  <c r="W85" i="21"/>
  <c r="X85" i="21" s="1"/>
  <c r="W86" i="21"/>
  <c r="X86" i="21" s="1"/>
  <c r="W87" i="21"/>
  <c r="X87" i="21" s="1"/>
  <c r="W32" i="21"/>
  <c r="W56" i="21"/>
  <c r="W63" i="21"/>
  <c r="X63" i="21" s="1"/>
  <c r="W62" i="21"/>
  <c r="X62" i="21" s="1"/>
  <c r="W31" i="21"/>
  <c r="W38" i="21"/>
  <c r="X38" i="21" s="1"/>
  <c r="W61" i="21"/>
  <c r="X61" i="21" s="1"/>
  <c r="X82" i="21"/>
  <c r="Z10" i="21"/>
  <c r="Z13" i="21"/>
  <c r="A2" i="21"/>
  <c r="Z11" i="21" s="1"/>
  <c r="Z8" i="21"/>
  <c r="Z14" i="21"/>
  <c r="Z9" i="2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4" i="1"/>
  <c r="K18" i="15"/>
  <c r="K17" i="15"/>
  <c r="K16" i="15"/>
  <c r="K18" i="14"/>
  <c r="K17" i="14"/>
  <c r="K16" i="14"/>
  <c r="K49" i="15"/>
  <c r="K48" i="15"/>
  <c r="K47" i="15"/>
  <c r="K49" i="14"/>
  <c r="K48" i="14"/>
  <c r="K47" i="14"/>
  <c r="K49" i="13"/>
  <c r="K48" i="13"/>
  <c r="K47" i="13"/>
  <c r="K49" i="12"/>
  <c r="K48" i="12"/>
  <c r="K47" i="12"/>
  <c r="K49" i="11"/>
  <c r="K48" i="11"/>
  <c r="K47" i="11"/>
  <c r="K49" i="9"/>
  <c r="K48" i="9"/>
  <c r="K47" i="9"/>
  <c r="K49" i="8"/>
  <c r="K48" i="8"/>
  <c r="K47" i="8"/>
  <c r="K49" i="7"/>
  <c r="K48" i="7"/>
  <c r="K47" i="7"/>
  <c r="K49" i="6"/>
  <c r="K48" i="6"/>
  <c r="K47" i="6"/>
  <c r="K49" i="5"/>
  <c r="K48" i="5"/>
  <c r="K47" i="5"/>
  <c r="K49" i="4"/>
  <c r="K48" i="4"/>
  <c r="K47" i="4"/>
  <c r="K49" i="3"/>
  <c r="K48" i="3"/>
  <c r="K47" i="3"/>
  <c r="K18" i="13"/>
  <c r="K17" i="13"/>
  <c r="K16" i="13"/>
  <c r="K18" i="12"/>
  <c r="K17" i="12"/>
  <c r="K16" i="12"/>
  <c r="K18" i="11"/>
  <c r="K17" i="11"/>
  <c r="K16" i="11"/>
  <c r="K18" i="9"/>
  <c r="K17" i="9"/>
  <c r="K16" i="9"/>
  <c r="K18" i="8"/>
  <c r="K17" i="8"/>
  <c r="K16" i="8"/>
  <c r="K18" i="7"/>
  <c r="K17" i="7"/>
  <c r="K16" i="7"/>
  <c r="K18" i="6"/>
  <c r="K17" i="6"/>
  <c r="K16" i="6"/>
  <c r="K18" i="5"/>
  <c r="K17" i="5"/>
  <c r="K16" i="5"/>
  <c r="K18" i="4"/>
  <c r="K17" i="4"/>
  <c r="K16" i="4"/>
  <c r="K18" i="3"/>
  <c r="K17" i="3"/>
  <c r="K16" i="3"/>
  <c r="K17" i="1"/>
  <c r="K18" i="1"/>
  <c r="K16" i="1"/>
  <c r="K48" i="1"/>
  <c r="K49" i="1"/>
  <c r="K47" i="1"/>
  <c r="D46" i="1"/>
  <c r="F46" i="1" s="1"/>
  <c r="M5" i="20"/>
  <c r="M6" i="20"/>
  <c r="M7" i="20"/>
  <c r="M8" i="20"/>
  <c r="M9" i="20"/>
  <c r="M10" i="20"/>
  <c r="M11" i="20"/>
  <c r="M12" i="20"/>
  <c r="M13" i="20"/>
  <c r="M4" i="20"/>
  <c r="H12" i="20"/>
  <c r="H26" i="20"/>
  <c r="H27" i="20"/>
  <c r="H28" i="20"/>
  <c r="H25" i="20"/>
  <c r="D69" i="7"/>
  <c r="D70" i="7"/>
  <c r="D71" i="7"/>
  <c r="D72" i="7"/>
  <c r="D73" i="7"/>
  <c r="D74" i="7"/>
  <c r="H21" i="20"/>
  <c r="H22" i="20"/>
  <c r="H23" i="20"/>
  <c r="H24" i="20"/>
  <c r="H6" i="20"/>
  <c r="H7" i="20"/>
  <c r="H8" i="20"/>
  <c r="H9" i="20"/>
  <c r="H10" i="20"/>
  <c r="H11" i="20"/>
  <c r="H13" i="20"/>
  <c r="H14" i="20"/>
  <c r="H15" i="20"/>
  <c r="H16" i="20"/>
  <c r="H17" i="20"/>
  <c r="H18" i="20"/>
  <c r="H19" i="20"/>
  <c r="H20" i="20"/>
  <c r="X57" i="21" l="1"/>
  <c r="X34" i="21"/>
  <c r="X31" i="21"/>
  <c r="X58" i="21"/>
  <c r="X35" i="21"/>
  <c r="X56" i="21"/>
  <c r="X59" i="21"/>
  <c r="X36" i="21"/>
  <c r="X32" i="21"/>
  <c r="Z12" i="21"/>
  <c r="AA12" i="21" s="1"/>
  <c r="X60" i="21"/>
  <c r="Z15" i="21"/>
  <c r="AA15" i="21" s="1"/>
  <c r="X33" i="21"/>
  <c r="W81" i="21"/>
  <c r="X81" i="21" s="1"/>
  <c r="H3" i="20"/>
  <c r="H4" i="20"/>
  <c r="H5" i="20"/>
  <c r="N52" i="20"/>
  <c r="N51" i="20"/>
  <c r="N50" i="20"/>
  <c r="N49" i="20"/>
  <c r="N48" i="20"/>
  <c r="N46" i="20"/>
  <c r="N47" i="20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M65" i="19"/>
  <c r="H55" i="19"/>
  <c r="M64" i="19"/>
  <c r="H54" i="19"/>
  <c r="M63" i="19"/>
  <c r="H53" i="19"/>
  <c r="M62" i="19"/>
  <c r="H52" i="19"/>
  <c r="M61" i="19"/>
  <c r="H51" i="19"/>
  <c r="M59" i="19"/>
  <c r="M60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L13" i="19"/>
  <c r="L12" i="19"/>
  <c r="L11" i="19"/>
  <c r="H11" i="19"/>
  <c r="L10" i="19"/>
  <c r="H10" i="19"/>
  <c r="L9" i="19"/>
  <c r="H9" i="19"/>
  <c r="L8" i="19"/>
  <c r="H8" i="19"/>
  <c r="L7" i="19"/>
  <c r="H7" i="19"/>
  <c r="L6" i="19"/>
  <c r="H6" i="19"/>
  <c r="L5" i="19"/>
  <c r="H5" i="19"/>
  <c r="L4" i="19"/>
  <c r="H4" i="19"/>
  <c r="H3" i="19"/>
  <c r="M4" i="2"/>
  <c r="AA8" i="21" l="1"/>
  <c r="AA9" i="21"/>
  <c r="AA10" i="21"/>
  <c r="AA13" i="21"/>
  <c r="AA11" i="21"/>
  <c r="AA14" i="21"/>
  <c r="Q43" i="20"/>
  <c r="V43" i="20" s="1"/>
  <c r="Q50" i="20"/>
  <c r="Q45" i="20"/>
  <c r="Q47" i="20"/>
  <c r="Q42" i="20"/>
  <c r="Q49" i="20"/>
  <c r="Q44" i="20"/>
  <c r="Q51" i="20"/>
  <c r="Q46" i="20"/>
  <c r="Q48" i="20"/>
  <c r="M52" i="19"/>
  <c r="R52" i="19" s="1"/>
  <c r="M44" i="19"/>
  <c r="O44" i="19" s="1"/>
  <c r="M46" i="19"/>
  <c r="M49" i="19"/>
  <c r="M43" i="19"/>
  <c r="M45" i="19"/>
  <c r="M51" i="19"/>
  <c r="M48" i="19"/>
  <c r="M47" i="19"/>
  <c r="M50" i="19"/>
  <c r="N69" i="2"/>
  <c r="N68" i="2"/>
  <c r="N67" i="2"/>
  <c r="N66" i="2"/>
  <c r="N64" i="2"/>
  <c r="N65" i="2"/>
  <c r="N63" i="2"/>
  <c r="F56" i="15"/>
  <c r="F57" i="15"/>
  <c r="F58" i="15"/>
  <c r="F59" i="15"/>
  <c r="F60" i="15"/>
  <c r="F61" i="15"/>
  <c r="D56" i="15"/>
  <c r="D57" i="15"/>
  <c r="D58" i="15"/>
  <c r="D59" i="15"/>
  <c r="D60" i="15"/>
  <c r="D61" i="15"/>
  <c r="Y56" i="15"/>
  <c r="Y55" i="15"/>
  <c r="D55" i="15"/>
  <c r="F55" i="15" s="1"/>
  <c r="Y54" i="15"/>
  <c r="D54" i="15"/>
  <c r="F54" i="15" s="1"/>
  <c r="Y53" i="15"/>
  <c r="D53" i="15"/>
  <c r="F53" i="15" s="1"/>
  <c r="Y52" i="15"/>
  <c r="D52" i="15"/>
  <c r="F52" i="15" s="1"/>
  <c r="Y51" i="15"/>
  <c r="D51" i="15"/>
  <c r="F51" i="15" s="1"/>
  <c r="Y50" i="15"/>
  <c r="D50" i="15"/>
  <c r="F50" i="15" s="1"/>
  <c r="Y49" i="15"/>
  <c r="D49" i="15"/>
  <c r="F49" i="15" s="1"/>
  <c r="Y48" i="15"/>
  <c r="D48" i="15"/>
  <c r="F48" i="15" s="1"/>
  <c r="Y47" i="15"/>
  <c r="D47" i="15"/>
  <c r="F47" i="15" s="1"/>
  <c r="Y46" i="15"/>
  <c r="D46" i="15"/>
  <c r="F46" i="15" s="1"/>
  <c r="Y45" i="15"/>
  <c r="D45" i="15"/>
  <c r="F45" i="15" s="1"/>
  <c r="Y44" i="15"/>
  <c r="D44" i="15"/>
  <c r="F44" i="15" s="1"/>
  <c r="Y43" i="15"/>
  <c r="D43" i="15"/>
  <c r="F43" i="15" s="1"/>
  <c r="Y42" i="15"/>
  <c r="D42" i="15"/>
  <c r="F42" i="15" s="1"/>
  <c r="Y41" i="15"/>
  <c r="D41" i="15"/>
  <c r="F41" i="15" s="1"/>
  <c r="Y40" i="15"/>
  <c r="D40" i="15"/>
  <c r="F40" i="15" s="1"/>
  <c r="Y39" i="15"/>
  <c r="D39" i="15"/>
  <c r="F39" i="15" s="1"/>
  <c r="Y38" i="15"/>
  <c r="D38" i="15"/>
  <c r="F38" i="15" s="1"/>
  <c r="Y37" i="15"/>
  <c r="D37" i="15"/>
  <c r="Y36" i="15"/>
  <c r="D36" i="15"/>
  <c r="Y35" i="15"/>
  <c r="Y34" i="15"/>
  <c r="AA27" i="15"/>
  <c r="Z27" i="15"/>
  <c r="Y27" i="15"/>
  <c r="X27" i="15"/>
  <c r="X26" i="15"/>
  <c r="AA26" i="15"/>
  <c r="Z26" i="15"/>
  <c r="Y26" i="15"/>
  <c r="AA25" i="15"/>
  <c r="Z25" i="15"/>
  <c r="Y25" i="15"/>
  <c r="X25" i="15"/>
  <c r="X24" i="15"/>
  <c r="AA24" i="15"/>
  <c r="Z24" i="15"/>
  <c r="Y24" i="15"/>
  <c r="AA23" i="15"/>
  <c r="Z23" i="15"/>
  <c r="Y23" i="15"/>
  <c r="X22" i="15"/>
  <c r="AA22" i="15"/>
  <c r="Z22" i="15"/>
  <c r="Y22" i="15"/>
  <c r="AA21" i="15"/>
  <c r="Z21" i="15"/>
  <c r="Y21" i="15"/>
  <c r="AA20" i="15"/>
  <c r="Z20" i="15"/>
  <c r="Y20" i="15"/>
  <c r="X20" i="15"/>
  <c r="AA19" i="15"/>
  <c r="Z19" i="15"/>
  <c r="Y19" i="15"/>
  <c r="X18" i="15"/>
  <c r="AA18" i="15"/>
  <c r="Z18" i="15"/>
  <c r="Y18" i="15"/>
  <c r="D18" i="15"/>
  <c r="X17" i="15" s="1"/>
  <c r="AA17" i="15"/>
  <c r="Z17" i="15"/>
  <c r="Y17" i="15"/>
  <c r="D17" i="15"/>
  <c r="F17" i="15" s="1"/>
  <c r="AA16" i="15"/>
  <c r="Z16" i="15"/>
  <c r="Y16" i="15"/>
  <c r="X16" i="15"/>
  <c r="F16" i="15"/>
  <c r="D16" i="15"/>
  <c r="X15" i="15" s="1"/>
  <c r="AA15" i="15"/>
  <c r="Z15" i="15"/>
  <c r="Y15" i="15"/>
  <c r="D15" i="15"/>
  <c r="F15" i="15" s="1"/>
  <c r="AA14" i="15"/>
  <c r="Z14" i="15"/>
  <c r="Y14" i="15"/>
  <c r="D14" i="15"/>
  <c r="F14" i="15" s="1"/>
  <c r="AA13" i="15"/>
  <c r="Z13" i="15"/>
  <c r="Y13" i="15"/>
  <c r="D13" i="15"/>
  <c r="X12" i="15" s="1"/>
  <c r="AA12" i="15"/>
  <c r="Z12" i="15"/>
  <c r="Y12" i="15"/>
  <c r="D12" i="15"/>
  <c r="F12" i="15" s="1"/>
  <c r="AA11" i="15"/>
  <c r="Z11" i="15"/>
  <c r="Y11" i="15"/>
  <c r="D11" i="15"/>
  <c r="F11" i="15" s="1"/>
  <c r="AA10" i="15"/>
  <c r="Z10" i="15"/>
  <c r="Y10" i="15"/>
  <c r="D10" i="15"/>
  <c r="X9" i="15" s="1"/>
  <c r="AA9" i="15"/>
  <c r="Z9" i="15"/>
  <c r="Y9" i="15"/>
  <c r="D9" i="15"/>
  <c r="F9" i="15" s="1"/>
  <c r="AA8" i="15"/>
  <c r="Z8" i="15"/>
  <c r="Y8" i="15"/>
  <c r="D8" i="15"/>
  <c r="F8" i="15" s="1"/>
  <c r="AA7" i="15"/>
  <c r="Z7" i="15"/>
  <c r="Y7" i="15"/>
  <c r="D7" i="15"/>
  <c r="X6" i="15" s="1"/>
  <c r="AA6" i="15"/>
  <c r="Z6" i="15"/>
  <c r="Y6" i="15"/>
  <c r="D6" i="15"/>
  <c r="F6" i="15" s="1"/>
  <c r="AA5" i="15"/>
  <c r="Z5" i="15"/>
  <c r="Y5" i="15"/>
  <c r="D5" i="15"/>
  <c r="F5" i="15" s="1"/>
  <c r="AA4" i="15"/>
  <c r="Z4" i="15"/>
  <c r="Y4" i="15"/>
  <c r="D4" i="15"/>
  <c r="AA3" i="15"/>
  <c r="Z3" i="15"/>
  <c r="Y3" i="15"/>
  <c r="F56" i="14"/>
  <c r="F57" i="14"/>
  <c r="F58" i="14"/>
  <c r="F59" i="14"/>
  <c r="F60" i="14"/>
  <c r="F61" i="14"/>
  <c r="F62" i="14"/>
  <c r="F63" i="14"/>
  <c r="F64" i="14"/>
  <c r="D56" i="14"/>
  <c r="D57" i="14"/>
  <c r="D58" i="14"/>
  <c r="D59" i="14"/>
  <c r="D60" i="14"/>
  <c r="D61" i="14"/>
  <c r="D62" i="14"/>
  <c r="D63" i="14"/>
  <c r="D64" i="14"/>
  <c r="Y56" i="14"/>
  <c r="Y55" i="14"/>
  <c r="D55" i="14"/>
  <c r="F55" i="14" s="1"/>
  <c r="Y54" i="14"/>
  <c r="D54" i="14"/>
  <c r="F54" i="14" s="1"/>
  <c r="Y53" i="14"/>
  <c r="D53" i="14"/>
  <c r="F53" i="14" s="1"/>
  <c r="Y52" i="14"/>
  <c r="D52" i="14"/>
  <c r="F52" i="14" s="1"/>
  <c r="Y51" i="14"/>
  <c r="D51" i="14"/>
  <c r="F51" i="14" s="1"/>
  <c r="Y50" i="14"/>
  <c r="D50" i="14"/>
  <c r="F50" i="14" s="1"/>
  <c r="Y49" i="14"/>
  <c r="D49" i="14"/>
  <c r="F49" i="14" s="1"/>
  <c r="Y48" i="14"/>
  <c r="D48" i="14"/>
  <c r="F48" i="14" s="1"/>
  <c r="Y47" i="14"/>
  <c r="D47" i="14"/>
  <c r="F47" i="14" s="1"/>
  <c r="Y46" i="14"/>
  <c r="D46" i="14"/>
  <c r="F46" i="14" s="1"/>
  <c r="Y45" i="14"/>
  <c r="D45" i="14"/>
  <c r="F45" i="14" s="1"/>
  <c r="Y44" i="14"/>
  <c r="D44" i="14"/>
  <c r="F44" i="14" s="1"/>
  <c r="Y43" i="14"/>
  <c r="D43" i="14"/>
  <c r="F43" i="14" s="1"/>
  <c r="Y42" i="14"/>
  <c r="D42" i="14"/>
  <c r="F42" i="14" s="1"/>
  <c r="Y41" i="14"/>
  <c r="F41" i="14"/>
  <c r="D41" i="14"/>
  <c r="Y40" i="14"/>
  <c r="D40" i="14"/>
  <c r="F40" i="14" s="1"/>
  <c r="Y39" i="14"/>
  <c r="D39" i="14"/>
  <c r="F39" i="14" s="1"/>
  <c r="Y38" i="14"/>
  <c r="D38" i="14"/>
  <c r="F38" i="14" s="1"/>
  <c r="Y37" i="14"/>
  <c r="F37" i="14"/>
  <c r="D37" i="14"/>
  <c r="Y36" i="14"/>
  <c r="D36" i="14"/>
  <c r="Y35" i="14"/>
  <c r="Y34" i="14"/>
  <c r="AA27" i="14"/>
  <c r="Z27" i="14"/>
  <c r="Y27" i="14"/>
  <c r="X27" i="14"/>
  <c r="AA26" i="14"/>
  <c r="Z26" i="14"/>
  <c r="Y26" i="14"/>
  <c r="AA25" i="14"/>
  <c r="Z25" i="14"/>
  <c r="Y25" i="14"/>
  <c r="X25" i="14"/>
  <c r="D25" i="14"/>
  <c r="X24" i="14" s="1"/>
  <c r="AA24" i="14"/>
  <c r="Z24" i="14"/>
  <c r="Y24" i="14"/>
  <c r="D24" i="14"/>
  <c r="F24" i="14" s="1"/>
  <c r="AA23" i="14"/>
  <c r="Z23" i="14"/>
  <c r="Y23" i="14"/>
  <c r="F23" i="14"/>
  <c r="D23" i="14"/>
  <c r="X22" i="14" s="1"/>
  <c r="AA22" i="14"/>
  <c r="Z22" i="14"/>
  <c r="Y22" i="14"/>
  <c r="D22" i="14"/>
  <c r="F22" i="14" s="1"/>
  <c r="AA21" i="14"/>
  <c r="Z21" i="14"/>
  <c r="Y21" i="14"/>
  <c r="X21" i="14"/>
  <c r="F21" i="14"/>
  <c r="D21" i="14"/>
  <c r="X20" i="14" s="1"/>
  <c r="AA20" i="14"/>
  <c r="Z20" i="14"/>
  <c r="Y20" i="14"/>
  <c r="D20" i="14"/>
  <c r="F20" i="14" s="1"/>
  <c r="AA19" i="14"/>
  <c r="Z19" i="14"/>
  <c r="Y19" i="14"/>
  <c r="X19" i="14"/>
  <c r="F19" i="14"/>
  <c r="D19" i="14"/>
  <c r="X18" i="14" s="1"/>
  <c r="AA18" i="14"/>
  <c r="Z18" i="14"/>
  <c r="Y18" i="14"/>
  <c r="D18" i="14"/>
  <c r="X17" i="14" s="1"/>
  <c r="AA17" i="14"/>
  <c r="Z17" i="14"/>
  <c r="Y17" i="14"/>
  <c r="D17" i="14"/>
  <c r="X16" i="14" s="1"/>
  <c r="AA16" i="14"/>
  <c r="Z16" i="14"/>
  <c r="Y16" i="14"/>
  <c r="D16" i="14"/>
  <c r="F16" i="14" s="1"/>
  <c r="AA15" i="14"/>
  <c r="Z15" i="14"/>
  <c r="Y15" i="14"/>
  <c r="X15" i="14"/>
  <c r="D15" i="14"/>
  <c r="X14" i="14" s="1"/>
  <c r="AA14" i="14"/>
  <c r="Z14" i="14"/>
  <c r="Y14" i="14"/>
  <c r="D14" i="14"/>
  <c r="F14" i="14" s="1"/>
  <c r="AA13" i="14"/>
  <c r="Z13" i="14"/>
  <c r="Y13" i="14"/>
  <c r="X13" i="14"/>
  <c r="D13" i="14"/>
  <c r="X12" i="14" s="1"/>
  <c r="AA12" i="14"/>
  <c r="Z12" i="14"/>
  <c r="Y12" i="14"/>
  <c r="D12" i="14"/>
  <c r="F12" i="14" s="1"/>
  <c r="AA11" i="14"/>
  <c r="Z11" i="14"/>
  <c r="Y11" i="14"/>
  <c r="X11" i="14"/>
  <c r="D11" i="14"/>
  <c r="F11" i="14" s="1"/>
  <c r="AA10" i="14"/>
  <c r="Z10" i="14"/>
  <c r="Y10" i="14"/>
  <c r="D10" i="14"/>
  <c r="X9" i="14" s="1"/>
  <c r="AA9" i="14"/>
  <c r="Z9" i="14"/>
  <c r="Y9" i="14"/>
  <c r="D9" i="14"/>
  <c r="F9" i="14" s="1"/>
  <c r="AA8" i="14"/>
  <c r="Z8" i="14"/>
  <c r="Y8" i="14"/>
  <c r="D8" i="14"/>
  <c r="F8" i="14" s="1"/>
  <c r="AA7" i="14"/>
  <c r="Z7" i="14"/>
  <c r="Y7" i="14"/>
  <c r="D7" i="14"/>
  <c r="X6" i="14" s="1"/>
  <c r="AA6" i="14"/>
  <c r="Z6" i="14"/>
  <c r="Y6" i="14"/>
  <c r="D6" i="14"/>
  <c r="F6" i="14" s="1"/>
  <c r="AA5" i="14"/>
  <c r="Z5" i="14"/>
  <c r="Y5" i="14"/>
  <c r="D5" i="14"/>
  <c r="F5" i="14" s="1"/>
  <c r="AA4" i="14"/>
  <c r="Z4" i="14"/>
  <c r="Y4" i="14"/>
  <c r="D4" i="14"/>
  <c r="F4" i="14" s="1"/>
  <c r="AA3" i="14"/>
  <c r="Z3" i="14"/>
  <c r="Y3" i="14"/>
  <c r="K5" i="13"/>
  <c r="K6" i="13"/>
  <c r="K7" i="13"/>
  <c r="K8" i="13"/>
  <c r="K9" i="13"/>
  <c r="K10" i="13"/>
  <c r="K11" i="13"/>
  <c r="K12" i="13"/>
  <c r="K13" i="13"/>
  <c r="K4" i="13"/>
  <c r="Y56" i="13"/>
  <c r="Y55" i="13"/>
  <c r="Y54" i="13"/>
  <c r="Y53" i="13"/>
  <c r="Y52" i="13"/>
  <c r="Y51" i="13"/>
  <c r="Y50" i="13"/>
  <c r="D50" i="13"/>
  <c r="F50" i="13" s="1"/>
  <c r="Y49" i="13"/>
  <c r="D49" i="13"/>
  <c r="F49" i="13" s="1"/>
  <c r="Y48" i="13"/>
  <c r="D48" i="13"/>
  <c r="F48" i="13" s="1"/>
  <c r="Y47" i="13"/>
  <c r="D47" i="13"/>
  <c r="F47" i="13" s="1"/>
  <c r="Y46" i="13"/>
  <c r="D46" i="13"/>
  <c r="F46" i="13" s="1"/>
  <c r="Y45" i="13"/>
  <c r="D45" i="13"/>
  <c r="F45" i="13" s="1"/>
  <c r="Y44" i="13"/>
  <c r="D44" i="13"/>
  <c r="F44" i="13" s="1"/>
  <c r="Y43" i="13"/>
  <c r="F43" i="13"/>
  <c r="D43" i="13"/>
  <c r="Y42" i="13"/>
  <c r="D42" i="13"/>
  <c r="F42" i="13" s="1"/>
  <c r="Y41" i="13"/>
  <c r="D41" i="13"/>
  <c r="Y40" i="13"/>
  <c r="D40" i="13"/>
  <c r="F40" i="13" s="1"/>
  <c r="Y39" i="13"/>
  <c r="D39" i="13"/>
  <c r="F39" i="13" s="1"/>
  <c r="Y38" i="13"/>
  <c r="D38" i="13"/>
  <c r="K38" i="13" s="1"/>
  <c r="Y37" i="13"/>
  <c r="D37" i="13"/>
  <c r="F37" i="13" s="1"/>
  <c r="Y36" i="13"/>
  <c r="D36" i="13"/>
  <c r="F36" i="13" s="1"/>
  <c r="Y35" i="13"/>
  <c r="Y34" i="13"/>
  <c r="AA27" i="13"/>
  <c r="Z27" i="13"/>
  <c r="Y27" i="13"/>
  <c r="X27" i="13"/>
  <c r="X26" i="13"/>
  <c r="AA26" i="13"/>
  <c r="Z26" i="13"/>
  <c r="Y26" i="13"/>
  <c r="AA25" i="13"/>
  <c r="Z25" i="13"/>
  <c r="Y25" i="13"/>
  <c r="X25" i="13"/>
  <c r="X24" i="13"/>
  <c r="AA24" i="13"/>
  <c r="Z24" i="13"/>
  <c r="Y24" i="13"/>
  <c r="AA23" i="13"/>
  <c r="Z23" i="13"/>
  <c r="Y23" i="13"/>
  <c r="X22" i="13"/>
  <c r="AA22" i="13"/>
  <c r="Z22" i="13"/>
  <c r="Y22" i="13"/>
  <c r="AA21" i="13"/>
  <c r="Z21" i="13"/>
  <c r="Y21" i="13"/>
  <c r="X21" i="13"/>
  <c r="X20" i="13"/>
  <c r="AA20" i="13"/>
  <c r="Z20" i="13"/>
  <c r="Y20" i="13"/>
  <c r="AA19" i="13"/>
  <c r="Z19" i="13"/>
  <c r="Y19" i="13"/>
  <c r="X19" i="13"/>
  <c r="X18" i="13"/>
  <c r="AA18" i="13"/>
  <c r="Z18" i="13"/>
  <c r="Y18" i="13"/>
  <c r="X17" i="13"/>
  <c r="AA17" i="13"/>
  <c r="Z17" i="13"/>
  <c r="Y17" i="13"/>
  <c r="D17" i="13"/>
  <c r="X16" i="13" s="1"/>
  <c r="AA16" i="13"/>
  <c r="Z16" i="13"/>
  <c r="Y16" i="13"/>
  <c r="D16" i="13"/>
  <c r="F16" i="13" s="1"/>
  <c r="AA15" i="13"/>
  <c r="Z15" i="13"/>
  <c r="Y15" i="13"/>
  <c r="X15" i="13"/>
  <c r="F15" i="13"/>
  <c r="D15" i="13"/>
  <c r="X14" i="13" s="1"/>
  <c r="AA14" i="13"/>
  <c r="Z14" i="13"/>
  <c r="Y14" i="13"/>
  <c r="D14" i="13"/>
  <c r="F14" i="13" s="1"/>
  <c r="AA13" i="13"/>
  <c r="Z13" i="13"/>
  <c r="Y13" i="13"/>
  <c r="D13" i="13"/>
  <c r="X12" i="13" s="1"/>
  <c r="AA12" i="13"/>
  <c r="Z12" i="13"/>
  <c r="Y12" i="13"/>
  <c r="D12" i="13"/>
  <c r="F12" i="13" s="1"/>
  <c r="AA11" i="13"/>
  <c r="Z11" i="13"/>
  <c r="Y11" i="13"/>
  <c r="D11" i="13"/>
  <c r="F11" i="13" s="1"/>
  <c r="AA10" i="13"/>
  <c r="Z10" i="13"/>
  <c r="Y10" i="13"/>
  <c r="D10" i="13"/>
  <c r="X9" i="13" s="1"/>
  <c r="AA9" i="13"/>
  <c r="Z9" i="13"/>
  <c r="Y9" i="13"/>
  <c r="D9" i="13"/>
  <c r="F9" i="13" s="1"/>
  <c r="AA8" i="13"/>
  <c r="Z8" i="13"/>
  <c r="Y8" i="13"/>
  <c r="D8" i="13"/>
  <c r="F8" i="13" s="1"/>
  <c r="AA7" i="13"/>
  <c r="Z7" i="13"/>
  <c r="Y7" i="13"/>
  <c r="X7" i="13"/>
  <c r="D7" i="13"/>
  <c r="X6" i="13" s="1"/>
  <c r="AA6" i="13"/>
  <c r="Z6" i="13"/>
  <c r="Y6" i="13"/>
  <c r="D6" i="13"/>
  <c r="F6" i="13" s="1"/>
  <c r="AA5" i="13"/>
  <c r="Z5" i="13"/>
  <c r="Y5" i="13"/>
  <c r="X5" i="13"/>
  <c r="D5" i="13"/>
  <c r="F5" i="13" s="1"/>
  <c r="AA4" i="13"/>
  <c r="Z4" i="13"/>
  <c r="Y4" i="13"/>
  <c r="D4" i="13"/>
  <c r="X3" i="13" s="1"/>
  <c r="AA3" i="13"/>
  <c r="Z3" i="13"/>
  <c r="Y3" i="13"/>
  <c r="Y56" i="12"/>
  <c r="Y55" i="12"/>
  <c r="Y54" i="12"/>
  <c r="Y53" i="12"/>
  <c r="Y52" i="12"/>
  <c r="Y51" i="12"/>
  <c r="Y50" i="12"/>
  <c r="D50" i="12"/>
  <c r="F50" i="12" s="1"/>
  <c r="Y49" i="12"/>
  <c r="D49" i="12"/>
  <c r="F49" i="12" s="1"/>
  <c r="Y48" i="12"/>
  <c r="D48" i="12"/>
  <c r="F48" i="12" s="1"/>
  <c r="Y47" i="12"/>
  <c r="F47" i="12"/>
  <c r="Y46" i="12"/>
  <c r="Y45" i="12"/>
  <c r="D45" i="12"/>
  <c r="F45" i="12" s="1"/>
  <c r="Y44" i="12"/>
  <c r="D44" i="12"/>
  <c r="F44" i="12" s="1"/>
  <c r="Y43" i="12"/>
  <c r="D43" i="12"/>
  <c r="F43" i="12" s="1"/>
  <c r="Y42" i="12"/>
  <c r="D42" i="12"/>
  <c r="F42" i="12" s="1"/>
  <c r="Y41" i="12"/>
  <c r="F41" i="12"/>
  <c r="D41" i="12"/>
  <c r="Y40" i="12"/>
  <c r="D40" i="12"/>
  <c r="F40" i="12" s="1"/>
  <c r="Y39" i="12"/>
  <c r="D39" i="12"/>
  <c r="Y38" i="12"/>
  <c r="F38" i="12"/>
  <c r="D38" i="12"/>
  <c r="Y37" i="12"/>
  <c r="F37" i="12"/>
  <c r="D37" i="12"/>
  <c r="Y36" i="12"/>
  <c r="D36" i="12"/>
  <c r="F36" i="12" s="1"/>
  <c r="Y35" i="12"/>
  <c r="Y34" i="12"/>
  <c r="AA27" i="12"/>
  <c r="Z27" i="12"/>
  <c r="Y27" i="12"/>
  <c r="X27" i="12"/>
  <c r="X26" i="12"/>
  <c r="AA26" i="12"/>
  <c r="Z26" i="12"/>
  <c r="Y26" i="12"/>
  <c r="AA25" i="12"/>
  <c r="Z25" i="12"/>
  <c r="Y25" i="12"/>
  <c r="X25" i="12"/>
  <c r="X24" i="12"/>
  <c r="AA24" i="12"/>
  <c r="Z24" i="12"/>
  <c r="Y24" i="12"/>
  <c r="AA23" i="12"/>
  <c r="Z23" i="12"/>
  <c r="Y23" i="12"/>
  <c r="X22" i="12"/>
  <c r="AA22" i="12"/>
  <c r="Z22" i="12"/>
  <c r="Y22" i="12"/>
  <c r="AA21" i="12"/>
  <c r="Z21" i="12"/>
  <c r="Y21" i="12"/>
  <c r="X21" i="12"/>
  <c r="X20" i="12"/>
  <c r="AA20" i="12"/>
  <c r="Z20" i="12"/>
  <c r="Y20" i="12"/>
  <c r="AA19" i="12"/>
  <c r="Z19" i="12"/>
  <c r="Y19" i="12"/>
  <c r="X19" i="12"/>
  <c r="X18" i="12"/>
  <c r="AA18" i="12"/>
  <c r="Z18" i="12"/>
  <c r="Y18" i="12"/>
  <c r="X17" i="12"/>
  <c r="AA17" i="12"/>
  <c r="Z17" i="12"/>
  <c r="Y17" i="12"/>
  <c r="X16" i="12"/>
  <c r="AA16" i="12"/>
  <c r="Z16" i="12"/>
  <c r="Y16" i="12"/>
  <c r="D16" i="12"/>
  <c r="F16" i="12" s="1"/>
  <c r="AA15" i="12"/>
  <c r="Z15" i="12"/>
  <c r="Y15" i="12"/>
  <c r="F15" i="12"/>
  <c r="D15" i="12"/>
  <c r="AA14" i="12"/>
  <c r="Z14" i="12"/>
  <c r="Y14" i="12"/>
  <c r="X14" i="12"/>
  <c r="D14" i="12"/>
  <c r="F14" i="12" s="1"/>
  <c r="AA13" i="12"/>
  <c r="Z13" i="12"/>
  <c r="Y13" i="12"/>
  <c r="D13" i="12"/>
  <c r="X12" i="12" s="1"/>
  <c r="AA12" i="12"/>
  <c r="Z12" i="12"/>
  <c r="Y12" i="12"/>
  <c r="D12" i="12"/>
  <c r="F12" i="12" s="1"/>
  <c r="AA11" i="12"/>
  <c r="Z11" i="12"/>
  <c r="Y11" i="12"/>
  <c r="D11" i="12"/>
  <c r="F11" i="12" s="1"/>
  <c r="AA10" i="12"/>
  <c r="Z10" i="12"/>
  <c r="Y10" i="12"/>
  <c r="D10" i="12"/>
  <c r="X9" i="12" s="1"/>
  <c r="AA9" i="12"/>
  <c r="Z9" i="12"/>
  <c r="Y9" i="12"/>
  <c r="D9" i="12"/>
  <c r="F9" i="12" s="1"/>
  <c r="AA8" i="12"/>
  <c r="Z8" i="12"/>
  <c r="Y8" i="12"/>
  <c r="D8" i="12"/>
  <c r="F8" i="12" s="1"/>
  <c r="AA7" i="12"/>
  <c r="Z7" i="12"/>
  <c r="Y7" i="12"/>
  <c r="X7" i="12"/>
  <c r="D7" i="12"/>
  <c r="X6" i="12" s="1"/>
  <c r="AA6" i="12"/>
  <c r="Z6" i="12"/>
  <c r="Y6" i="12"/>
  <c r="D6" i="12"/>
  <c r="F6" i="12" s="1"/>
  <c r="AA5" i="12"/>
  <c r="Z5" i="12"/>
  <c r="Y5" i="12"/>
  <c r="X5" i="12"/>
  <c r="D5" i="12"/>
  <c r="F5" i="12" s="1"/>
  <c r="AA4" i="12"/>
  <c r="Z4" i="12"/>
  <c r="Y4" i="12"/>
  <c r="D4" i="12"/>
  <c r="X3" i="12" s="1"/>
  <c r="AA3" i="12"/>
  <c r="Z3" i="12"/>
  <c r="Y3" i="12"/>
  <c r="Y56" i="11"/>
  <c r="Y55" i="11"/>
  <c r="F55" i="11"/>
  <c r="Y54" i="11"/>
  <c r="F54" i="11"/>
  <c r="Y53" i="11"/>
  <c r="D53" i="11"/>
  <c r="F53" i="11" s="1"/>
  <c r="Y52" i="11"/>
  <c r="D52" i="11"/>
  <c r="F52" i="11" s="1"/>
  <c r="Y51" i="11"/>
  <c r="D51" i="11"/>
  <c r="F51" i="11" s="1"/>
  <c r="Y50" i="11"/>
  <c r="D50" i="11"/>
  <c r="F50" i="11" s="1"/>
  <c r="Y49" i="11"/>
  <c r="D49" i="11"/>
  <c r="F49" i="11" s="1"/>
  <c r="Y48" i="11"/>
  <c r="D48" i="11"/>
  <c r="F48" i="11" s="1"/>
  <c r="Y47" i="11"/>
  <c r="D47" i="11"/>
  <c r="F47" i="11" s="1"/>
  <c r="Y46" i="11"/>
  <c r="F46" i="11"/>
  <c r="D46" i="11"/>
  <c r="Y45" i="11"/>
  <c r="D45" i="11"/>
  <c r="Y44" i="11"/>
  <c r="D44" i="11"/>
  <c r="F44" i="11" s="1"/>
  <c r="Y43" i="11"/>
  <c r="D43" i="11"/>
  <c r="F43" i="11" s="1"/>
  <c r="Y42" i="11"/>
  <c r="D42" i="11"/>
  <c r="F42" i="11" s="1"/>
  <c r="Y41" i="11"/>
  <c r="D41" i="11"/>
  <c r="F41" i="11" s="1"/>
  <c r="Y40" i="11"/>
  <c r="D40" i="11"/>
  <c r="F40" i="11" s="1"/>
  <c r="Y39" i="11"/>
  <c r="D39" i="11"/>
  <c r="F39" i="11" s="1"/>
  <c r="Y38" i="11"/>
  <c r="D38" i="11"/>
  <c r="F38" i="11" s="1"/>
  <c r="Y37" i="11"/>
  <c r="F37" i="11"/>
  <c r="D37" i="11"/>
  <c r="Y36" i="11"/>
  <c r="D36" i="11"/>
  <c r="Y35" i="11"/>
  <c r="Y34" i="11"/>
  <c r="AA27" i="11"/>
  <c r="Z27" i="11"/>
  <c r="Y27" i="11"/>
  <c r="X27" i="11"/>
  <c r="AA26" i="11"/>
  <c r="Z26" i="11"/>
  <c r="Y26" i="11"/>
  <c r="X26" i="11"/>
  <c r="AA25" i="11"/>
  <c r="Z25" i="11"/>
  <c r="Y25" i="11"/>
  <c r="X24" i="11"/>
  <c r="AA24" i="11"/>
  <c r="Z24" i="11"/>
  <c r="Y24" i="11"/>
  <c r="AA23" i="11"/>
  <c r="Z23" i="11"/>
  <c r="Y23" i="11"/>
  <c r="X22" i="11"/>
  <c r="AA22" i="11"/>
  <c r="Z22" i="11"/>
  <c r="Y22" i="11"/>
  <c r="AA21" i="11"/>
  <c r="Z21" i="11"/>
  <c r="Y21" i="11"/>
  <c r="X20" i="11"/>
  <c r="AA20" i="11"/>
  <c r="Z20" i="11"/>
  <c r="Y20" i="11"/>
  <c r="H20" i="11"/>
  <c r="D20" i="11"/>
  <c r="X19" i="11" s="1"/>
  <c r="AA19" i="11"/>
  <c r="Z19" i="11"/>
  <c r="Y19" i="11"/>
  <c r="H19" i="11"/>
  <c r="D19" i="11"/>
  <c r="F19" i="11" s="1"/>
  <c r="AA18" i="11"/>
  <c r="Z18" i="11"/>
  <c r="Y18" i="11"/>
  <c r="H18" i="11"/>
  <c r="D18" i="11"/>
  <c r="X17" i="11" s="1"/>
  <c r="AA17" i="11"/>
  <c r="Z17" i="11"/>
  <c r="Y17" i="11"/>
  <c r="H17" i="11"/>
  <c r="D17" i="11"/>
  <c r="F17" i="11" s="1"/>
  <c r="AA16" i="11"/>
  <c r="Z16" i="11"/>
  <c r="Y16" i="11"/>
  <c r="X16" i="11"/>
  <c r="H16" i="11"/>
  <c r="D16" i="11"/>
  <c r="F16" i="11" s="1"/>
  <c r="AA15" i="11"/>
  <c r="Z15" i="11"/>
  <c r="Y15" i="11"/>
  <c r="H15" i="11"/>
  <c r="F15" i="11"/>
  <c r="D15" i="11"/>
  <c r="X14" i="11" s="1"/>
  <c r="AA14" i="11"/>
  <c r="Z14" i="11"/>
  <c r="Y14" i="11"/>
  <c r="H14" i="11"/>
  <c r="D14" i="11"/>
  <c r="F14" i="11" s="1"/>
  <c r="AA13" i="11"/>
  <c r="Z13" i="11"/>
  <c r="Y13" i="11"/>
  <c r="X13" i="11"/>
  <c r="H13" i="11"/>
  <c r="D13" i="11"/>
  <c r="X12" i="11" s="1"/>
  <c r="AA12" i="11"/>
  <c r="Z12" i="11"/>
  <c r="Y12" i="11"/>
  <c r="H12" i="11"/>
  <c r="D12" i="11"/>
  <c r="F12" i="11" s="1"/>
  <c r="AA11" i="11"/>
  <c r="Z11" i="11"/>
  <c r="Y11" i="11"/>
  <c r="H11" i="11"/>
  <c r="D11" i="11"/>
  <c r="F11" i="11" s="1"/>
  <c r="AA10" i="11"/>
  <c r="Z10" i="11"/>
  <c r="Y10" i="11"/>
  <c r="H10" i="11"/>
  <c r="D10" i="11"/>
  <c r="X9" i="11" s="1"/>
  <c r="AA9" i="11"/>
  <c r="Z9" i="11"/>
  <c r="Y9" i="11"/>
  <c r="H9" i="11"/>
  <c r="D9" i="11"/>
  <c r="F9" i="11" s="1"/>
  <c r="AA8" i="11"/>
  <c r="Z8" i="11"/>
  <c r="Y8" i="11"/>
  <c r="H8" i="11"/>
  <c r="D8" i="11"/>
  <c r="F8" i="11" s="1"/>
  <c r="AA7" i="11"/>
  <c r="Z7" i="11"/>
  <c r="Y7" i="11"/>
  <c r="H7" i="11"/>
  <c r="D7" i="11"/>
  <c r="X6" i="11" s="1"/>
  <c r="AA6" i="11"/>
  <c r="Z6" i="11"/>
  <c r="Y6" i="11"/>
  <c r="H6" i="11"/>
  <c r="D6" i="11"/>
  <c r="F6" i="11" s="1"/>
  <c r="AA5" i="11"/>
  <c r="Z5" i="11"/>
  <c r="Y5" i="11"/>
  <c r="H5" i="11"/>
  <c r="D5" i="11"/>
  <c r="F5" i="11" s="1"/>
  <c r="AA4" i="11"/>
  <c r="Z4" i="11"/>
  <c r="Y4" i="11"/>
  <c r="X4" i="11"/>
  <c r="H4" i="11"/>
  <c r="D4" i="11"/>
  <c r="X3" i="11" s="1"/>
  <c r="AA3" i="11"/>
  <c r="Z3" i="11"/>
  <c r="Y3" i="11"/>
  <c r="G1" i="11"/>
  <c r="Y56" i="9"/>
  <c r="Y55" i="9"/>
  <c r="Y54" i="9"/>
  <c r="Y53" i="9"/>
  <c r="Y52" i="9"/>
  <c r="Y51" i="9"/>
  <c r="Y50" i="9"/>
  <c r="Y49" i="9"/>
  <c r="Y48" i="9"/>
  <c r="D48" i="9"/>
  <c r="F48" i="9" s="1"/>
  <c r="Y47" i="9"/>
  <c r="D47" i="9"/>
  <c r="F47" i="9" s="1"/>
  <c r="Y46" i="9"/>
  <c r="D46" i="9"/>
  <c r="F46" i="9" s="1"/>
  <c r="Y45" i="9"/>
  <c r="D45" i="9"/>
  <c r="F45" i="9" s="1"/>
  <c r="Y44" i="9"/>
  <c r="D44" i="9"/>
  <c r="F44" i="9" s="1"/>
  <c r="Y43" i="9"/>
  <c r="D43" i="9"/>
  <c r="F43" i="9" s="1"/>
  <c r="Y42" i="9"/>
  <c r="D42" i="9"/>
  <c r="F42" i="9" s="1"/>
  <c r="Y41" i="9"/>
  <c r="F41" i="9"/>
  <c r="D41" i="9"/>
  <c r="Y40" i="9"/>
  <c r="D40" i="9"/>
  <c r="F40" i="9" s="1"/>
  <c r="Y39" i="9"/>
  <c r="D39" i="9"/>
  <c r="F39" i="9" s="1"/>
  <c r="Y38" i="9"/>
  <c r="D38" i="9"/>
  <c r="F38" i="9" s="1"/>
  <c r="Y37" i="9"/>
  <c r="D37" i="9"/>
  <c r="Y36" i="9"/>
  <c r="F36" i="9"/>
  <c r="D36" i="9"/>
  <c r="Y35" i="9"/>
  <c r="Y34" i="9"/>
  <c r="AA27" i="9"/>
  <c r="Z27" i="9"/>
  <c r="Y27" i="9"/>
  <c r="X27" i="9"/>
  <c r="X26" i="9"/>
  <c r="AA26" i="9"/>
  <c r="Z26" i="9"/>
  <c r="Y26" i="9"/>
  <c r="AA25" i="9"/>
  <c r="Z25" i="9"/>
  <c r="Y25" i="9"/>
  <c r="X25" i="9"/>
  <c r="X24" i="9"/>
  <c r="AA24" i="9"/>
  <c r="Z24" i="9"/>
  <c r="Y24" i="9"/>
  <c r="AA23" i="9"/>
  <c r="Z23" i="9"/>
  <c r="Y23" i="9"/>
  <c r="D23" i="9"/>
  <c r="X22" i="9" s="1"/>
  <c r="AA22" i="9"/>
  <c r="Z22" i="9"/>
  <c r="Y22" i="9"/>
  <c r="D22" i="9"/>
  <c r="F22" i="9" s="1"/>
  <c r="AA21" i="9"/>
  <c r="Z21" i="9"/>
  <c r="Y21" i="9"/>
  <c r="D21" i="9"/>
  <c r="X20" i="9" s="1"/>
  <c r="AA20" i="9"/>
  <c r="Z20" i="9"/>
  <c r="Y20" i="9"/>
  <c r="D20" i="9"/>
  <c r="F20" i="9" s="1"/>
  <c r="AA19" i="9"/>
  <c r="Z19" i="9"/>
  <c r="Y19" i="9"/>
  <c r="X19" i="9"/>
  <c r="D19" i="9"/>
  <c r="X18" i="9" s="1"/>
  <c r="AA18" i="9"/>
  <c r="Z18" i="9"/>
  <c r="Y18" i="9"/>
  <c r="D18" i="9"/>
  <c r="X17" i="9" s="1"/>
  <c r="AA17" i="9"/>
  <c r="Z17" i="9"/>
  <c r="Y17" i="9"/>
  <c r="D17" i="9"/>
  <c r="X16" i="9" s="1"/>
  <c r="AA16" i="9"/>
  <c r="Z16" i="9"/>
  <c r="Y16" i="9"/>
  <c r="D16" i="9"/>
  <c r="X15" i="9" s="1"/>
  <c r="AA15" i="9"/>
  <c r="Z15" i="9"/>
  <c r="Y15" i="9"/>
  <c r="D15" i="9"/>
  <c r="X14" i="9" s="1"/>
  <c r="AA14" i="9"/>
  <c r="Z14" i="9"/>
  <c r="Y14" i="9"/>
  <c r="D14" i="9"/>
  <c r="F14" i="9" s="1"/>
  <c r="AA13" i="9"/>
  <c r="Z13" i="9"/>
  <c r="Y13" i="9"/>
  <c r="D13" i="9"/>
  <c r="X12" i="9" s="1"/>
  <c r="AA12" i="9"/>
  <c r="Z12" i="9"/>
  <c r="Y12" i="9"/>
  <c r="D12" i="9"/>
  <c r="F12" i="9" s="1"/>
  <c r="AA11" i="9"/>
  <c r="Z11" i="9"/>
  <c r="Y11" i="9"/>
  <c r="D11" i="9"/>
  <c r="F11" i="9" s="1"/>
  <c r="AA10" i="9"/>
  <c r="Z10" i="9"/>
  <c r="Y10" i="9"/>
  <c r="D10" i="9"/>
  <c r="X9" i="9" s="1"/>
  <c r="AA9" i="9"/>
  <c r="Z9" i="9"/>
  <c r="Y9" i="9"/>
  <c r="D9" i="9"/>
  <c r="F9" i="9" s="1"/>
  <c r="AA8" i="9"/>
  <c r="Z8" i="9"/>
  <c r="Y8" i="9"/>
  <c r="D8" i="9"/>
  <c r="F8" i="9" s="1"/>
  <c r="AA7" i="9"/>
  <c r="Z7" i="9"/>
  <c r="Y7" i="9"/>
  <c r="X7" i="9"/>
  <c r="D7" i="9"/>
  <c r="X6" i="9" s="1"/>
  <c r="AA6" i="9"/>
  <c r="Z6" i="9"/>
  <c r="Y6" i="9"/>
  <c r="D6" i="9"/>
  <c r="F6" i="9" s="1"/>
  <c r="AA5" i="9"/>
  <c r="Z5" i="9"/>
  <c r="Y5" i="9"/>
  <c r="D5" i="9"/>
  <c r="F5" i="9" s="1"/>
  <c r="AA4" i="9"/>
  <c r="Z4" i="9"/>
  <c r="Y4" i="9"/>
  <c r="D4" i="9"/>
  <c r="X3" i="9" s="1"/>
  <c r="AA3" i="9"/>
  <c r="Z3" i="9"/>
  <c r="Y3" i="9"/>
  <c r="Y56" i="8"/>
  <c r="Y55" i="8"/>
  <c r="Y54" i="8"/>
  <c r="Y53" i="8"/>
  <c r="Y52" i="8"/>
  <c r="Y51" i="8"/>
  <c r="H51" i="8"/>
  <c r="D51" i="8"/>
  <c r="F51" i="8" s="1"/>
  <c r="Y50" i="8"/>
  <c r="H50" i="8"/>
  <c r="D50" i="8"/>
  <c r="F50" i="8" s="1"/>
  <c r="Y49" i="8"/>
  <c r="H49" i="8"/>
  <c r="D49" i="8"/>
  <c r="F49" i="8" s="1"/>
  <c r="Y48" i="8"/>
  <c r="H48" i="8"/>
  <c r="D48" i="8"/>
  <c r="F48" i="8" s="1"/>
  <c r="Y47" i="8"/>
  <c r="H47" i="8"/>
  <c r="F47" i="8"/>
  <c r="Y46" i="8"/>
  <c r="H46" i="8"/>
  <c r="F46" i="8"/>
  <c r="Y45" i="8"/>
  <c r="H45" i="8"/>
  <c r="D45" i="8"/>
  <c r="F45" i="8" s="1"/>
  <c r="Y44" i="8"/>
  <c r="H44" i="8"/>
  <c r="D44" i="8"/>
  <c r="F44" i="8" s="1"/>
  <c r="Y43" i="8"/>
  <c r="H43" i="8"/>
  <c r="F43" i="8"/>
  <c r="Y42" i="8"/>
  <c r="H42" i="8"/>
  <c r="F42" i="8"/>
  <c r="Y41" i="8"/>
  <c r="H41" i="8"/>
  <c r="D41" i="8"/>
  <c r="Y40" i="8"/>
  <c r="H40" i="8"/>
  <c r="D40" i="8"/>
  <c r="F40" i="8" s="1"/>
  <c r="Y39" i="8"/>
  <c r="H39" i="8"/>
  <c r="D39" i="8"/>
  <c r="F39" i="8" s="1"/>
  <c r="Y38" i="8"/>
  <c r="H38" i="8"/>
  <c r="D38" i="8"/>
  <c r="F38" i="8" s="1"/>
  <c r="Y37" i="8"/>
  <c r="H37" i="8"/>
  <c r="D37" i="8"/>
  <c r="F37" i="8" s="1"/>
  <c r="Y36" i="8"/>
  <c r="H36" i="8"/>
  <c r="D36" i="8"/>
  <c r="Y35" i="8"/>
  <c r="Y34" i="8"/>
  <c r="AA27" i="8"/>
  <c r="Z27" i="8"/>
  <c r="Y27" i="8"/>
  <c r="X27" i="8"/>
  <c r="X26" i="8"/>
  <c r="AA26" i="8"/>
  <c r="Z26" i="8"/>
  <c r="Y26" i="8"/>
  <c r="AA25" i="8"/>
  <c r="Z25" i="8"/>
  <c r="Y25" i="8"/>
  <c r="X24" i="8"/>
  <c r="AA24" i="8"/>
  <c r="Z24" i="8"/>
  <c r="Y24" i="8"/>
  <c r="AA23" i="8"/>
  <c r="Z23" i="8"/>
  <c r="Y23" i="8"/>
  <c r="AA22" i="8"/>
  <c r="Z22" i="8"/>
  <c r="Y22" i="8"/>
  <c r="X22" i="8"/>
  <c r="AA21" i="8"/>
  <c r="Z21" i="8"/>
  <c r="Y21" i="8"/>
  <c r="AA20" i="8"/>
  <c r="Z20" i="8"/>
  <c r="Y20" i="8"/>
  <c r="X20" i="8"/>
  <c r="X19" i="8"/>
  <c r="AA19" i="8"/>
  <c r="Z19" i="8"/>
  <c r="Y19" i="8"/>
  <c r="AA18" i="8"/>
  <c r="Z18" i="8"/>
  <c r="Y18" i="8"/>
  <c r="X18" i="8"/>
  <c r="X17" i="8"/>
  <c r="AA17" i="8"/>
  <c r="Z17" i="8"/>
  <c r="Y17" i="8"/>
  <c r="H17" i="8"/>
  <c r="D17" i="8"/>
  <c r="X16" i="8" s="1"/>
  <c r="AA16" i="8"/>
  <c r="Z16" i="8"/>
  <c r="Y16" i="8"/>
  <c r="H16" i="8"/>
  <c r="D16" i="8"/>
  <c r="F16" i="8" s="1"/>
  <c r="AA15" i="8"/>
  <c r="Z15" i="8"/>
  <c r="Y15" i="8"/>
  <c r="H15" i="8"/>
  <c r="D15" i="8"/>
  <c r="X14" i="8" s="1"/>
  <c r="AA14" i="8"/>
  <c r="Z14" i="8"/>
  <c r="Y14" i="8"/>
  <c r="H14" i="8"/>
  <c r="D14" i="8"/>
  <c r="F14" i="8" s="1"/>
  <c r="AA13" i="8"/>
  <c r="Z13" i="8"/>
  <c r="Y13" i="8"/>
  <c r="H13" i="8"/>
  <c r="D13" i="8"/>
  <c r="X12" i="8" s="1"/>
  <c r="AA12" i="8"/>
  <c r="Z12" i="8"/>
  <c r="Y12" i="8"/>
  <c r="H12" i="8"/>
  <c r="D12" i="8"/>
  <c r="X11" i="8" s="1"/>
  <c r="AA11" i="8"/>
  <c r="Z11" i="8"/>
  <c r="Y11" i="8"/>
  <c r="H11" i="8"/>
  <c r="D11" i="8"/>
  <c r="F11" i="8" s="1"/>
  <c r="AA10" i="8"/>
  <c r="Z10" i="8"/>
  <c r="Y10" i="8"/>
  <c r="H10" i="8"/>
  <c r="D10" i="8"/>
  <c r="X9" i="8" s="1"/>
  <c r="AA9" i="8"/>
  <c r="Z9" i="8"/>
  <c r="Y9" i="8"/>
  <c r="H9" i="8"/>
  <c r="D9" i="8"/>
  <c r="F9" i="8" s="1"/>
  <c r="AA8" i="8"/>
  <c r="Z8" i="8"/>
  <c r="Y8" i="8"/>
  <c r="H8" i="8"/>
  <c r="D8" i="8"/>
  <c r="F8" i="8" s="1"/>
  <c r="AA7" i="8"/>
  <c r="Z7" i="8"/>
  <c r="Y7" i="8"/>
  <c r="H7" i="8"/>
  <c r="D7" i="8"/>
  <c r="X6" i="8" s="1"/>
  <c r="AA6" i="8"/>
  <c r="Z6" i="8"/>
  <c r="Y6" i="8"/>
  <c r="H6" i="8"/>
  <c r="D6" i="8"/>
  <c r="AA5" i="8"/>
  <c r="Z5" i="8"/>
  <c r="Y5" i="8"/>
  <c r="H5" i="8"/>
  <c r="D5" i="8"/>
  <c r="F5" i="8" s="1"/>
  <c r="AA4" i="8"/>
  <c r="Z4" i="8"/>
  <c r="Y4" i="8"/>
  <c r="H4" i="8"/>
  <c r="D4" i="8"/>
  <c r="X3" i="8" s="1"/>
  <c r="AA3" i="8"/>
  <c r="Z3" i="8"/>
  <c r="Y3" i="8"/>
  <c r="F70" i="7"/>
  <c r="F71" i="7"/>
  <c r="F72" i="7"/>
  <c r="F73" i="7"/>
  <c r="F74" i="7"/>
  <c r="D56" i="7"/>
  <c r="F56" i="7" s="1"/>
  <c r="F57" i="7"/>
  <c r="F58" i="7"/>
  <c r="D59" i="7"/>
  <c r="F59" i="7"/>
  <c r="F60" i="7"/>
  <c r="F61" i="7"/>
  <c r="D62" i="7"/>
  <c r="F62" i="7" s="1"/>
  <c r="D63" i="7"/>
  <c r="F63" i="7"/>
  <c r="F64" i="7"/>
  <c r="F65" i="7"/>
  <c r="D66" i="7"/>
  <c r="F66" i="7" s="1"/>
  <c r="D67" i="7"/>
  <c r="F67" i="7" s="1"/>
  <c r="D68" i="7"/>
  <c r="F68" i="7" s="1"/>
  <c r="F69" i="7"/>
  <c r="Y56" i="7"/>
  <c r="Y55" i="7"/>
  <c r="D55" i="7"/>
  <c r="F55" i="7" s="1"/>
  <c r="Y54" i="7"/>
  <c r="D54" i="7"/>
  <c r="F54" i="7" s="1"/>
  <c r="Y53" i="7"/>
  <c r="D53" i="7"/>
  <c r="F53" i="7" s="1"/>
  <c r="Y52" i="7"/>
  <c r="D52" i="7"/>
  <c r="F52" i="7" s="1"/>
  <c r="Y51" i="7"/>
  <c r="D51" i="7"/>
  <c r="F51" i="7" s="1"/>
  <c r="Y50" i="7"/>
  <c r="D50" i="7"/>
  <c r="F50" i="7" s="1"/>
  <c r="Y49" i="7"/>
  <c r="D49" i="7"/>
  <c r="F49" i="7" s="1"/>
  <c r="Y48" i="7"/>
  <c r="D48" i="7"/>
  <c r="F48" i="7" s="1"/>
  <c r="Y47" i="7"/>
  <c r="D47" i="7"/>
  <c r="F47" i="7" s="1"/>
  <c r="Y46" i="7"/>
  <c r="D46" i="7"/>
  <c r="F46" i="7" s="1"/>
  <c r="Y45" i="7"/>
  <c r="F45" i="7"/>
  <c r="Y44" i="7"/>
  <c r="F44" i="7"/>
  <c r="Y43" i="7"/>
  <c r="D43" i="7"/>
  <c r="F43" i="7" s="1"/>
  <c r="Y42" i="7"/>
  <c r="D42" i="7"/>
  <c r="F42" i="7" s="1"/>
  <c r="Y41" i="7"/>
  <c r="F41" i="7"/>
  <c r="D41" i="7"/>
  <c r="Y40" i="7"/>
  <c r="F40" i="7"/>
  <c r="Y39" i="7"/>
  <c r="F39" i="7"/>
  <c r="Y38" i="7"/>
  <c r="D38" i="7"/>
  <c r="F38" i="7" s="1"/>
  <c r="Y37" i="7"/>
  <c r="D37" i="7"/>
  <c r="Y36" i="7"/>
  <c r="D36" i="7"/>
  <c r="F36" i="7" s="1"/>
  <c r="Y35" i="7"/>
  <c r="Y34" i="7"/>
  <c r="AA27" i="7"/>
  <c r="Z27" i="7"/>
  <c r="Y27" i="7"/>
  <c r="X27" i="7"/>
  <c r="X26" i="7"/>
  <c r="AA26" i="7"/>
  <c r="Z26" i="7"/>
  <c r="Y26" i="7"/>
  <c r="AA25" i="7"/>
  <c r="Z25" i="7"/>
  <c r="Y25" i="7"/>
  <c r="X25" i="7"/>
  <c r="X24" i="7"/>
  <c r="AA24" i="7"/>
  <c r="Z24" i="7"/>
  <c r="Y24" i="7"/>
  <c r="AA23" i="7"/>
  <c r="Z23" i="7"/>
  <c r="Y23" i="7"/>
  <c r="X22" i="7"/>
  <c r="AA22" i="7"/>
  <c r="Z22" i="7"/>
  <c r="Y22" i="7"/>
  <c r="D22" i="7"/>
  <c r="F22" i="7" s="1"/>
  <c r="AA21" i="7"/>
  <c r="Z21" i="7"/>
  <c r="Y21" i="7"/>
  <c r="D21" i="7"/>
  <c r="X20" i="7" s="1"/>
  <c r="AA20" i="7"/>
  <c r="Z20" i="7"/>
  <c r="Y20" i="7"/>
  <c r="D20" i="7"/>
  <c r="F20" i="7" s="1"/>
  <c r="AA19" i="7"/>
  <c r="Z19" i="7"/>
  <c r="Y19" i="7"/>
  <c r="D19" i="7"/>
  <c r="X18" i="7" s="1"/>
  <c r="AA18" i="7"/>
  <c r="Z18" i="7"/>
  <c r="Y18" i="7"/>
  <c r="D18" i="7"/>
  <c r="X17" i="7" s="1"/>
  <c r="AA17" i="7"/>
  <c r="Z17" i="7"/>
  <c r="Y17" i="7"/>
  <c r="D17" i="7"/>
  <c r="X16" i="7" s="1"/>
  <c r="AA16" i="7"/>
  <c r="Z16" i="7"/>
  <c r="Y16" i="7"/>
  <c r="D16" i="7"/>
  <c r="X15" i="7" s="1"/>
  <c r="AA15" i="7"/>
  <c r="Z15" i="7"/>
  <c r="Y15" i="7"/>
  <c r="D15" i="7"/>
  <c r="X14" i="7" s="1"/>
  <c r="AA14" i="7"/>
  <c r="Z14" i="7"/>
  <c r="Y14" i="7"/>
  <c r="D14" i="7"/>
  <c r="F14" i="7" s="1"/>
  <c r="AA13" i="7"/>
  <c r="Z13" i="7"/>
  <c r="Y13" i="7"/>
  <c r="D13" i="7"/>
  <c r="X12" i="7" s="1"/>
  <c r="AA12" i="7"/>
  <c r="Z12" i="7"/>
  <c r="Y12" i="7"/>
  <c r="D12" i="7"/>
  <c r="F12" i="7" s="1"/>
  <c r="AA11" i="7"/>
  <c r="Z11" i="7"/>
  <c r="Y11" i="7"/>
  <c r="D11" i="7"/>
  <c r="F11" i="7" s="1"/>
  <c r="AA10" i="7"/>
  <c r="Z10" i="7"/>
  <c r="Y10" i="7"/>
  <c r="D10" i="7"/>
  <c r="X9" i="7" s="1"/>
  <c r="AA9" i="7"/>
  <c r="Z9" i="7"/>
  <c r="Y9" i="7"/>
  <c r="D9" i="7"/>
  <c r="F9" i="7" s="1"/>
  <c r="AA8" i="7"/>
  <c r="Z8" i="7"/>
  <c r="Y8" i="7"/>
  <c r="D8" i="7"/>
  <c r="F8" i="7" s="1"/>
  <c r="AA7" i="7"/>
  <c r="Z7" i="7"/>
  <c r="Y7" i="7"/>
  <c r="D7" i="7"/>
  <c r="X6" i="7" s="1"/>
  <c r="AA6" i="7"/>
  <c r="Z6" i="7"/>
  <c r="Y6" i="7"/>
  <c r="D6" i="7"/>
  <c r="AA5" i="7"/>
  <c r="Z5" i="7"/>
  <c r="Y5" i="7"/>
  <c r="D5" i="7"/>
  <c r="F5" i="7" s="1"/>
  <c r="AA4" i="7"/>
  <c r="Z4" i="7"/>
  <c r="Y4" i="7"/>
  <c r="D4" i="7"/>
  <c r="X3" i="7" s="1"/>
  <c r="AA3" i="7"/>
  <c r="Z3" i="7"/>
  <c r="Y3" i="7"/>
  <c r="K36" i="6"/>
  <c r="K37" i="6"/>
  <c r="K38" i="6"/>
  <c r="K39" i="6"/>
  <c r="K40" i="6"/>
  <c r="K41" i="6"/>
  <c r="K42" i="6"/>
  <c r="K43" i="6"/>
  <c r="K44" i="6"/>
  <c r="K3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Y56" i="6"/>
  <c r="Y55" i="6"/>
  <c r="D55" i="6"/>
  <c r="F55" i="6" s="1"/>
  <c r="Y54" i="6"/>
  <c r="D54" i="6"/>
  <c r="F54" i="6" s="1"/>
  <c r="Y53" i="6"/>
  <c r="D53" i="6"/>
  <c r="F53" i="6" s="1"/>
  <c r="Y52" i="6"/>
  <c r="D52" i="6"/>
  <c r="F52" i="6" s="1"/>
  <c r="Y51" i="6"/>
  <c r="D51" i="6"/>
  <c r="F51" i="6" s="1"/>
  <c r="Y50" i="6"/>
  <c r="D50" i="6"/>
  <c r="F50" i="6" s="1"/>
  <c r="Y49" i="6"/>
  <c r="D49" i="6"/>
  <c r="F49" i="6" s="1"/>
  <c r="Y48" i="6"/>
  <c r="D48" i="6"/>
  <c r="F48" i="6" s="1"/>
  <c r="Y47" i="6"/>
  <c r="D47" i="6"/>
  <c r="F47" i="6" s="1"/>
  <c r="Y46" i="6"/>
  <c r="D46" i="6"/>
  <c r="F46" i="6" s="1"/>
  <c r="Y45" i="6"/>
  <c r="D45" i="6"/>
  <c r="F45" i="6" s="1"/>
  <c r="Y44" i="6"/>
  <c r="D44" i="6"/>
  <c r="F44" i="6" s="1"/>
  <c r="Y43" i="6"/>
  <c r="D43" i="6"/>
  <c r="F43" i="6" s="1"/>
  <c r="Y42" i="6"/>
  <c r="D42" i="6"/>
  <c r="F42" i="6" s="1"/>
  <c r="Y41" i="6"/>
  <c r="D41" i="6"/>
  <c r="F41" i="6" s="1"/>
  <c r="Y40" i="6"/>
  <c r="D40" i="6"/>
  <c r="F40" i="6" s="1"/>
  <c r="Y39" i="6"/>
  <c r="D39" i="6"/>
  <c r="F39" i="6" s="1"/>
  <c r="Y38" i="6"/>
  <c r="D38" i="6"/>
  <c r="F38" i="6" s="1"/>
  <c r="Y37" i="6"/>
  <c r="D37" i="6"/>
  <c r="Y36" i="6"/>
  <c r="D36" i="6"/>
  <c r="Y35" i="6"/>
  <c r="Y34" i="6"/>
  <c r="AA27" i="6"/>
  <c r="Z27" i="6"/>
  <c r="Y27" i="6"/>
  <c r="X27" i="6"/>
  <c r="X26" i="6"/>
  <c r="AA26" i="6"/>
  <c r="Z26" i="6"/>
  <c r="Y26" i="6"/>
  <c r="AA25" i="6"/>
  <c r="Z25" i="6"/>
  <c r="Y25" i="6"/>
  <c r="X25" i="6"/>
  <c r="X24" i="6"/>
  <c r="AA24" i="6"/>
  <c r="Z24" i="6"/>
  <c r="Y24" i="6"/>
  <c r="AA23" i="6"/>
  <c r="Z23" i="6"/>
  <c r="Y23" i="6"/>
  <c r="X22" i="6"/>
  <c r="AA22" i="6"/>
  <c r="Z22" i="6"/>
  <c r="Y22" i="6"/>
  <c r="D22" i="6"/>
  <c r="F22" i="6" s="1"/>
  <c r="AA21" i="6"/>
  <c r="Z21" i="6"/>
  <c r="Y21" i="6"/>
  <c r="D21" i="6"/>
  <c r="X20" i="6" s="1"/>
  <c r="AA20" i="6"/>
  <c r="Z20" i="6"/>
  <c r="Y20" i="6"/>
  <c r="F20" i="6"/>
  <c r="AA19" i="6"/>
  <c r="Z19" i="6"/>
  <c r="Y19" i="6"/>
  <c r="X18" i="6"/>
  <c r="AA18" i="6"/>
  <c r="Z18" i="6"/>
  <c r="Y18" i="6"/>
  <c r="D18" i="6"/>
  <c r="X17" i="6" s="1"/>
  <c r="AA17" i="6"/>
  <c r="Z17" i="6"/>
  <c r="Y17" i="6"/>
  <c r="D17" i="6"/>
  <c r="X16" i="6" s="1"/>
  <c r="AA16" i="6"/>
  <c r="Z16" i="6"/>
  <c r="Y16" i="6"/>
  <c r="D16" i="6"/>
  <c r="X15" i="6" s="1"/>
  <c r="AA15" i="6"/>
  <c r="Z15" i="6"/>
  <c r="Y15" i="6"/>
  <c r="D15" i="6"/>
  <c r="X14" i="6" s="1"/>
  <c r="AA14" i="6"/>
  <c r="Z14" i="6"/>
  <c r="Y14" i="6"/>
  <c r="F14" i="6"/>
  <c r="AA13" i="6"/>
  <c r="Z13" i="6"/>
  <c r="Y13" i="6"/>
  <c r="X13" i="6"/>
  <c r="X12" i="6"/>
  <c r="AA12" i="6"/>
  <c r="Z12" i="6"/>
  <c r="Y12" i="6"/>
  <c r="D12" i="6"/>
  <c r="F12" i="6" s="1"/>
  <c r="AA11" i="6"/>
  <c r="Z11" i="6"/>
  <c r="Y11" i="6"/>
  <c r="D11" i="6"/>
  <c r="F11" i="6" s="1"/>
  <c r="AA10" i="6"/>
  <c r="Z10" i="6"/>
  <c r="Y10" i="6"/>
  <c r="D10" i="6"/>
  <c r="X9" i="6" s="1"/>
  <c r="AA9" i="6"/>
  <c r="Z9" i="6"/>
  <c r="Y9" i="6"/>
  <c r="D9" i="6"/>
  <c r="F9" i="6" s="1"/>
  <c r="AA8" i="6"/>
  <c r="Z8" i="6"/>
  <c r="Y8" i="6"/>
  <c r="D8" i="6"/>
  <c r="F8" i="6" s="1"/>
  <c r="AA7" i="6"/>
  <c r="Z7" i="6"/>
  <c r="Y7" i="6"/>
  <c r="X7" i="6"/>
  <c r="D7" i="6"/>
  <c r="X6" i="6" s="1"/>
  <c r="AA6" i="6"/>
  <c r="Z6" i="6"/>
  <c r="Y6" i="6"/>
  <c r="D6" i="6"/>
  <c r="F6" i="6" s="1"/>
  <c r="AA5" i="6"/>
  <c r="Z5" i="6"/>
  <c r="Y5" i="6"/>
  <c r="D5" i="6"/>
  <c r="F5" i="6" s="1"/>
  <c r="AA4" i="6"/>
  <c r="Z4" i="6"/>
  <c r="Y4" i="6"/>
  <c r="X4" i="6"/>
  <c r="D4" i="6"/>
  <c r="X3" i="6" s="1"/>
  <c r="AA3" i="6"/>
  <c r="Z3" i="6"/>
  <c r="Y3" i="6"/>
  <c r="F56" i="5"/>
  <c r="F57" i="5"/>
  <c r="F58" i="5"/>
  <c r="F59" i="5"/>
  <c r="F60" i="5"/>
  <c r="F61" i="5"/>
  <c r="F62" i="5"/>
  <c r="D56" i="5"/>
  <c r="D57" i="5"/>
  <c r="D58" i="5"/>
  <c r="D59" i="5"/>
  <c r="D60" i="5"/>
  <c r="D61" i="5"/>
  <c r="D62" i="5"/>
  <c r="Y56" i="5"/>
  <c r="Y55" i="5"/>
  <c r="D55" i="5"/>
  <c r="F55" i="5" s="1"/>
  <c r="Y54" i="5"/>
  <c r="D54" i="5"/>
  <c r="F54" i="5" s="1"/>
  <c r="Y53" i="5"/>
  <c r="D53" i="5"/>
  <c r="F53" i="5" s="1"/>
  <c r="Y52" i="5"/>
  <c r="D52" i="5"/>
  <c r="F52" i="5" s="1"/>
  <c r="Y51" i="5"/>
  <c r="D51" i="5"/>
  <c r="F51" i="5" s="1"/>
  <c r="Y50" i="5"/>
  <c r="D50" i="5"/>
  <c r="F50" i="5" s="1"/>
  <c r="Y49" i="5"/>
  <c r="D49" i="5"/>
  <c r="F49" i="5" s="1"/>
  <c r="Y48" i="5"/>
  <c r="F48" i="5"/>
  <c r="Y47" i="5"/>
  <c r="F47" i="5"/>
  <c r="Y46" i="5"/>
  <c r="D46" i="5"/>
  <c r="F46" i="5" s="1"/>
  <c r="Y45" i="5"/>
  <c r="D45" i="5"/>
  <c r="F45" i="5" s="1"/>
  <c r="Y44" i="5"/>
  <c r="D44" i="5"/>
  <c r="F44" i="5" s="1"/>
  <c r="Y43" i="5"/>
  <c r="D43" i="5"/>
  <c r="F43" i="5" s="1"/>
  <c r="Y42" i="5"/>
  <c r="D42" i="5"/>
  <c r="F42" i="5" s="1"/>
  <c r="Y41" i="5"/>
  <c r="D41" i="5"/>
  <c r="F41" i="5" s="1"/>
  <c r="Y40" i="5"/>
  <c r="D40" i="5"/>
  <c r="Y39" i="5"/>
  <c r="D39" i="5"/>
  <c r="Y38" i="5"/>
  <c r="D38" i="5"/>
  <c r="F38" i="5" s="1"/>
  <c r="Y37" i="5"/>
  <c r="D37" i="5"/>
  <c r="F37" i="5" s="1"/>
  <c r="Y36" i="5"/>
  <c r="D36" i="5"/>
  <c r="Y35" i="5"/>
  <c r="Y34" i="5"/>
  <c r="AA27" i="5"/>
  <c r="Z27" i="5"/>
  <c r="Y27" i="5"/>
  <c r="X27" i="5"/>
  <c r="AA26" i="5"/>
  <c r="Z26" i="5"/>
  <c r="Y26" i="5"/>
  <c r="X26" i="5"/>
  <c r="AA25" i="5"/>
  <c r="Z25" i="5"/>
  <c r="Y25" i="5"/>
  <c r="X24" i="5"/>
  <c r="AA24" i="5"/>
  <c r="Z24" i="5"/>
  <c r="Y24" i="5"/>
  <c r="AA23" i="5"/>
  <c r="Z23" i="5"/>
  <c r="Y23" i="5"/>
  <c r="X22" i="5"/>
  <c r="AA22" i="5"/>
  <c r="Z22" i="5"/>
  <c r="Y22" i="5"/>
  <c r="AA21" i="5"/>
  <c r="Z21" i="5"/>
  <c r="Y21" i="5"/>
  <c r="AA20" i="5"/>
  <c r="Z20" i="5"/>
  <c r="Y20" i="5"/>
  <c r="X20" i="5"/>
  <c r="AA19" i="5"/>
  <c r="Z19" i="5"/>
  <c r="Y19" i="5"/>
  <c r="AA18" i="5"/>
  <c r="Z18" i="5"/>
  <c r="Y18" i="5"/>
  <c r="X17" i="5"/>
  <c r="AA17" i="5"/>
  <c r="Z17" i="5"/>
  <c r="Y17" i="5"/>
  <c r="D17" i="5"/>
  <c r="X16" i="5" s="1"/>
  <c r="AA16" i="5"/>
  <c r="Z16" i="5"/>
  <c r="Y16" i="5"/>
  <c r="D16" i="5"/>
  <c r="F16" i="5" s="1"/>
  <c r="AA15" i="5"/>
  <c r="Z15" i="5"/>
  <c r="Y15" i="5"/>
  <c r="D15" i="5"/>
  <c r="F15" i="5" s="1"/>
  <c r="AA14" i="5"/>
  <c r="Z14" i="5"/>
  <c r="Y14" i="5"/>
  <c r="D14" i="5"/>
  <c r="F14" i="5" s="1"/>
  <c r="AA13" i="5"/>
  <c r="Z13" i="5"/>
  <c r="Y13" i="5"/>
  <c r="D13" i="5"/>
  <c r="X12" i="5" s="1"/>
  <c r="AA12" i="5"/>
  <c r="Z12" i="5"/>
  <c r="Y12" i="5"/>
  <c r="D12" i="5"/>
  <c r="F12" i="5" s="1"/>
  <c r="AA11" i="5"/>
  <c r="Z11" i="5"/>
  <c r="Y11" i="5"/>
  <c r="D11" i="5"/>
  <c r="F11" i="5" s="1"/>
  <c r="AA10" i="5"/>
  <c r="Z10" i="5"/>
  <c r="Y10" i="5"/>
  <c r="D10" i="5"/>
  <c r="X9" i="5" s="1"/>
  <c r="AA9" i="5"/>
  <c r="Z9" i="5"/>
  <c r="Y9" i="5"/>
  <c r="D9" i="5"/>
  <c r="F9" i="5" s="1"/>
  <c r="AA8" i="5"/>
  <c r="Z8" i="5"/>
  <c r="Y8" i="5"/>
  <c r="D8" i="5"/>
  <c r="F8" i="5" s="1"/>
  <c r="AA7" i="5"/>
  <c r="Z7" i="5"/>
  <c r="Y7" i="5"/>
  <c r="X7" i="5"/>
  <c r="D7" i="5"/>
  <c r="X6" i="5" s="1"/>
  <c r="AA6" i="5"/>
  <c r="Z6" i="5"/>
  <c r="Y6" i="5"/>
  <c r="D6" i="5"/>
  <c r="AA5" i="5"/>
  <c r="Z5" i="5"/>
  <c r="Y5" i="5"/>
  <c r="D5" i="5"/>
  <c r="F5" i="5" s="1"/>
  <c r="AA4" i="5"/>
  <c r="Z4" i="5"/>
  <c r="Y4" i="5"/>
  <c r="D4" i="5"/>
  <c r="X3" i="5" s="1"/>
  <c r="AA3" i="5"/>
  <c r="Z3" i="5"/>
  <c r="Y3" i="5"/>
  <c r="AC41" i="1"/>
  <c r="AD41" i="1" s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AC42" i="1" s="1"/>
  <c r="Y3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K13" i="4"/>
  <c r="K12" i="4"/>
  <c r="K11" i="4"/>
  <c r="K10" i="4"/>
  <c r="K9" i="4"/>
  <c r="K8" i="4"/>
  <c r="K7" i="4"/>
  <c r="K6" i="4"/>
  <c r="K5" i="4"/>
  <c r="K4" i="4"/>
  <c r="D52" i="4"/>
  <c r="F52" i="4" s="1"/>
  <c r="D51" i="4"/>
  <c r="F51" i="4" s="1"/>
  <c r="D50" i="4"/>
  <c r="F50" i="4" s="1"/>
  <c r="D49" i="4"/>
  <c r="F49" i="4" s="1"/>
  <c r="D48" i="4"/>
  <c r="F48" i="4" s="1"/>
  <c r="D47" i="4"/>
  <c r="F47" i="4" s="1"/>
  <c r="D46" i="4"/>
  <c r="F45" i="4"/>
  <c r="D45" i="4"/>
  <c r="D44" i="4"/>
  <c r="F44" i="4" s="1"/>
  <c r="D43" i="4"/>
  <c r="F43" i="4" s="1"/>
  <c r="D42" i="4"/>
  <c r="F42" i="4" s="1"/>
  <c r="D41" i="4"/>
  <c r="F41" i="4" s="1"/>
  <c r="D40" i="4"/>
  <c r="F40" i="4" s="1"/>
  <c r="D39" i="4"/>
  <c r="D38" i="4"/>
  <c r="F38" i="4" s="1"/>
  <c r="D37" i="4"/>
  <c r="F37" i="4" s="1"/>
  <c r="D36" i="4"/>
  <c r="AA27" i="4"/>
  <c r="Z27" i="4"/>
  <c r="Y27" i="4"/>
  <c r="X27" i="4"/>
  <c r="X26" i="4"/>
  <c r="AA26" i="4"/>
  <c r="Z26" i="4"/>
  <c r="Y26" i="4"/>
  <c r="AA25" i="4"/>
  <c r="Z25" i="4"/>
  <c r="Y25" i="4"/>
  <c r="X24" i="4"/>
  <c r="AA24" i="4"/>
  <c r="Z24" i="4"/>
  <c r="Y24" i="4"/>
  <c r="AA23" i="4"/>
  <c r="Z23" i="4"/>
  <c r="Y23" i="4"/>
  <c r="X22" i="4"/>
  <c r="AA22" i="4"/>
  <c r="Z22" i="4"/>
  <c r="Y22" i="4"/>
  <c r="AA21" i="4"/>
  <c r="Z21" i="4"/>
  <c r="Y21" i="4"/>
  <c r="AA20" i="4"/>
  <c r="Z20" i="4"/>
  <c r="Y20" i="4"/>
  <c r="D20" i="4"/>
  <c r="X19" i="4" s="1"/>
  <c r="AA19" i="4"/>
  <c r="Z19" i="4"/>
  <c r="Y19" i="4"/>
  <c r="D19" i="4"/>
  <c r="F19" i="4" s="1"/>
  <c r="AA18" i="4"/>
  <c r="Z18" i="4"/>
  <c r="Y18" i="4"/>
  <c r="D18" i="4"/>
  <c r="X17" i="4" s="1"/>
  <c r="AA17" i="4"/>
  <c r="Z17" i="4"/>
  <c r="Y17" i="4"/>
  <c r="D17" i="4"/>
  <c r="F17" i="4" s="1"/>
  <c r="AA16" i="4"/>
  <c r="Z16" i="4"/>
  <c r="Y16" i="4"/>
  <c r="D16" i="4"/>
  <c r="X15" i="4" s="1"/>
  <c r="AA15" i="4"/>
  <c r="Z15" i="4"/>
  <c r="Y15" i="4"/>
  <c r="D15" i="4"/>
  <c r="X14" i="4" s="1"/>
  <c r="AA14" i="4"/>
  <c r="Z14" i="4"/>
  <c r="Y14" i="4"/>
  <c r="D14" i="4"/>
  <c r="F14" i="4" s="1"/>
  <c r="AA13" i="4"/>
  <c r="Z13" i="4"/>
  <c r="Y13" i="4"/>
  <c r="D13" i="4"/>
  <c r="X12" i="4" s="1"/>
  <c r="AA12" i="4"/>
  <c r="Z12" i="4"/>
  <c r="Y12" i="4"/>
  <c r="D12" i="4"/>
  <c r="F12" i="4" s="1"/>
  <c r="AA11" i="4"/>
  <c r="Z11" i="4"/>
  <c r="Y11" i="4"/>
  <c r="D11" i="4"/>
  <c r="F11" i="4" s="1"/>
  <c r="AA10" i="4"/>
  <c r="Z10" i="4"/>
  <c r="Y10" i="4"/>
  <c r="X9" i="4"/>
  <c r="AA9" i="4"/>
  <c r="Z9" i="4"/>
  <c r="Y9" i="4"/>
  <c r="AA8" i="4"/>
  <c r="Z8" i="4"/>
  <c r="Y8" i="4"/>
  <c r="D8" i="4"/>
  <c r="F8" i="4" s="1"/>
  <c r="AA7" i="4"/>
  <c r="Z7" i="4"/>
  <c r="Y7" i="4"/>
  <c r="D7" i="4"/>
  <c r="X6" i="4" s="1"/>
  <c r="AA6" i="4"/>
  <c r="Z6" i="4"/>
  <c r="Y6" i="4"/>
  <c r="D6" i="4"/>
  <c r="F6" i="4" s="1"/>
  <c r="AA5" i="4"/>
  <c r="Z5" i="4"/>
  <c r="Y5" i="4"/>
  <c r="X5" i="4"/>
  <c r="D5" i="4"/>
  <c r="F5" i="4" s="1"/>
  <c r="AA4" i="4"/>
  <c r="Z4" i="4"/>
  <c r="Y4" i="4"/>
  <c r="D4" i="4"/>
  <c r="X3" i="4" s="1"/>
  <c r="AA3" i="4"/>
  <c r="Z3" i="4"/>
  <c r="Y3" i="4"/>
  <c r="D52" i="3"/>
  <c r="F52" i="3" s="1"/>
  <c r="D51" i="3"/>
  <c r="F51" i="3" s="1"/>
  <c r="D50" i="3"/>
  <c r="F50" i="3" s="1"/>
  <c r="D49" i="3"/>
  <c r="F49" i="3" s="1"/>
  <c r="D48" i="3"/>
  <c r="F48" i="3" s="1"/>
  <c r="D47" i="3"/>
  <c r="F47" i="3" s="1"/>
  <c r="D46" i="3"/>
  <c r="F46" i="3" s="1"/>
  <c r="D45" i="3"/>
  <c r="F45" i="3" s="1"/>
  <c r="D44" i="3"/>
  <c r="F44" i="3" s="1"/>
  <c r="D43" i="3"/>
  <c r="F43" i="3" s="1"/>
  <c r="F42" i="3"/>
  <c r="D42" i="3"/>
  <c r="D41" i="3"/>
  <c r="F41" i="3" s="1"/>
  <c r="D40" i="3"/>
  <c r="F40" i="3" s="1"/>
  <c r="D39" i="3"/>
  <c r="F39" i="3" s="1"/>
  <c r="D38" i="3"/>
  <c r="F38" i="3" s="1"/>
  <c r="D37" i="3"/>
  <c r="D36" i="3"/>
  <c r="AA27" i="3"/>
  <c r="Z27" i="3"/>
  <c r="Y27" i="3"/>
  <c r="X27" i="3"/>
  <c r="AA26" i="3"/>
  <c r="Z26" i="3"/>
  <c r="Y26" i="3"/>
  <c r="X26" i="3"/>
  <c r="AA25" i="3"/>
  <c r="Z25" i="3"/>
  <c r="Y25" i="3"/>
  <c r="X24" i="3"/>
  <c r="AA24" i="3"/>
  <c r="Z24" i="3"/>
  <c r="Y24" i="3"/>
  <c r="AA23" i="3"/>
  <c r="Z23" i="3"/>
  <c r="Y23" i="3"/>
  <c r="X22" i="3"/>
  <c r="AA22" i="3"/>
  <c r="Z22" i="3"/>
  <c r="Y22" i="3"/>
  <c r="AA21" i="3"/>
  <c r="Z21" i="3"/>
  <c r="Y21" i="3"/>
  <c r="AA20" i="3"/>
  <c r="Z20" i="3"/>
  <c r="Y20" i="3"/>
  <c r="X20" i="3"/>
  <c r="AA19" i="3"/>
  <c r="Z19" i="3"/>
  <c r="Y19" i="3"/>
  <c r="X19" i="3"/>
  <c r="AA18" i="3"/>
  <c r="Z18" i="3"/>
  <c r="Y18" i="3"/>
  <c r="D18" i="3"/>
  <c r="X17" i="3" s="1"/>
  <c r="AA17" i="3"/>
  <c r="Z17" i="3"/>
  <c r="Y17" i="3"/>
  <c r="D17" i="3"/>
  <c r="F17" i="3" s="1"/>
  <c r="AA16" i="3"/>
  <c r="Z16" i="3"/>
  <c r="Y16" i="3"/>
  <c r="D16" i="3"/>
  <c r="X15" i="3" s="1"/>
  <c r="AA15" i="3"/>
  <c r="Z15" i="3"/>
  <c r="Y15" i="3"/>
  <c r="D15" i="3"/>
  <c r="F15" i="3" s="1"/>
  <c r="AA14" i="3"/>
  <c r="Z14" i="3"/>
  <c r="Y14" i="3"/>
  <c r="D14" i="3"/>
  <c r="F14" i="3" s="1"/>
  <c r="AA13" i="3"/>
  <c r="Z13" i="3"/>
  <c r="Y13" i="3"/>
  <c r="D13" i="3"/>
  <c r="X12" i="3" s="1"/>
  <c r="AA12" i="3"/>
  <c r="Z12" i="3"/>
  <c r="Y12" i="3"/>
  <c r="D12" i="3"/>
  <c r="F12" i="3" s="1"/>
  <c r="AA11" i="3"/>
  <c r="Z11" i="3"/>
  <c r="Y11" i="3"/>
  <c r="D11" i="3"/>
  <c r="F11" i="3" s="1"/>
  <c r="AA10" i="3"/>
  <c r="Z10" i="3"/>
  <c r="Y10" i="3"/>
  <c r="X10" i="3"/>
  <c r="D10" i="3"/>
  <c r="X9" i="3" s="1"/>
  <c r="AA9" i="3"/>
  <c r="Z9" i="3"/>
  <c r="Y9" i="3"/>
  <c r="D9" i="3"/>
  <c r="F9" i="3" s="1"/>
  <c r="AA8" i="3"/>
  <c r="Z8" i="3"/>
  <c r="Y8" i="3"/>
  <c r="D8" i="3"/>
  <c r="F8" i="3" s="1"/>
  <c r="AA7" i="3"/>
  <c r="Z7" i="3"/>
  <c r="Y7" i="3"/>
  <c r="D7" i="3"/>
  <c r="X6" i="3" s="1"/>
  <c r="AA6" i="3"/>
  <c r="Z6" i="3"/>
  <c r="Y6" i="3"/>
  <c r="D6" i="3"/>
  <c r="F6" i="3" s="1"/>
  <c r="AA5" i="3"/>
  <c r="Z5" i="3"/>
  <c r="Y5" i="3"/>
  <c r="D5" i="3"/>
  <c r="F5" i="3" s="1"/>
  <c r="AA4" i="3"/>
  <c r="Z4" i="3"/>
  <c r="Y4" i="3"/>
  <c r="D4" i="3"/>
  <c r="X3" i="3" s="1"/>
  <c r="AA3" i="3"/>
  <c r="Z3" i="3"/>
  <c r="Y3" i="3"/>
  <c r="D36" i="1"/>
  <c r="D55" i="1"/>
  <c r="F55" i="1" s="1"/>
  <c r="R43" i="20" l="1"/>
  <c r="S43" i="20"/>
  <c r="T43" i="20"/>
  <c r="U43" i="20"/>
  <c r="U51" i="20"/>
  <c r="T51" i="20"/>
  <c r="S51" i="20"/>
  <c r="R51" i="20"/>
  <c r="V51" i="20"/>
  <c r="V44" i="20"/>
  <c r="U44" i="20"/>
  <c r="T44" i="20"/>
  <c r="S44" i="20"/>
  <c r="R44" i="20"/>
  <c r="V42" i="20"/>
  <c r="U42" i="20"/>
  <c r="T42" i="20"/>
  <c r="S42" i="20"/>
  <c r="R42" i="20"/>
  <c r="V49" i="20"/>
  <c r="U49" i="20"/>
  <c r="T49" i="20"/>
  <c r="S49" i="20"/>
  <c r="R49" i="20"/>
  <c r="V47" i="20"/>
  <c r="U47" i="20"/>
  <c r="T47" i="20"/>
  <c r="S47" i="20"/>
  <c r="R47" i="20"/>
  <c r="V45" i="20"/>
  <c r="U45" i="20"/>
  <c r="T45" i="20"/>
  <c r="S45" i="20"/>
  <c r="R45" i="20"/>
  <c r="V50" i="20"/>
  <c r="U50" i="20"/>
  <c r="T50" i="20"/>
  <c r="S50" i="20"/>
  <c r="R50" i="20"/>
  <c r="R48" i="20"/>
  <c r="V48" i="20"/>
  <c r="U48" i="20"/>
  <c r="T48" i="20"/>
  <c r="S48" i="20"/>
  <c r="T46" i="20"/>
  <c r="S46" i="20"/>
  <c r="R46" i="20"/>
  <c r="V46" i="20"/>
  <c r="U46" i="20"/>
  <c r="P44" i="19"/>
  <c r="Q44" i="19"/>
  <c r="R44" i="19"/>
  <c r="N44" i="19"/>
  <c r="N52" i="19"/>
  <c r="O52" i="19"/>
  <c r="P52" i="19"/>
  <c r="Q52" i="19"/>
  <c r="R49" i="19"/>
  <c r="Q49" i="19"/>
  <c r="P49" i="19"/>
  <c r="O49" i="19"/>
  <c r="N49" i="19"/>
  <c r="R46" i="19"/>
  <c r="Q46" i="19"/>
  <c r="P46" i="19"/>
  <c r="O46" i="19"/>
  <c r="N46" i="19"/>
  <c r="P50" i="19"/>
  <c r="O50" i="19"/>
  <c r="N50" i="19"/>
  <c r="R50" i="19"/>
  <c r="Q50" i="19"/>
  <c r="P47" i="19"/>
  <c r="O47" i="19"/>
  <c r="N47" i="19"/>
  <c r="R47" i="19"/>
  <c r="Q47" i="19"/>
  <c r="Q48" i="19"/>
  <c r="P48" i="19"/>
  <c r="O48" i="19"/>
  <c r="N48" i="19"/>
  <c r="R48" i="19"/>
  <c r="R51" i="19"/>
  <c r="Q51" i="19"/>
  <c r="P51" i="19"/>
  <c r="O51" i="19"/>
  <c r="N51" i="19"/>
  <c r="R45" i="19"/>
  <c r="Q45" i="19"/>
  <c r="P45" i="19"/>
  <c r="O45" i="19"/>
  <c r="N45" i="19"/>
  <c r="R43" i="19"/>
  <c r="Q43" i="19"/>
  <c r="O43" i="19"/>
  <c r="P43" i="19"/>
  <c r="N43" i="19"/>
  <c r="AD42" i="1"/>
  <c r="AE42" i="1"/>
  <c r="AF42" i="1"/>
  <c r="AG42" i="1"/>
  <c r="AC40" i="1"/>
  <c r="AC39" i="1"/>
  <c r="AC38" i="1"/>
  <c r="AC37" i="1"/>
  <c r="AG41" i="1"/>
  <c r="AC36" i="1"/>
  <c r="AC35" i="1"/>
  <c r="AF41" i="1"/>
  <c r="AE41" i="1"/>
  <c r="AC34" i="1"/>
  <c r="AC43" i="1"/>
  <c r="N52" i="2"/>
  <c r="N51" i="2"/>
  <c r="N60" i="2"/>
  <c r="N59" i="2"/>
  <c r="N58" i="2"/>
  <c r="N57" i="2"/>
  <c r="N56" i="2"/>
  <c r="N55" i="2"/>
  <c r="N54" i="2"/>
  <c r="N53" i="2"/>
  <c r="AC40" i="15"/>
  <c r="AD40" i="15" s="1"/>
  <c r="X10" i="15"/>
  <c r="K12" i="15"/>
  <c r="X13" i="15"/>
  <c r="K43" i="15"/>
  <c r="F36" i="15"/>
  <c r="K39" i="15"/>
  <c r="X14" i="15"/>
  <c r="K8" i="15"/>
  <c r="X4" i="15"/>
  <c r="K11" i="15"/>
  <c r="X19" i="15"/>
  <c r="X7" i="15"/>
  <c r="X3" i="15"/>
  <c r="K5" i="15"/>
  <c r="X5" i="15"/>
  <c r="X8" i="15"/>
  <c r="X11" i="15"/>
  <c r="X21" i="15"/>
  <c r="F37" i="15"/>
  <c r="K38" i="15"/>
  <c r="AC39" i="15"/>
  <c r="K44" i="15"/>
  <c r="F4" i="15"/>
  <c r="F7" i="15"/>
  <c r="F10" i="15"/>
  <c r="F13" i="15"/>
  <c r="F18" i="15"/>
  <c r="AC34" i="15"/>
  <c r="X23" i="15"/>
  <c r="K37" i="15"/>
  <c r="AC38" i="15"/>
  <c r="K4" i="15"/>
  <c r="K7" i="15"/>
  <c r="K10" i="15"/>
  <c r="K13" i="15"/>
  <c r="K36" i="15"/>
  <c r="AC37" i="15"/>
  <c r="K42" i="15"/>
  <c r="AC43" i="15"/>
  <c r="K35" i="15"/>
  <c r="AC36" i="15"/>
  <c r="K41" i="15"/>
  <c r="AC42" i="15"/>
  <c r="K6" i="15"/>
  <c r="K9" i="15"/>
  <c r="AC35" i="15"/>
  <c r="K40" i="15"/>
  <c r="AC41" i="15"/>
  <c r="K38" i="14"/>
  <c r="AC39" i="14"/>
  <c r="AD39" i="14" s="1"/>
  <c r="F15" i="14"/>
  <c r="F17" i="14"/>
  <c r="K44" i="14"/>
  <c r="K39" i="14"/>
  <c r="AC40" i="14"/>
  <c r="AF40" i="14" s="1"/>
  <c r="X7" i="14"/>
  <c r="X5" i="14"/>
  <c r="X26" i="14"/>
  <c r="X10" i="14"/>
  <c r="X8" i="14"/>
  <c r="X4" i="14"/>
  <c r="K5" i="14"/>
  <c r="K8" i="14"/>
  <c r="K11" i="14"/>
  <c r="AC34" i="14"/>
  <c r="X23" i="14"/>
  <c r="F25" i="14"/>
  <c r="F36" i="14"/>
  <c r="K37" i="14"/>
  <c r="AC38" i="14"/>
  <c r="K43" i="14"/>
  <c r="K4" i="14"/>
  <c r="K7" i="14"/>
  <c r="K10" i="14"/>
  <c r="K13" i="14"/>
  <c r="AF39" i="14"/>
  <c r="K36" i="14"/>
  <c r="AC37" i="14"/>
  <c r="AG39" i="14"/>
  <c r="K42" i="14"/>
  <c r="AC43" i="14"/>
  <c r="F7" i="14"/>
  <c r="F13" i="14"/>
  <c r="K35" i="14"/>
  <c r="AC36" i="14"/>
  <c r="K41" i="14"/>
  <c r="AC42" i="14"/>
  <c r="F10" i="14"/>
  <c r="F18" i="14"/>
  <c r="K6" i="14"/>
  <c r="K9" i="14"/>
  <c r="K12" i="14"/>
  <c r="X3" i="14"/>
  <c r="AC35" i="14"/>
  <c r="K40" i="14"/>
  <c r="AC41" i="14"/>
  <c r="K36" i="13"/>
  <c r="F38" i="13"/>
  <c r="AC39" i="13"/>
  <c r="AG39" i="13" s="1"/>
  <c r="X11" i="13"/>
  <c r="F17" i="13"/>
  <c r="X13" i="13"/>
  <c r="K43" i="13"/>
  <c r="F41" i="13"/>
  <c r="K41" i="13"/>
  <c r="K39" i="13"/>
  <c r="K44" i="13"/>
  <c r="K37" i="13"/>
  <c r="K42" i="13"/>
  <c r="K35" i="13"/>
  <c r="K40" i="13"/>
  <c r="AC40" i="13"/>
  <c r="AE40" i="13" s="1"/>
  <c r="X10" i="13"/>
  <c r="X8" i="13"/>
  <c r="X4" i="13"/>
  <c r="F4" i="13"/>
  <c r="F7" i="13"/>
  <c r="F10" i="13"/>
  <c r="F13" i="13"/>
  <c r="AC34" i="13"/>
  <c r="X23" i="13"/>
  <c r="AC38" i="13"/>
  <c r="AC37" i="13"/>
  <c r="AC43" i="13"/>
  <c r="AC36" i="13"/>
  <c r="AC42" i="13"/>
  <c r="AC35" i="13"/>
  <c r="AC41" i="13"/>
  <c r="K39" i="12"/>
  <c r="X13" i="12"/>
  <c r="X11" i="12"/>
  <c r="X15" i="12"/>
  <c r="K38" i="12"/>
  <c r="K36" i="12"/>
  <c r="F39" i="12"/>
  <c r="K41" i="12"/>
  <c r="K43" i="12"/>
  <c r="K44" i="12"/>
  <c r="K37" i="12"/>
  <c r="K42" i="12"/>
  <c r="K35" i="12"/>
  <c r="K40" i="12"/>
  <c r="AC40" i="12"/>
  <c r="AG40" i="12" s="1"/>
  <c r="X10" i="12"/>
  <c r="X8" i="12"/>
  <c r="X4" i="12"/>
  <c r="K5" i="12"/>
  <c r="K8" i="12"/>
  <c r="K11" i="12"/>
  <c r="F4" i="12"/>
  <c r="F7" i="12"/>
  <c r="F10" i="12"/>
  <c r="F13" i="12"/>
  <c r="AC34" i="12"/>
  <c r="AC39" i="12"/>
  <c r="X23" i="12"/>
  <c r="AC38" i="12"/>
  <c r="K4" i="12"/>
  <c r="K7" i="12"/>
  <c r="K10" i="12"/>
  <c r="K13" i="12"/>
  <c r="AC37" i="12"/>
  <c r="AC43" i="12"/>
  <c r="AC36" i="12"/>
  <c r="AC42" i="12"/>
  <c r="K6" i="12"/>
  <c r="K9" i="12"/>
  <c r="K12" i="12"/>
  <c r="AC35" i="12"/>
  <c r="AC41" i="12"/>
  <c r="K44" i="11"/>
  <c r="F36" i="11"/>
  <c r="X18" i="11"/>
  <c r="X10" i="11"/>
  <c r="X8" i="11"/>
  <c r="K37" i="11"/>
  <c r="K43" i="11"/>
  <c r="K38" i="11"/>
  <c r="K39" i="11"/>
  <c r="H1" i="11"/>
  <c r="AC40" i="11"/>
  <c r="AG40" i="11" s="1"/>
  <c r="AC39" i="11"/>
  <c r="AG39" i="11" s="1"/>
  <c r="X11" i="11"/>
  <c r="X15" i="11"/>
  <c r="X21" i="11"/>
  <c r="X23" i="11"/>
  <c r="X25" i="11"/>
  <c r="X7" i="11"/>
  <c r="X5" i="11"/>
  <c r="K5" i="11"/>
  <c r="K8" i="11"/>
  <c r="K11" i="11"/>
  <c r="F4" i="11"/>
  <c r="F7" i="11"/>
  <c r="F10" i="11"/>
  <c r="F13" i="11"/>
  <c r="F18" i="11"/>
  <c r="AC34" i="11"/>
  <c r="AC38" i="11"/>
  <c r="K4" i="11"/>
  <c r="K7" i="11"/>
  <c r="K10" i="11"/>
  <c r="K13" i="11"/>
  <c r="F20" i="11"/>
  <c r="F45" i="11"/>
  <c r="K36" i="11"/>
  <c r="AC37" i="11"/>
  <c r="K42" i="11"/>
  <c r="AC43" i="11"/>
  <c r="K35" i="11"/>
  <c r="AC36" i="11"/>
  <c r="K41" i="11"/>
  <c r="AC42" i="11"/>
  <c r="K6" i="11"/>
  <c r="K9" i="11"/>
  <c r="K12" i="11"/>
  <c r="AC35" i="11"/>
  <c r="K40" i="11"/>
  <c r="AC41" i="11"/>
  <c r="AC39" i="9"/>
  <c r="AE39" i="9" s="1"/>
  <c r="X13" i="9"/>
  <c r="K39" i="9"/>
  <c r="AC40" i="9"/>
  <c r="AF40" i="9" s="1"/>
  <c r="F15" i="9"/>
  <c r="F19" i="9"/>
  <c r="K5" i="9"/>
  <c r="K11" i="9"/>
  <c r="F17" i="9"/>
  <c r="F21" i="9"/>
  <c r="X5" i="9"/>
  <c r="X11" i="9"/>
  <c r="X21" i="9"/>
  <c r="F16" i="9"/>
  <c r="X4" i="9"/>
  <c r="K8" i="9"/>
  <c r="X10" i="9"/>
  <c r="X8" i="9"/>
  <c r="AG39" i="9"/>
  <c r="AF39" i="9"/>
  <c r="F4" i="9"/>
  <c r="F7" i="9"/>
  <c r="F10" i="9"/>
  <c r="F13" i="9"/>
  <c r="F18" i="9"/>
  <c r="AC34" i="9"/>
  <c r="X23" i="9"/>
  <c r="K37" i="9"/>
  <c r="AC38" i="9"/>
  <c r="K43" i="9"/>
  <c r="K4" i="9"/>
  <c r="K7" i="9"/>
  <c r="K10" i="9"/>
  <c r="K13" i="9"/>
  <c r="F23" i="9"/>
  <c r="K36" i="9"/>
  <c r="AC37" i="9"/>
  <c r="K42" i="9"/>
  <c r="AC43" i="9"/>
  <c r="K44" i="9"/>
  <c r="K35" i="9"/>
  <c r="AC36" i="9"/>
  <c r="K41" i="9"/>
  <c r="AC42" i="9"/>
  <c r="K6" i="9"/>
  <c r="K9" i="9"/>
  <c r="K12" i="9"/>
  <c r="AC35" i="9"/>
  <c r="K40" i="9"/>
  <c r="AC41" i="9"/>
  <c r="K38" i="9"/>
  <c r="F37" i="9"/>
  <c r="K37" i="8"/>
  <c r="K43" i="8"/>
  <c r="K36" i="8"/>
  <c r="X4" i="8"/>
  <c r="F41" i="8"/>
  <c r="K39" i="8"/>
  <c r="F36" i="8"/>
  <c r="K42" i="8"/>
  <c r="AC40" i="8"/>
  <c r="AG40" i="8" s="1"/>
  <c r="AC37" i="8"/>
  <c r="AG37" i="8" s="1"/>
  <c r="AC38" i="8"/>
  <c r="AD38" i="8" s="1"/>
  <c r="AC42" i="8"/>
  <c r="AG42" i="8" s="1"/>
  <c r="F10" i="8"/>
  <c r="K9" i="8"/>
  <c r="F4" i="8"/>
  <c r="X10" i="8"/>
  <c r="F13" i="8"/>
  <c r="F15" i="8"/>
  <c r="X23" i="8"/>
  <c r="X25" i="8"/>
  <c r="F7" i="8"/>
  <c r="X13" i="8"/>
  <c r="X15" i="8"/>
  <c r="X7" i="8"/>
  <c r="F12" i="8"/>
  <c r="K41" i="8"/>
  <c r="K5" i="8"/>
  <c r="K8" i="8"/>
  <c r="K11" i="8"/>
  <c r="F17" i="8"/>
  <c r="X5" i="8"/>
  <c r="X8" i="8"/>
  <c r="X21" i="8"/>
  <c r="K38" i="8"/>
  <c r="AC39" i="8"/>
  <c r="K44" i="8"/>
  <c r="K35" i="8"/>
  <c r="AC34" i="8"/>
  <c r="K4" i="8"/>
  <c r="K7" i="8"/>
  <c r="K10" i="8"/>
  <c r="K13" i="8"/>
  <c r="AC43" i="8"/>
  <c r="AC36" i="8"/>
  <c r="K12" i="8"/>
  <c r="AC35" i="8"/>
  <c r="K40" i="8"/>
  <c r="AC41" i="8"/>
  <c r="K6" i="8"/>
  <c r="F6" i="8"/>
  <c r="X19" i="7"/>
  <c r="K8" i="7"/>
  <c r="X7" i="7"/>
  <c r="K39" i="7"/>
  <c r="AC40" i="7"/>
  <c r="AD40" i="7" s="1"/>
  <c r="F15" i="7"/>
  <c r="F19" i="7"/>
  <c r="F21" i="7"/>
  <c r="X4" i="7"/>
  <c r="X13" i="7"/>
  <c r="F17" i="7"/>
  <c r="K5" i="7"/>
  <c r="F16" i="7"/>
  <c r="K11" i="7"/>
  <c r="K6" i="7"/>
  <c r="X10" i="7"/>
  <c r="X5" i="7"/>
  <c r="X8" i="7"/>
  <c r="X11" i="7"/>
  <c r="X21" i="7"/>
  <c r="F37" i="7"/>
  <c r="K38" i="7"/>
  <c r="AC39" i="7"/>
  <c r="K44" i="7"/>
  <c r="F4" i="7"/>
  <c r="F7" i="7"/>
  <c r="F10" i="7"/>
  <c r="F13" i="7"/>
  <c r="F18" i="7"/>
  <c r="AC34" i="7"/>
  <c r="X23" i="7"/>
  <c r="K37" i="7"/>
  <c r="AC38" i="7"/>
  <c r="K43" i="7"/>
  <c r="K4" i="7"/>
  <c r="K7" i="7"/>
  <c r="K10" i="7"/>
  <c r="K13" i="7"/>
  <c r="K36" i="7"/>
  <c r="AC37" i="7"/>
  <c r="K42" i="7"/>
  <c r="AC43" i="7"/>
  <c r="F6" i="7"/>
  <c r="K35" i="7"/>
  <c r="AC36" i="7"/>
  <c r="K41" i="7"/>
  <c r="AC42" i="7"/>
  <c r="K9" i="7"/>
  <c r="K12" i="7"/>
  <c r="AC35" i="7"/>
  <c r="K40" i="7"/>
  <c r="AC41" i="7"/>
  <c r="K5" i="6"/>
  <c r="F36" i="6"/>
  <c r="AC39" i="6"/>
  <c r="AG39" i="6" s="1"/>
  <c r="AC40" i="6"/>
  <c r="AD40" i="6" s="1"/>
  <c r="F15" i="6"/>
  <c r="K11" i="6"/>
  <c r="F17" i="6"/>
  <c r="F21" i="6"/>
  <c r="X5" i="6"/>
  <c r="X11" i="6"/>
  <c r="X19" i="6"/>
  <c r="X21" i="6"/>
  <c r="F16" i="6"/>
  <c r="K8" i="6"/>
  <c r="X10" i="6"/>
  <c r="X8" i="6"/>
  <c r="F4" i="6"/>
  <c r="F7" i="6"/>
  <c r="F10" i="6"/>
  <c r="F18" i="6"/>
  <c r="AC34" i="6"/>
  <c r="F37" i="6"/>
  <c r="X23" i="6"/>
  <c r="AC38" i="6"/>
  <c r="K4" i="6"/>
  <c r="K7" i="6"/>
  <c r="K10" i="6"/>
  <c r="K13" i="6"/>
  <c r="AC37" i="6"/>
  <c r="AC43" i="6"/>
  <c r="AC36" i="6"/>
  <c r="AC42" i="6"/>
  <c r="K6" i="6"/>
  <c r="K9" i="6"/>
  <c r="K12" i="6"/>
  <c r="AC35" i="6"/>
  <c r="AC41" i="6"/>
  <c r="K35" i="5"/>
  <c r="K44" i="5"/>
  <c r="F36" i="5"/>
  <c r="K39" i="5"/>
  <c r="K36" i="5"/>
  <c r="K41" i="5"/>
  <c r="AC40" i="5"/>
  <c r="AE40" i="5" s="1"/>
  <c r="AC42" i="5"/>
  <c r="AE42" i="5" s="1"/>
  <c r="AC36" i="5"/>
  <c r="AG36" i="5" s="1"/>
  <c r="X14" i="5"/>
  <c r="X10" i="5"/>
  <c r="K6" i="5"/>
  <c r="X25" i="5"/>
  <c r="F17" i="5"/>
  <c r="X19" i="5"/>
  <c r="X4" i="5"/>
  <c r="X13" i="5"/>
  <c r="X15" i="5"/>
  <c r="AD42" i="5"/>
  <c r="AG40" i="5"/>
  <c r="AF40" i="5"/>
  <c r="K5" i="5"/>
  <c r="K11" i="5"/>
  <c r="X5" i="5"/>
  <c r="X8" i="5"/>
  <c r="X11" i="5"/>
  <c r="X21" i="5"/>
  <c r="K38" i="5"/>
  <c r="AC39" i="5"/>
  <c r="K8" i="5"/>
  <c r="F4" i="5"/>
  <c r="F7" i="5"/>
  <c r="F10" i="5"/>
  <c r="F13" i="5"/>
  <c r="AC34" i="5"/>
  <c r="X23" i="5"/>
  <c r="K37" i="5"/>
  <c r="AC38" i="5"/>
  <c r="K43" i="5"/>
  <c r="K4" i="5"/>
  <c r="K7" i="5"/>
  <c r="K10" i="5"/>
  <c r="K13" i="5"/>
  <c r="X18" i="5"/>
  <c r="AC37" i="5"/>
  <c r="K42" i="5"/>
  <c r="AC43" i="5"/>
  <c r="F6" i="5"/>
  <c r="F40" i="5"/>
  <c r="K9" i="5"/>
  <c r="K12" i="5"/>
  <c r="AC35" i="5"/>
  <c r="F39" i="5"/>
  <c r="K40" i="5"/>
  <c r="AC41" i="5"/>
  <c r="K39" i="4"/>
  <c r="F39" i="4"/>
  <c r="K42" i="4"/>
  <c r="K43" i="4"/>
  <c r="K38" i="4"/>
  <c r="F36" i="4"/>
  <c r="K35" i="4"/>
  <c r="K36" i="4"/>
  <c r="K41" i="4"/>
  <c r="K37" i="4"/>
  <c r="X10" i="4"/>
  <c r="X8" i="4"/>
  <c r="F20" i="4"/>
  <c r="X20" i="4"/>
  <c r="X11" i="4"/>
  <c r="X7" i="4"/>
  <c r="X18" i="4"/>
  <c r="X4" i="4"/>
  <c r="F15" i="4"/>
  <c r="X21" i="4"/>
  <c r="X23" i="4"/>
  <c r="X25" i="4"/>
  <c r="X13" i="4"/>
  <c r="F16" i="4"/>
  <c r="K44" i="4"/>
  <c r="F4" i="4"/>
  <c r="F7" i="4"/>
  <c r="F13" i="4"/>
  <c r="X16" i="4"/>
  <c r="F18" i="4"/>
  <c r="F46" i="4"/>
  <c r="K40" i="4"/>
  <c r="K36" i="3"/>
  <c r="K42" i="3"/>
  <c r="K35" i="3"/>
  <c r="K39" i="3"/>
  <c r="F36" i="3"/>
  <c r="K43" i="3"/>
  <c r="K4" i="3"/>
  <c r="K7" i="3"/>
  <c r="K5" i="3"/>
  <c r="X7" i="3"/>
  <c r="X14" i="3"/>
  <c r="X23" i="3"/>
  <c r="X25" i="3"/>
  <c r="X4" i="3"/>
  <c r="X13" i="3"/>
  <c r="K8" i="3"/>
  <c r="K11" i="3"/>
  <c r="F16" i="3"/>
  <c r="X11" i="3"/>
  <c r="X21" i="3"/>
  <c r="K38" i="3"/>
  <c r="K44" i="3"/>
  <c r="X5" i="3"/>
  <c r="X8" i="3"/>
  <c r="K41" i="3"/>
  <c r="F4" i="3"/>
  <c r="F7" i="3"/>
  <c r="F10" i="3"/>
  <c r="F13" i="3"/>
  <c r="F18" i="3"/>
  <c r="X16" i="3"/>
  <c r="K10" i="3"/>
  <c r="K13" i="3"/>
  <c r="X18" i="3"/>
  <c r="F37" i="3"/>
  <c r="K12" i="3"/>
  <c r="K6" i="3"/>
  <c r="K9" i="3"/>
  <c r="K37" i="3"/>
  <c r="K40" i="3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Y19" i="1"/>
  <c r="Z19" i="1"/>
  <c r="AA19" i="1"/>
  <c r="Y20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X27" i="1"/>
  <c r="AA3" i="1"/>
  <c r="Z3" i="1"/>
  <c r="Y3" i="1"/>
  <c r="AG35" i="1" l="1"/>
  <c r="AF35" i="1"/>
  <c r="AD35" i="1"/>
  <c r="AE35" i="1"/>
  <c r="AF36" i="1"/>
  <c r="AG36" i="1"/>
  <c r="AD36" i="1"/>
  <c r="AE36" i="1"/>
  <c r="AF37" i="1"/>
  <c r="AG37" i="1"/>
  <c r="AD37" i="1"/>
  <c r="AE37" i="1"/>
  <c r="AE38" i="1"/>
  <c r="AF38" i="1"/>
  <c r="AG38" i="1"/>
  <c r="AD38" i="1"/>
  <c r="AE39" i="1"/>
  <c r="AD39" i="1"/>
  <c r="AF39" i="1"/>
  <c r="AG39" i="1"/>
  <c r="AD40" i="1"/>
  <c r="AE40" i="1"/>
  <c r="AF40" i="1"/>
  <c r="AG40" i="1"/>
  <c r="AD43" i="1"/>
  <c r="AE43" i="1"/>
  <c r="AF43" i="1"/>
  <c r="AG43" i="1"/>
  <c r="AD34" i="1"/>
  <c r="AE34" i="1"/>
  <c r="AF34" i="1"/>
  <c r="AG34" i="1"/>
  <c r="R52" i="2"/>
  <c r="S52" i="2"/>
  <c r="R53" i="2"/>
  <c r="S53" i="2"/>
  <c r="R54" i="2"/>
  <c r="S54" i="2"/>
  <c r="O55" i="2"/>
  <c r="R55" i="2"/>
  <c r="S55" i="2"/>
  <c r="P56" i="2"/>
  <c r="R56" i="2"/>
  <c r="S56" i="2"/>
  <c r="S60" i="2"/>
  <c r="R60" i="2"/>
  <c r="O58" i="2"/>
  <c r="S58" i="2"/>
  <c r="R58" i="2"/>
  <c r="P59" i="2"/>
  <c r="S59" i="2"/>
  <c r="R59" i="2"/>
  <c r="O57" i="2"/>
  <c r="R57" i="2"/>
  <c r="S57" i="2"/>
  <c r="R51" i="2"/>
  <c r="S51" i="2"/>
  <c r="Q59" i="2"/>
  <c r="O59" i="2"/>
  <c r="P57" i="2"/>
  <c r="Q56" i="2"/>
  <c r="O56" i="2"/>
  <c r="Q57" i="2"/>
  <c r="AF40" i="15"/>
  <c r="AE40" i="15"/>
  <c r="AG40" i="15"/>
  <c r="AG39" i="15"/>
  <c r="AF39" i="15"/>
  <c r="AE39" i="15"/>
  <c r="AD39" i="15"/>
  <c r="AG42" i="15"/>
  <c r="AF42" i="15"/>
  <c r="AE42" i="15"/>
  <c r="AD42" i="15"/>
  <c r="AG38" i="15"/>
  <c r="AF38" i="15"/>
  <c r="AE38" i="15"/>
  <c r="AD38" i="15"/>
  <c r="AG36" i="15"/>
  <c r="AF36" i="15"/>
  <c r="AE36" i="15"/>
  <c r="AD36" i="15"/>
  <c r="AG34" i="15"/>
  <c r="AF34" i="15"/>
  <c r="AE34" i="15"/>
  <c r="AD34" i="15"/>
  <c r="AG43" i="15"/>
  <c r="AF43" i="15"/>
  <c r="AE43" i="15"/>
  <c r="AD43" i="15"/>
  <c r="AG37" i="15"/>
  <c r="AF37" i="15"/>
  <c r="AE37" i="15"/>
  <c r="AD37" i="15"/>
  <c r="AE41" i="15"/>
  <c r="AD41" i="15"/>
  <c r="AF41" i="15"/>
  <c r="AG41" i="15"/>
  <c r="AE35" i="15"/>
  <c r="AF35" i="15"/>
  <c r="AD35" i="15"/>
  <c r="AG35" i="15"/>
  <c r="AD40" i="14"/>
  <c r="AG40" i="14"/>
  <c r="AE39" i="14"/>
  <c r="AE40" i="14"/>
  <c r="AG37" i="14"/>
  <c r="AF37" i="14"/>
  <c r="AE37" i="14"/>
  <c r="AD37" i="14"/>
  <c r="AG34" i="14"/>
  <c r="AF34" i="14"/>
  <c r="AE34" i="14"/>
  <c r="AD34" i="14"/>
  <c r="AG42" i="14"/>
  <c r="AF42" i="14"/>
  <c r="AE42" i="14"/>
  <c r="AD42" i="14"/>
  <c r="AG36" i="14"/>
  <c r="AF36" i="14"/>
  <c r="AE36" i="14"/>
  <c r="AD36" i="14"/>
  <c r="AE41" i="14"/>
  <c r="AD41" i="14"/>
  <c r="AG41" i="14"/>
  <c r="AF41" i="14"/>
  <c r="AE35" i="14"/>
  <c r="AD35" i="14"/>
  <c r="AF35" i="14"/>
  <c r="AG35" i="14"/>
  <c r="AG43" i="14"/>
  <c r="AF43" i="14"/>
  <c r="AE43" i="14"/>
  <c r="AD43" i="14"/>
  <c r="AG38" i="14"/>
  <c r="AF38" i="14"/>
  <c r="AE38" i="14"/>
  <c r="AD38" i="14"/>
  <c r="AF39" i="13"/>
  <c r="AE39" i="13"/>
  <c r="AD39" i="13"/>
  <c r="AF40" i="13"/>
  <c r="AD40" i="13"/>
  <c r="AG40" i="13"/>
  <c r="AG43" i="13"/>
  <c r="AF43" i="13"/>
  <c r="AE43" i="13"/>
  <c r="AD43" i="13"/>
  <c r="AG37" i="13"/>
  <c r="AF37" i="13"/>
  <c r="AE37" i="13"/>
  <c r="AD37" i="13"/>
  <c r="AE41" i="13"/>
  <c r="AD41" i="13"/>
  <c r="AG41" i="13"/>
  <c r="AF41" i="13"/>
  <c r="AE35" i="13"/>
  <c r="AD35" i="13"/>
  <c r="AG35" i="13"/>
  <c r="AF35" i="13"/>
  <c r="AG38" i="13"/>
  <c r="AF38" i="13"/>
  <c r="AE38" i="13"/>
  <c r="AD38" i="13"/>
  <c r="AG42" i="13"/>
  <c r="AF42" i="13"/>
  <c r="AE42" i="13"/>
  <c r="AD42" i="13"/>
  <c r="AG36" i="13"/>
  <c r="AF36" i="13"/>
  <c r="AE36" i="13"/>
  <c r="AD36" i="13"/>
  <c r="AG34" i="13"/>
  <c r="AF34" i="13"/>
  <c r="AE34" i="13"/>
  <c r="AD34" i="13"/>
  <c r="AD40" i="12"/>
  <c r="AF40" i="12"/>
  <c r="AE40" i="12"/>
  <c r="AG42" i="12"/>
  <c r="AF42" i="12"/>
  <c r="AE42" i="12"/>
  <c r="AD42" i="12"/>
  <c r="AG36" i="12"/>
  <c r="AF36" i="12"/>
  <c r="AE36" i="12"/>
  <c r="AD36" i="12"/>
  <c r="AG43" i="12"/>
  <c r="AF43" i="12"/>
  <c r="AE43" i="12"/>
  <c r="AD43" i="12"/>
  <c r="AG37" i="12"/>
  <c r="AF37" i="12"/>
  <c r="AE37" i="12"/>
  <c r="AD37" i="12"/>
  <c r="AE41" i="12"/>
  <c r="AD41" i="12"/>
  <c r="AG41" i="12"/>
  <c r="AF41" i="12"/>
  <c r="AE35" i="12"/>
  <c r="AD35" i="12"/>
  <c r="AG35" i="12"/>
  <c r="AF35" i="12"/>
  <c r="AG38" i="12"/>
  <c r="AF38" i="12"/>
  <c r="AE38" i="12"/>
  <c r="AD38" i="12"/>
  <c r="AG39" i="12"/>
  <c r="AF39" i="12"/>
  <c r="AE39" i="12"/>
  <c r="AD39" i="12"/>
  <c r="AG34" i="12"/>
  <c r="AF34" i="12"/>
  <c r="AE34" i="12"/>
  <c r="AD34" i="12"/>
  <c r="AE40" i="11"/>
  <c r="AD40" i="11"/>
  <c r="AF40" i="11"/>
  <c r="AF39" i="11"/>
  <c r="AE39" i="11"/>
  <c r="AD39" i="11"/>
  <c r="AG42" i="11"/>
  <c r="AF42" i="11"/>
  <c r="AE42" i="11"/>
  <c r="AD42" i="11"/>
  <c r="AG36" i="11"/>
  <c r="AF36" i="11"/>
  <c r="AE36" i="11"/>
  <c r="AD36" i="11"/>
  <c r="AG38" i="11"/>
  <c r="AF38" i="11"/>
  <c r="AE38" i="11"/>
  <c r="AD38" i="11"/>
  <c r="AE35" i="11"/>
  <c r="AD35" i="11"/>
  <c r="AG35" i="11"/>
  <c r="AF35" i="11"/>
  <c r="AG43" i="11"/>
  <c r="AF43" i="11"/>
  <c r="AE43" i="11"/>
  <c r="AD43" i="11"/>
  <c r="AD34" i="11"/>
  <c r="AG34" i="11"/>
  <c r="AF34" i="11"/>
  <c r="AE34" i="11"/>
  <c r="AE41" i="11"/>
  <c r="AD41" i="11"/>
  <c r="AG41" i="11"/>
  <c r="AF41" i="11"/>
  <c r="AG37" i="11"/>
  <c r="AF37" i="11"/>
  <c r="AE37" i="11"/>
  <c r="AD37" i="11"/>
  <c r="AD39" i="9"/>
  <c r="AE40" i="9"/>
  <c r="AG40" i="9"/>
  <c r="AD40" i="9"/>
  <c r="AE35" i="9"/>
  <c r="AD35" i="9"/>
  <c r="AG35" i="9"/>
  <c r="AF35" i="9"/>
  <c r="AG42" i="9"/>
  <c r="AF42" i="9"/>
  <c r="AE42" i="9"/>
  <c r="AD42" i="9"/>
  <c r="AG36" i="9"/>
  <c r="AF36" i="9"/>
  <c r="AE36" i="9"/>
  <c r="AD36" i="9"/>
  <c r="AG38" i="9"/>
  <c r="AF38" i="9"/>
  <c r="AE38" i="9"/>
  <c r="AD38" i="9"/>
  <c r="AG43" i="9"/>
  <c r="AF43" i="9"/>
  <c r="AE43" i="9"/>
  <c r="AD43" i="9"/>
  <c r="AE41" i="9"/>
  <c r="AF41" i="9"/>
  <c r="AD41" i="9"/>
  <c r="AG41" i="9"/>
  <c r="AG34" i="9"/>
  <c r="AF34" i="9"/>
  <c r="AE34" i="9"/>
  <c r="AD34" i="9"/>
  <c r="AG37" i="9"/>
  <c r="AF37" i="9"/>
  <c r="AE37" i="9"/>
  <c r="AD37" i="9"/>
  <c r="AG38" i="8"/>
  <c r="AE42" i="8"/>
  <c r="AE37" i="8"/>
  <c r="AF37" i="8"/>
  <c r="AF42" i="8"/>
  <c r="AD42" i="8"/>
  <c r="AF38" i="8"/>
  <c r="AD40" i="8"/>
  <c r="AE40" i="8"/>
  <c r="AF40" i="8"/>
  <c r="AD37" i="8"/>
  <c r="AE38" i="8"/>
  <c r="AG39" i="8"/>
  <c r="AF39" i="8"/>
  <c r="AE39" i="8"/>
  <c r="AD39" i="8"/>
  <c r="AD43" i="8"/>
  <c r="AG43" i="8"/>
  <c r="AF43" i="8"/>
  <c r="AE43" i="8"/>
  <c r="AG36" i="8"/>
  <c r="AD36" i="8"/>
  <c r="AF36" i="8"/>
  <c r="AE36" i="8"/>
  <c r="AE41" i="8"/>
  <c r="AD41" i="8"/>
  <c r="AG41" i="8"/>
  <c r="AF41" i="8"/>
  <c r="AD34" i="8"/>
  <c r="AE34" i="8"/>
  <c r="AG34" i="8"/>
  <c r="AF34" i="8"/>
  <c r="AE35" i="8"/>
  <c r="AD35" i="8"/>
  <c r="AG35" i="8"/>
  <c r="AF35" i="8"/>
  <c r="AE40" i="7"/>
  <c r="AF40" i="7"/>
  <c r="AG40" i="7"/>
  <c r="AG38" i="7"/>
  <c r="AF38" i="7"/>
  <c r="AE38" i="7"/>
  <c r="AD38" i="7"/>
  <c r="AG39" i="7"/>
  <c r="AF39" i="7"/>
  <c r="AE39" i="7"/>
  <c r="AD39" i="7"/>
  <c r="AG43" i="7"/>
  <c r="AF43" i="7"/>
  <c r="AE43" i="7"/>
  <c r="AD43" i="7"/>
  <c r="AG34" i="7"/>
  <c r="AF34" i="7"/>
  <c r="AE34" i="7"/>
  <c r="AD34" i="7"/>
  <c r="AG36" i="7"/>
  <c r="AF36" i="7"/>
  <c r="AE36" i="7"/>
  <c r="AD36" i="7"/>
  <c r="AE41" i="7"/>
  <c r="AD41" i="7"/>
  <c r="AF41" i="7"/>
  <c r="AG41" i="7"/>
  <c r="AG37" i="7"/>
  <c r="AF37" i="7"/>
  <c r="AE37" i="7"/>
  <c r="AD37" i="7"/>
  <c r="AE35" i="7"/>
  <c r="AD35" i="7"/>
  <c r="AF35" i="7"/>
  <c r="AG35" i="7"/>
  <c r="AG42" i="7"/>
  <c r="AF42" i="7"/>
  <c r="AE42" i="7"/>
  <c r="AD42" i="7"/>
  <c r="AD39" i="6"/>
  <c r="AE39" i="6"/>
  <c r="AF39" i="6"/>
  <c r="AF40" i="6"/>
  <c r="AE40" i="6"/>
  <c r="AG40" i="6"/>
  <c r="AG42" i="6"/>
  <c r="AF42" i="6"/>
  <c r="AE42" i="6"/>
  <c r="AD42" i="6"/>
  <c r="AG36" i="6"/>
  <c r="AF36" i="6"/>
  <c r="AE36" i="6"/>
  <c r="AD36" i="6"/>
  <c r="AG38" i="6"/>
  <c r="AF38" i="6"/>
  <c r="AE38" i="6"/>
  <c r="AD38" i="6"/>
  <c r="AG43" i="6"/>
  <c r="AF43" i="6"/>
  <c r="AE43" i="6"/>
  <c r="AD43" i="6"/>
  <c r="AE41" i="6"/>
  <c r="AD41" i="6"/>
  <c r="AF41" i="6"/>
  <c r="AG41" i="6"/>
  <c r="AG37" i="6"/>
  <c r="AF37" i="6"/>
  <c r="AE37" i="6"/>
  <c r="AD37" i="6"/>
  <c r="AG34" i="6"/>
  <c r="AF34" i="6"/>
  <c r="AE34" i="6"/>
  <c r="AD34" i="6"/>
  <c r="AE35" i="6"/>
  <c r="AD35" i="6"/>
  <c r="AG35" i="6"/>
  <c r="AF35" i="6"/>
  <c r="AD40" i="5"/>
  <c r="AF42" i="5"/>
  <c r="AD36" i="5"/>
  <c r="AE36" i="5"/>
  <c r="AG42" i="5"/>
  <c r="AF36" i="5"/>
  <c r="AE41" i="5"/>
  <c r="AD41" i="5"/>
  <c r="AG41" i="5"/>
  <c r="AF41" i="5"/>
  <c r="AG39" i="5"/>
  <c r="AF39" i="5"/>
  <c r="AE39" i="5"/>
  <c r="AD39" i="5"/>
  <c r="AG38" i="5"/>
  <c r="AF38" i="5"/>
  <c r="AE38" i="5"/>
  <c r="AD38" i="5"/>
  <c r="AG43" i="5"/>
  <c r="AF43" i="5"/>
  <c r="AE43" i="5"/>
  <c r="AD43" i="5"/>
  <c r="AG34" i="5"/>
  <c r="AF34" i="5"/>
  <c r="AE34" i="5"/>
  <c r="AD34" i="5"/>
  <c r="AE35" i="5"/>
  <c r="AD35" i="5"/>
  <c r="AG35" i="5"/>
  <c r="AF35" i="5"/>
  <c r="AG37" i="5"/>
  <c r="AF37" i="5"/>
  <c r="AE37" i="5"/>
  <c r="AD37" i="5"/>
  <c r="Q58" i="2"/>
  <c r="P58" i="2"/>
  <c r="Q55" i="2"/>
  <c r="P55" i="2"/>
  <c r="O51" i="2"/>
  <c r="Q51" i="2"/>
  <c r="P51" i="2"/>
  <c r="Q53" i="2"/>
  <c r="O53" i="2"/>
  <c r="P53" i="2"/>
  <c r="Q54" i="2"/>
  <c r="O54" i="2"/>
  <c r="P54" i="2"/>
  <c r="Q52" i="2"/>
  <c r="O52" i="2"/>
  <c r="P52" i="2"/>
  <c r="O60" i="2"/>
  <c r="P60" i="2"/>
  <c r="Q60" i="2"/>
  <c r="D54" i="1"/>
  <c r="D53" i="1"/>
  <c r="F53" i="1" s="1"/>
  <c r="D52" i="1"/>
  <c r="D51" i="1"/>
  <c r="F51" i="1" s="1"/>
  <c r="D50" i="1"/>
  <c r="F50" i="1" s="1"/>
  <c r="D49" i="1"/>
  <c r="F49" i="1" s="1"/>
  <c r="D48" i="1"/>
  <c r="F48" i="1" s="1"/>
  <c r="D47" i="1"/>
  <c r="F47" i="1" s="1"/>
  <c r="D45" i="1"/>
  <c r="F45" i="1" s="1"/>
  <c r="D44" i="1"/>
  <c r="F44" i="1" s="1"/>
  <c r="D43" i="1"/>
  <c r="F43" i="1" s="1"/>
  <c r="D42" i="1"/>
  <c r="D41" i="1"/>
  <c r="F41" i="1" s="1"/>
  <c r="D40" i="1"/>
  <c r="F40" i="1" s="1"/>
  <c r="D39" i="1"/>
  <c r="F39" i="1" s="1"/>
  <c r="D38" i="1"/>
  <c r="F38" i="1" s="1"/>
  <c r="D37" i="1"/>
  <c r="F37" i="1" s="1"/>
  <c r="F36" i="1"/>
  <c r="F54" i="1"/>
  <c r="F52" i="1"/>
  <c r="F42" i="1"/>
  <c r="D4" i="1"/>
  <c r="D5" i="1"/>
  <c r="D6" i="1"/>
  <c r="X5" i="1" s="1"/>
  <c r="D7" i="1"/>
  <c r="X6" i="1" s="1"/>
  <c r="D8" i="1"/>
  <c r="X7" i="1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X19" i="1" l="1"/>
  <c r="K39" i="1"/>
  <c r="K43" i="1"/>
  <c r="K44" i="1"/>
  <c r="K35" i="1"/>
  <c r="K41" i="1"/>
  <c r="K36" i="1"/>
  <c r="K42" i="1"/>
  <c r="K37" i="1"/>
  <c r="K38" i="1"/>
  <c r="K40" i="1"/>
  <c r="X18" i="1"/>
  <c r="X16" i="1"/>
  <c r="X4" i="1"/>
  <c r="X15" i="1"/>
  <c r="K6" i="1"/>
  <c r="K7" i="1"/>
  <c r="K8" i="1"/>
  <c r="K9" i="1"/>
  <c r="K10" i="1"/>
  <c r="K11" i="1"/>
  <c r="K12" i="1"/>
  <c r="K13" i="1"/>
  <c r="K4" i="1"/>
  <c r="K5" i="1"/>
  <c r="X3" i="1"/>
  <c r="X25" i="1"/>
  <c r="X24" i="1"/>
  <c r="X12" i="1"/>
  <c r="X17" i="1"/>
  <c r="X14" i="1"/>
  <c r="X11" i="1"/>
  <c r="X13" i="1"/>
  <c r="X22" i="1"/>
  <c r="X10" i="1"/>
  <c r="X26" i="1"/>
  <c r="X21" i="1"/>
  <c r="X9" i="1"/>
  <c r="X23" i="1"/>
  <c r="X20" i="1"/>
  <c r="X8" i="1"/>
  <c r="M13" i="2"/>
  <c r="M12" i="2"/>
  <c r="M11" i="2"/>
  <c r="M10" i="2"/>
  <c r="M9" i="2"/>
  <c r="M8" i="2"/>
  <c r="M7" i="2"/>
  <c r="M6" i="2"/>
  <c r="M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<sst xmlns="http://schemas.openxmlformats.org/spreadsheetml/2006/main" count="1536" uniqueCount="81">
  <si>
    <t>L2_ID</t>
  </si>
  <si>
    <t>L2_Cls</t>
  </si>
  <si>
    <t>L2_Time</t>
  </si>
  <si>
    <t>L2_Speed</t>
  </si>
  <si>
    <t>L2_Gap</t>
  </si>
  <si>
    <t>L3_ID</t>
  </si>
  <si>
    <t>L3_Cls</t>
  </si>
  <si>
    <t>L3_Time</t>
  </si>
  <si>
    <t>L3_Speed</t>
  </si>
  <si>
    <t>L3_Gap</t>
  </si>
  <si>
    <t>Car</t>
  </si>
  <si>
    <t>Motorbike</t>
  </si>
  <si>
    <t>CNG</t>
  </si>
  <si>
    <t>Bus</t>
  </si>
  <si>
    <t>NMV</t>
  </si>
  <si>
    <t>Headway</t>
  </si>
  <si>
    <t>Gap (m)</t>
  </si>
  <si>
    <t>Gap</t>
  </si>
  <si>
    <t>min spacing</t>
  </si>
  <si>
    <t>Lane 2</t>
  </si>
  <si>
    <t>Gap (Calc)</t>
  </si>
  <si>
    <t>Lane 3</t>
  </si>
  <si>
    <t>Avg speed</t>
  </si>
  <si>
    <t>Time</t>
  </si>
  <si>
    <t>Leader</t>
  </si>
  <si>
    <t>Follower</t>
  </si>
  <si>
    <t>Speed</t>
  </si>
  <si>
    <t>ID</t>
  </si>
  <si>
    <t>Vehicle</t>
  </si>
  <si>
    <t>Gap (deduced)</t>
  </si>
  <si>
    <t>-</t>
  </si>
  <si>
    <t>L1_ID</t>
  </si>
  <si>
    <t>L1_Cls</t>
  </si>
  <si>
    <t>L1_Time</t>
  </si>
  <si>
    <t>L1_Speed</t>
  </si>
  <si>
    <t>L1_Gap</t>
  </si>
  <si>
    <t>Truck</t>
  </si>
  <si>
    <t>Vehicle Type</t>
  </si>
  <si>
    <t>Gap/V</t>
  </si>
  <si>
    <t>Gap/ Speed</t>
  </si>
  <si>
    <t>Normalizing Gap by speed</t>
  </si>
  <si>
    <t>Bicycle</t>
  </si>
  <si>
    <t>Avg</t>
  </si>
  <si>
    <t>Max</t>
  </si>
  <si>
    <t>Min</t>
  </si>
  <si>
    <t>25th perc</t>
  </si>
  <si>
    <t>50th perc</t>
  </si>
  <si>
    <t>75th perc</t>
  </si>
  <si>
    <t>90th perc</t>
  </si>
  <si>
    <t>Most common speed range seems to be 18.9-20.9 km/h.</t>
  </si>
  <si>
    <t>For practical purposes and threshold selection something lower should be used.</t>
  </si>
  <si>
    <t>So I used 15-17km/h for defining headway thresholds</t>
  </si>
  <si>
    <t>Min spacing</t>
  </si>
  <si>
    <t>3.35L3</t>
  </si>
  <si>
    <t>8.15L3</t>
  </si>
  <si>
    <t>12.07L3</t>
  </si>
  <si>
    <t>12.16L3</t>
  </si>
  <si>
    <t>13.00L3</t>
  </si>
  <si>
    <t>13.04L3</t>
  </si>
  <si>
    <t>17.02L3</t>
  </si>
  <si>
    <t>Speed diff</t>
  </si>
  <si>
    <t>Comfortable distance</t>
  </si>
  <si>
    <t>Speed (km/h)</t>
  </si>
  <si>
    <t>Time - Space Headway Relation (Two-wheelers)</t>
  </si>
  <si>
    <t>*Safe gap assumed = 3.0 meters</t>
  </si>
  <si>
    <t>*Safe gap assumed = 5.0 meters</t>
  </si>
  <si>
    <t>Time Mean Speed</t>
  </si>
  <si>
    <t>Time Headway</t>
  </si>
  <si>
    <t>Cumulative frequency</t>
  </si>
  <si>
    <t>Cumulative percentage</t>
  </si>
  <si>
    <t>Speed (All)</t>
  </si>
  <si>
    <t>Speed (Cars)</t>
  </si>
  <si>
    <t>Speed  (Bikes)</t>
  </si>
  <si>
    <t>Headway (seconds)</t>
  </si>
  <si>
    <t>Speed  (CNGs)</t>
  </si>
  <si>
    <t>50% = 20km/h</t>
  </si>
  <si>
    <t>50% = 22km/h</t>
  </si>
  <si>
    <t>Speed  (2W+3Ws)</t>
  </si>
  <si>
    <t>Time - Space Headway Relation (Regular Vehicles)</t>
  </si>
  <si>
    <t>Gap/ Speed(kmph)</t>
  </si>
  <si>
    <t>Gap/ Speed(mps)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</si>
</sst>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badi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sz val="11"/>
      <color theme="1"/>
      <name val="Abadi"/>
      <family val="2"/>
    </font>
    <font>
      <b/>
      <sz val="11"/>
      <color rgb="FFFF0000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b/>
      <i/>
      <sz val="10"/>
      <color rgb="FF9C57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99660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5E7A3"/>
        <bgColor indexed="64"/>
      </patternFill>
    </fill>
    <fill>
      <patternFill patternType="solid">
        <fgColor rgb="FFF3FDD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indexed="64"/>
      </left>
      <right style="thin">
        <color theme="9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 style="thin">
        <color indexed="64"/>
      </bottom>
      <diagonal/>
    </border>
    <border>
      <left style="thin">
        <color indexed="64"/>
      </left>
      <right style="thin">
        <color theme="9" tint="-0.249977111117893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2" fontId="19" fillId="0" borderId="0" xfId="0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0" fillId="34" borderId="0" xfId="0" applyFont="1" applyFill="1"/>
    <xf numFmtId="2" fontId="16" fillId="34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5" fontId="0" fillId="0" borderId="0" xfId="0" applyNumberFormat="1"/>
    <xf numFmtId="2" fontId="18" fillId="0" borderId="10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5" fillId="35" borderId="10" xfId="0" applyFont="1" applyFill="1" applyBorder="1" applyAlignment="1">
      <alignment horizontal="center"/>
    </xf>
    <xf numFmtId="164" fontId="25" fillId="35" borderId="10" xfId="0" applyNumberFormat="1" applyFont="1" applyFill="1" applyBorder="1" applyAlignment="1">
      <alignment horizontal="center"/>
    </xf>
    <xf numFmtId="164" fontId="26" fillId="4" borderId="0" xfId="9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9" fontId="0" fillId="0" borderId="0" xfId="0" applyNumberFormat="1"/>
    <xf numFmtId="0" fontId="0" fillId="0" borderId="12" xfId="0" applyBorder="1" applyAlignment="1">
      <alignment horizontal="center" vertical="center"/>
    </xf>
    <xf numFmtId="0" fontId="0" fillId="0" borderId="12" xfId="0" applyBorder="1"/>
    <xf numFmtId="2" fontId="0" fillId="0" borderId="15" xfId="0" applyNumberFormat="1" applyBorder="1"/>
    <xf numFmtId="0" fontId="0" fillId="0" borderId="17" xfId="0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6" fillId="2" borderId="12" xfId="7" applyBorder="1"/>
    <xf numFmtId="0" fontId="6" fillId="2" borderId="0" xfId="7" applyBorder="1"/>
    <xf numFmtId="0" fontId="21" fillId="0" borderId="14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6" fillId="2" borderId="19" xfId="7" applyBorder="1"/>
    <xf numFmtId="0" fontId="6" fillId="2" borderId="20" xfId="7" applyBorder="1"/>
    <xf numFmtId="0" fontId="6" fillId="2" borderId="21" xfId="7" applyBorder="1"/>
    <xf numFmtId="0" fontId="0" fillId="0" borderId="13" xfId="0" applyBorder="1" applyAlignment="1">
      <alignment horizontal="right" vertical="center"/>
    </xf>
    <xf numFmtId="0" fontId="0" fillId="0" borderId="24" xfId="0" applyBorder="1"/>
    <xf numFmtId="0" fontId="6" fillId="2" borderId="25" xfId="7" applyBorder="1"/>
    <xf numFmtId="165" fontId="25" fillId="35" borderId="10" xfId="0" applyNumberFormat="1" applyFont="1" applyFill="1" applyBorder="1" applyAlignment="1">
      <alignment horizontal="center"/>
    </xf>
    <xf numFmtId="0" fontId="21" fillId="0" borderId="0" xfId="0" applyFont="1" applyAlignment="1">
      <alignment vertical="center"/>
    </xf>
    <xf numFmtId="164" fontId="0" fillId="0" borderId="12" xfId="0" applyNumberFormat="1" applyBorder="1"/>
    <xf numFmtId="164" fontId="0" fillId="0" borderId="17" xfId="0" applyNumberFormat="1" applyBorder="1"/>
    <xf numFmtId="2" fontId="21" fillId="0" borderId="0" xfId="0" applyNumberFormat="1" applyFont="1" applyAlignment="1">
      <alignment vertical="center"/>
    </xf>
    <xf numFmtId="0" fontId="0" fillId="36" borderId="0" xfId="0" applyFill="1"/>
    <xf numFmtId="0" fontId="14" fillId="0" borderId="0" xfId="0" applyFont="1"/>
    <xf numFmtId="0" fontId="29" fillId="37" borderId="10" xfId="0" applyFont="1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/>
    </xf>
    <xf numFmtId="164" fontId="18" fillId="0" borderId="27" xfId="0" applyNumberFormat="1" applyFont="1" applyBorder="1" applyAlignment="1">
      <alignment horizontal="center"/>
    </xf>
    <xf numFmtId="164" fontId="18" fillId="0" borderId="28" xfId="0" applyNumberFormat="1" applyFont="1" applyBorder="1" applyAlignment="1">
      <alignment horizontal="center"/>
    </xf>
    <xf numFmtId="164" fontId="18" fillId="0" borderId="30" xfId="0" applyNumberFormat="1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8" fillId="0" borderId="0" xfId="0" applyFont="1"/>
    <xf numFmtId="164" fontId="31" fillId="40" borderId="10" xfId="0" applyNumberFormat="1" applyFont="1" applyFill="1" applyBorder="1" applyAlignment="1">
      <alignment horizontal="center"/>
    </xf>
    <xf numFmtId="164" fontId="32" fillId="39" borderId="10" xfId="0" applyNumberFormat="1" applyFont="1" applyFill="1" applyBorder="1" applyAlignment="1">
      <alignment horizontal="center"/>
    </xf>
    <xf numFmtId="164" fontId="33" fillId="41" borderId="10" xfId="0" applyNumberFormat="1" applyFont="1" applyFill="1" applyBorder="1" applyAlignment="1">
      <alignment horizontal="center"/>
    </xf>
    <xf numFmtId="164" fontId="34" fillId="40" borderId="10" xfId="0" applyNumberFormat="1" applyFont="1" applyFill="1" applyBorder="1" applyAlignment="1">
      <alignment horizontal="center"/>
    </xf>
    <xf numFmtId="164" fontId="33" fillId="41" borderId="27" xfId="0" applyNumberFormat="1" applyFont="1" applyFill="1" applyBorder="1" applyAlignment="1">
      <alignment horizontal="center"/>
    </xf>
    <xf numFmtId="164" fontId="31" fillId="40" borderId="28" xfId="0" applyNumberFormat="1" applyFont="1" applyFill="1" applyBorder="1" applyAlignment="1">
      <alignment horizontal="center"/>
    </xf>
    <xf numFmtId="164" fontId="33" fillId="41" borderId="29" xfId="0" applyNumberFormat="1" applyFont="1" applyFill="1" applyBorder="1" applyAlignment="1">
      <alignment horizontal="center"/>
    </xf>
    <xf numFmtId="164" fontId="31" fillId="40" borderId="30" xfId="0" applyNumberFormat="1" applyFont="1" applyFill="1" applyBorder="1" applyAlignment="1">
      <alignment horizontal="center"/>
    </xf>
    <xf numFmtId="164" fontId="34" fillId="40" borderId="32" xfId="0" applyNumberFormat="1" applyFont="1" applyFill="1" applyBorder="1" applyAlignment="1">
      <alignment horizontal="center"/>
    </xf>
    <xf numFmtId="0" fontId="35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1" fillId="38" borderId="10" xfId="0" applyFont="1" applyFill="1" applyBorder="1" applyAlignment="1">
      <alignment horizontal="center"/>
    </xf>
    <xf numFmtId="0" fontId="16" fillId="0" borderId="27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8" fillId="0" borderId="27" xfId="0" applyFont="1" applyBorder="1"/>
    <xf numFmtId="0" fontId="18" fillId="0" borderId="31" xfId="0" applyFont="1" applyBorder="1"/>
    <xf numFmtId="0" fontId="18" fillId="0" borderId="28" xfId="0" applyFont="1" applyBorder="1"/>
    <xf numFmtId="164" fontId="18" fillId="0" borderId="29" xfId="0" applyNumberFormat="1" applyFont="1" applyBorder="1" applyAlignment="1">
      <alignment horizontal="center"/>
    </xf>
    <xf numFmtId="164" fontId="18" fillId="0" borderId="32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9" fillId="37" borderId="10" xfId="0" applyFont="1" applyFill="1" applyBorder="1" applyAlignment="1">
      <alignment horizontal="center" vertical="center"/>
    </xf>
    <xf numFmtId="0" fontId="30" fillId="33" borderId="10" xfId="0" applyFont="1" applyFill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9" fillId="3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2" fontId="21" fillId="0" borderId="11" xfId="0" applyNumberFormat="1" applyFont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23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00"/>
      <color rgb="FFF3FDD3"/>
      <color rgb="FFB5E7A3"/>
      <color rgb="FFCFFFAF"/>
      <color rgb="FFD4FCD5"/>
      <color rgb="FFFFD1D1"/>
      <color rgb="FFFF9393"/>
      <color rgb="FFFF9999"/>
      <color rgb="FFFFF3A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Distribution - Speed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Speed!$Y$8:$Y$15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Speed!$AA$8:$AA$15</c:f>
              <c:numCache>
                <c:formatCode>0%</c:formatCode>
                <c:ptCount val="8"/>
                <c:pt idx="0">
                  <c:v>0</c:v>
                </c:pt>
                <c:pt idx="1">
                  <c:v>4.140786749482402E-3</c:v>
                </c:pt>
                <c:pt idx="2">
                  <c:v>2.0703933747412008E-2</c:v>
                </c:pt>
                <c:pt idx="3">
                  <c:v>0.10559006211180125</c:v>
                </c:pt>
                <c:pt idx="4">
                  <c:v>0.46376811594202899</c:v>
                </c:pt>
                <c:pt idx="5">
                  <c:v>0.84472049689440998</c:v>
                </c:pt>
                <c:pt idx="6">
                  <c:v>0.96273291925465843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82-4FE1-9FC5-FB64A3C7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57855"/>
        <c:axId val="459659295"/>
      </c:scatterChart>
      <c:valAx>
        <c:axId val="4596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9295"/>
        <c:crosses val="autoZero"/>
        <c:crossBetween val="midCat"/>
        <c:majorUnit val="5"/>
      </c:valAx>
      <c:valAx>
        <c:axId val="4596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785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Distribution - Speed (Cars)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Speed!$V$31:$V$38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Speed!$X$31:$X$38</c:f>
              <c:numCache>
                <c:formatCode>0%</c:formatCode>
                <c:ptCount val="8"/>
                <c:pt idx="0">
                  <c:v>0</c:v>
                </c:pt>
                <c:pt idx="1">
                  <c:v>3.6764705882352941E-3</c:v>
                </c:pt>
                <c:pt idx="2">
                  <c:v>1.4705882352941176E-2</c:v>
                </c:pt>
                <c:pt idx="3">
                  <c:v>0.11397058823529412</c:v>
                </c:pt>
                <c:pt idx="4">
                  <c:v>0.47426470588235292</c:v>
                </c:pt>
                <c:pt idx="5">
                  <c:v>0.8529411764705882</c:v>
                </c:pt>
                <c:pt idx="6">
                  <c:v>0.97426470588235292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C0-4409-AF68-D08C39998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57855"/>
        <c:axId val="459659295"/>
      </c:scatterChart>
      <c:valAx>
        <c:axId val="4596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9295"/>
        <c:crosses val="autoZero"/>
        <c:crossBetween val="midCat"/>
        <c:majorUnit val="5"/>
      </c:valAx>
      <c:valAx>
        <c:axId val="4596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785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Distribution - Speed  (Motorbikes)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Speed!$V$56:$V$63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Speed!$X$56:$X$63</c:f>
              <c:numCache>
                <c:formatCode>0%</c:formatCode>
                <c:ptCount val="8"/>
                <c:pt idx="0">
                  <c:v>0</c:v>
                </c:pt>
                <c:pt idx="1">
                  <c:v>8.4033613445378148E-3</c:v>
                </c:pt>
                <c:pt idx="2">
                  <c:v>4.2016806722689079E-2</c:v>
                </c:pt>
                <c:pt idx="3">
                  <c:v>7.5630252100840331E-2</c:v>
                </c:pt>
                <c:pt idx="4">
                  <c:v>0.32773109243697479</c:v>
                </c:pt>
                <c:pt idx="5">
                  <c:v>0.73109243697478987</c:v>
                </c:pt>
                <c:pt idx="6">
                  <c:v>0.91596638655462181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C-412A-A502-E6230063C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57855"/>
        <c:axId val="459659295"/>
      </c:scatterChart>
      <c:valAx>
        <c:axId val="4596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9295"/>
        <c:crosses val="autoZero"/>
        <c:crossBetween val="midCat"/>
        <c:majorUnit val="5"/>
      </c:valAx>
      <c:valAx>
        <c:axId val="4596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785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Distribution - Speed 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Motorbikes &amp; three-wheelers</a:t>
            </a:r>
            <a:r>
              <a:rPr lang="en-US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Speed!$V$81:$V$88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Speed!$X$81:$X$88</c:f>
              <c:numCache>
                <c:formatCode>0%</c:formatCode>
                <c:ptCount val="8"/>
                <c:pt idx="0">
                  <c:v>0</c:v>
                </c:pt>
                <c:pt idx="1">
                  <c:v>1.2658227848101266E-2</c:v>
                </c:pt>
                <c:pt idx="2">
                  <c:v>1.2658227848101266E-2</c:v>
                </c:pt>
                <c:pt idx="3">
                  <c:v>7.5949367088607597E-2</c:v>
                </c:pt>
                <c:pt idx="4">
                  <c:v>0.48101265822784811</c:v>
                </c:pt>
                <c:pt idx="5">
                  <c:v>0.86075949367088611</c:v>
                </c:pt>
                <c:pt idx="6">
                  <c:v>0.93670886075949367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9-4926-B28A-0BE819D96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57855"/>
        <c:axId val="459659295"/>
      </c:scatterChart>
      <c:valAx>
        <c:axId val="4596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9295"/>
        <c:crosses val="autoZero"/>
        <c:crossBetween val="midCat"/>
        <c:majorUnit val="5"/>
      </c:valAx>
      <c:valAx>
        <c:axId val="4596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5785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</a:t>
            </a:r>
            <a:r>
              <a:rPr lang="en-US" baseline="0"/>
              <a:t> vs Headway (Cars)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272128848405105E-4"/>
                  <c:y val="-9.320174600816406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y = 4.7748x + 0.9707</a:t>
                    </a:r>
                    <a:br>
                      <a:rPr lang="en-US" sz="1050" baseline="0"/>
                    </a:br>
                    <a:r>
                      <a:rPr lang="en-US" sz="1050" b="1" baseline="0"/>
                      <a:t>R²</a:t>
                    </a:r>
                    <a:r>
                      <a:rPr lang="en-US" sz="1050" baseline="0"/>
                      <a:t> = </a:t>
                    </a:r>
                    <a:r>
                      <a:rPr lang="en-US" sz="1050" b="1" baseline="0"/>
                      <a:t>0.7671</a:t>
                    </a:r>
                    <a:endParaRPr lang="en-US" sz="105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'Cars L2+3'!$D$2:$D$117</c:f>
              <c:numCache>
                <c:formatCode>0.00</c:formatCode>
                <c:ptCount val="116"/>
                <c:pt idx="0" formatCode="General">
                  <c:v>0</c:v>
                </c:pt>
                <c:pt idx="1">
                  <c:v>2.16</c:v>
                </c:pt>
                <c:pt idx="2">
                  <c:v>2.6399999999999988</c:v>
                </c:pt>
                <c:pt idx="3">
                  <c:v>1.6799999999999997</c:v>
                </c:pt>
                <c:pt idx="4">
                  <c:v>2.6799999999999997</c:v>
                </c:pt>
                <c:pt idx="5">
                  <c:v>1.5999999999999979</c:v>
                </c:pt>
                <c:pt idx="6">
                  <c:v>1.6000000000000014</c:v>
                </c:pt>
                <c:pt idx="7">
                  <c:v>1.2000000000000028</c:v>
                </c:pt>
                <c:pt idx="8">
                  <c:v>0.79999999999999716</c:v>
                </c:pt>
                <c:pt idx="9">
                  <c:v>1.4799999999999969</c:v>
                </c:pt>
                <c:pt idx="10">
                  <c:v>1.7999999999999998</c:v>
                </c:pt>
                <c:pt idx="11">
                  <c:v>1.08</c:v>
                </c:pt>
                <c:pt idx="12">
                  <c:v>2.0400000000000009</c:v>
                </c:pt>
                <c:pt idx="13">
                  <c:v>1.7999999999999972</c:v>
                </c:pt>
                <c:pt idx="14" formatCode="General">
                  <c:v>1.2400000000000002</c:v>
                </c:pt>
                <c:pt idx="15" formatCode="General">
                  <c:v>1.3599999999999994</c:v>
                </c:pt>
                <c:pt idx="16" formatCode="General">
                  <c:v>1.6000000000000014</c:v>
                </c:pt>
                <c:pt idx="17" formatCode="General">
                  <c:v>3.9999999999999147E-2</c:v>
                </c:pt>
                <c:pt idx="18" formatCode="General">
                  <c:v>2.0799999999999983</c:v>
                </c:pt>
                <c:pt idx="19" formatCode="General">
                  <c:v>2.8800000000000026</c:v>
                </c:pt>
                <c:pt idx="20" formatCode="General">
                  <c:v>1.8000000000000007</c:v>
                </c:pt>
                <c:pt idx="21" formatCode="General">
                  <c:v>2</c:v>
                </c:pt>
                <c:pt idx="22" formatCode="General">
                  <c:v>1.9600000000000004</c:v>
                </c:pt>
                <c:pt idx="23" formatCode="General">
                  <c:v>0.59999999999999964</c:v>
                </c:pt>
                <c:pt idx="24" formatCode="General">
                  <c:v>0.91999999999999993</c:v>
                </c:pt>
                <c:pt idx="25" formatCode="General">
                  <c:v>1.08</c:v>
                </c:pt>
                <c:pt idx="26" formatCode="General">
                  <c:v>1.879999999999999</c:v>
                </c:pt>
                <c:pt idx="27" formatCode="General">
                  <c:v>3.120000000000001</c:v>
                </c:pt>
                <c:pt idx="28" formatCode="General">
                  <c:v>2.3200000000000003</c:v>
                </c:pt>
                <c:pt idx="29" formatCode="General">
                  <c:v>2.759999999999998</c:v>
                </c:pt>
                <c:pt idx="30" formatCode="General">
                  <c:v>2.0400000000000027</c:v>
                </c:pt>
                <c:pt idx="31" formatCode="General">
                  <c:v>1.759999999999998</c:v>
                </c:pt>
                <c:pt idx="32" formatCode="General">
                  <c:v>2.8800000000000003</c:v>
                </c:pt>
                <c:pt idx="33" formatCode="General">
                  <c:v>0.20000000000000018</c:v>
                </c:pt>
                <c:pt idx="34" formatCode="General">
                  <c:v>3.0399999999999991</c:v>
                </c:pt>
                <c:pt idx="35" formatCode="General">
                  <c:v>1.3599999999999994</c:v>
                </c:pt>
                <c:pt idx="36" formatCode="General">
                  <c:v>1.4400000000000013</c:v>
                </c:pt>
                <c:pt idx="37" formatCode="General">
                  <c:v>2.2799999999999976</c:v>
                </c:pt>
                <c:pt idx="38" formatCode="General">
                  <c:v>2</c:v>
                </c:pt>
                <c:pt idx="39" formatCode="General">
                  <c:v>1.04</c:v>
                </c:pt>
                <c:pt idx="40" formatCode="General">
                  <c:v>0.67999999999999972</c:v>
                </c:pt>
                <c:pt idx="41" formatCode="General">
                  <c:v>0.87999999999999901</c:v>
                </c:pt>
                <c:pt idx="42" formatCode="General">
                  <c:v>1.9199999999999982</c:v>
                </c:pt>
                <c:pt idx="43" formatCode="General">
                  <c:v>1.120000000000001</c:v>
                </c:pt>
                <c:pt idx="44" formatCode="General">
                  <c:v>0.60000000000000142</c:v>
                </c:pt>
                <c:pt idx="45" formatCode="General">
                  <c:v>2.240000000000002</c:v>
                </c:pt>
                <c:pt idx="46" formatCode="General">
                  <c:v>0.35999999999999943</c:v>
                </c:pt>
                <c:pt idx="47" formatCode="General">
                  <c:v>2.1999999999999993</c:v>
                </c:pt>
                <c:pt idx="48" formatCode="General">
                  <c:v>0.40000000000000036</c:v>
                </c:pt>
                <c:pt idx="49" formatCode="General">
                  <c:v>2.08</c:v>
                </c:pt>
                <c:pt idx="50" formatCode="General">
                  <c:v>0.67999999999999972</c:v>
                </c:pt>
                <c:pt idx="51" formatCode="General">
                  <c:v>2.120000000000001</c:v>
                </c:pt>
                <c:pt idx="52" formatCode="General">
                  <c:v>2.1999999999999993</c:v>
                </c:pt>
                <c:pt idx="53" formatCode="General">
                  <c:v>2.1999999999999993</c:v>
                </c:pt>
                <c:pt idx="54" formatCode="General">
                  <c:v>1.6399999999999988</c:v>
                </c:pt>
                <c:pt idx="55" formatCode="General">
                  <c:v>2.08</c:v>
                </c:pt>
                <c:pt idx="56" formatCode="General">
                  <c:v>3.879999999999999</c:v>
                </c:pt>
                <c:pt idx="57" formatCode="General">
                  <c:v>2.0800000000000018</c:v>
                </c:pt>
                <c:pt idx="58" formatCode="General">
                  <c:v>1.879999999999999</c:v>
                </c:pt>
                <c:pt idx="59" formatCode="General">
                  <c:v>1</c:v>
                </c:pt>
                <c:pt idx="60" formatCode="General">
                  <c:v>0.87999999999999901</c:v>
                </c:pt>
                <c:pt idx="61" formatCode="General">
                  <c:v>1.3200000000000003</c:v>
                </c:pt>
                <c:pt idx="62" formatCode="General">
                  <c:v>2.5600000000000005</c:v>
                </c:pt>
                <c:pt idx="63" formatCode="General">
                  <c:v>1.7999999999999989</c:v>
                </c:pt>
                <c:pt idx="64" formatCode="General">
                  <c:v>1.5999999999999996</c:v>
                </c:pt>
                <c:pt idx="65" formatCode="General">
                  <c:v>2.4000000000000004</c:v>
                </c:pt>
                <c:pt idx="66" formatCode="General">
                  <c:v>0.47999999999999687</c:v>
                </c:pt>
                <c:pt idx="67" formatCode="General">
                  <c:v>1.7200000000000024</c:v>
                </c:pt>
                <c:pt idx="68" formatCode="General">
                  <c:v>1.3999999999999986</c:v>
                </c:pt>
                <c:pt idx="69" formatCode="General">
                  <c:v>2</c:v>
                </c:pt>
                <c:pt idx="70" formatCode="General">
                  <c:v>1.8799999999999955</c:v>
                </c:pt>
                <c:pt idx="71" formatCode="General">
                  <c:v>1.4800000000000004</c:v>
                </c:pt>
                <c:pt idx="72" formatCode="General">
                  <c:v>2.0399999999999991</c:v>
                </c:pt>
                <c:pt idx="73" formatCode="General">
                  <c:v>2.3199999999999998</c:v>
                </c:pt>
                <c:pt idx="74" formatCode="General">
                  <c:v>2</c:v>
                </c:pt>
                <c:pt idx="75" formatCode="General">
                  <c:v>1.2800000000000002</c:v>
                </c:pt>
                <c:pt idx="76" formatCode="General">
                  <c:v>2.08</c:v>
                </c:pt>
                <c:pt idx="77" formatCode="General">
                  <c:v>2.240000000000002</c:v>
                </c:pt>
                <c:pt idx="78" formatCode="General">
                  <c:v>1.5999999999999979</c:v>
                </c:pt>
                <c:pt idx="79" formatCode="General">
                  <c:v>1.6799999999999997</c:v>
                </c:pt>
                <c:pt idx="80" formatCode="General">
                  <c:v>2</c:v>
                </c:pt>
                <c:pt idx="81" formatCode="General">
                  <c:v>2</c:v>
                </c:pt>
                <c:pt idx="82" formatCode="General">
                  <c:v>1.7999999999999998</c:v>
                </c:pt>
                <c:pt idx="83" formatCode="General">
                  <c:v>1.8000000000000007</c:v>
                </c:pt>
                <c:pt idx="84" formatCode="General">
                  <c:v>2.0399999999999991</c:v>
                </c:pt>
                <c:pt idx="85" formatCode="General">
                  <c:v>1.72</c:v>
                </c:pt>
                <c:pt idx="86" formatCode="General">
                  <c:v>1.7199999999999998</c:v>
                </c:pt>
                <c:pt idx="87" formatCode="General">
                  <c:v>1.96</c:v>
                </c:pt>
                <c:pt idx="88" formatCode="General">
                  <c:v>1.2400000000000002</c:v>
                </c:pt>
                <c:pt idx="89" formatCode="General">
                  <c:v>1.1999999999999993</c:v>
                </c:pt>
                <c:pt idx="90" formatCode="General">
                  <c:v>0.80000000000000071</c:v>
                </c:pt>
                <c:pt idx="91" formatCode="General">
                  <c:v>0.24000000000000021</c:v>
                </c:pt>
                <c:pt idx="92" formatCode="General">
                  <c:v>1.1999999999999993</c:v>
                </c:pt>
                <c:pt idx="93" formatCode="General">
                  <c:v>1.3999999999999986</c:v>
                </c:pt>
                <c:pt idx="94" formatCode="General">
                  <c:v>1.8000000000000007</c:v>
                </c:pt>
                <c:pt idx="95" formatCode="General">
                  <c:v>2.3599999999999994</c:v>
                </c:pt>
                <c:pt idx="96" formatCode="General">
                  <c:v>1.4799999999999969</c:v>
                </c:pt>
                <c:pt idx="97" formatCode="General">
                  <c:v>1</c:v>
                </c:pt>
                <c:pt idx="98" formatCode="General">
                  <c:v>1.8000000000000007</c:v>
                </c:pt>
                <c:pt idx="99" formatCode="General">
                  <c:v>1.4000000000000004</c:v>
                </c:pt>
                <c:pt idx="100" formatCode="General">
                  <c:v>1.6799999999999997</c:v>
                </c:pt>
                <c:pt idx="101" formatCode="General">
                  <c:v>0.24000000000000021</c:v>
                </c:pt>
                <c:pt idx="102" formatCode="General">
                  <c:v>3.4799999999999969</c:v>
                </c:pt>
                <c:pt idx="103" formatCode="General">
                  <c:v>0.20000000000000284</c:v>
                </c:pt>
                <c:pt idx="104" formatCode="General">
                  <c:v>1.3999999999999986</c:v>
                </c:pt>
                <c:pt idx="105" formatCode="General">
                  <c:v>1.6400000000000006</c:v>
                </c:pt>
                <c:pt idx="106" formatCode="General">
                  <c:v>2.4799999999999969</c:v>
                </c:pt>
                <c:pt idx="107" formatCode="General">
                  <c:v>0.40000000000000568</c:v>
                </c:pt>
                <c:pt idx="108" formatCode="General">
                  <c:v>1.8799999999999955</c:v>
                </c:pt>
                <c:pt idx="109" formatCode="General">
                  <c:v>2.16</c:v>
                </c:pt>
                <c:pt idx="110" formatCode="General">
                  <c:v>1.92</c:v>
                </c:pt>
                <c:pt idx="111" formatCode="General">
                  <c:v>1.7200000000000006</c:v>
                </c:pt>
                <c:pt idx="112" formatCode="General">
                  <c:v>1.2000000000000011</c:v>
                </c:pt>
                <c:pt idx="113" formatCode="General">
                  <c:v>0.35999999999999943</c:v>
                </c:pt>
                <c:pt idx="114" formatCode="General">
                  <c:v>1.3200000000000003</c:v>
                </c:pt>
                <c:pt idx="115" formatCode="General">
                  <c:v>2.9199999999999946</c:v>
                </c:pt>
              </c:numCache>
            </c:numRef>
          </c:xVal>
          <c:yVal>
            <c:numRef>
              <c:f>'Cars L2+3'!$E$2:$E$117</c:f>
              <c:numCache>
                <c:formatCode>General</c:formatCode>
                <c:ptCount val="116"/>
                <c:pt idx="0">
                  <c:v>0</c:v>
                </c:pt>
                <c:pt idx="1">
                  <c:v>9.4</c:v>
                </c:pt>
                <c:pt idx="2">
                  <c:v>10.42</c:v>
                </c:pt>
                <c:pt idx="3">
                  <c:v>8.8800000000000008</c:v>
                </c:pt>
                <c:pt idx="4">
                  <c:v>11.16</c:v>
                </c:pt>
                <c:pt idx="5">
                  <c:v>7.12</c:v>
                </c:pt>
                <c:pt idx="6">
                  <c:v>5.01</c:v>
                </c:pt>
                <c:pt idx="7">
                  <c:v>4.9000000000000004</c:v>
                </c:pt>
                <c:pt idx="8">
                  <c:v>3.62</c:v>
                </c:pt>
                <c:pt idx="9">
                  <c:v>4.8099999999999996</c:v>
                </c:pt>
                <c:pt idx="10">
                  <c:v>8.2200000000000006</c:v>
                </c:pt>
                <c:pt idx="11">
                  <c:v>3.4</c:v>
                </c:pt>
                <c:pt idx="12">
                  <c:v>8.91</c:v>
                </c:pt>
                <c:pt idx="13">
                  <c:v>7.97</c:v>
                </c:pt>
                <c:pt idx="14">
                  <c:v>8.11</c:v>
                </c:pt>
                <c:pt idx="15">
                  <c:v>3.83</c:v>
                </c:pt>
                <c:pt idx="16">
                  <c:v>9.01</c:v>
                </c:pt>
                <c:pt idx="17">
                  <c:v>0.26</c:v>
                </c:pt>
                <c:pt idx="18">
                  <c:v>10.18</c:v>
                </c:pt>
                <c:pt idx="19" formatCode="0.00">
                  <c:v>13.04</c:v>
                </c:pt>
                <c:pt idx="20">
                  <c:v>7.9</c:v>
                </c:pt>
                <c:pt idx="21">
                  <c:v>11.64</c:v>
                </c:pt>
                <c:pt idx="22">
                  <c:v>11.34</c:v>
                </c:pt>
                <c:pt idx="23">
                  <c:v>4.5199999999999996</c:v>
                </c:pt>
                <c:pt idx="24">
                  <c:v>1.5</c:v>
                </c:pt>
                <c:pt idx="25">
                  <c:v>9.11</c:v>
                </c:pt>
                <c:pt idx="26">
                  <c:v>11.21</c:v>
                </c:pt>
                <c:pt idx="27">
                  <c:v>16.72</c:v>
                </c:pt>
                <c:pt idx="28">
                  <c:v>16.59</c:v>
                </c:pt>
                <c:pt idx="29">
                  <c:v>17.5</c:v>
                </c:pt>
                <c:pt idx="30">
                  <c:v>13.26</c:v>
                </c:pt>
                <c:pt idx="31">
                  <c:v>10.949999809265099</c:v>
                </c:pt>
                <c:pt idx="32">
                  <c:v>16.64</c:v>
                </c:pt>
                <c:pt idx="33">
                  <c:v>1.67</c:v>
                </c:pt>
                <c:pt idx="34">
                  <c:v>12.69</c:v>
                </c:pt>
                <c:pt idx="35">
                  <c:v>8.36</c:v>
                </c:pt>
                <c:pt idx="36">
                  <c:v>11.96</c:v>
                </c:pt>
                <c:pt idx="37">
                  <c:v>13.82</c:v>
                </c:pt>
                <c:pt idx="38">
                  <c:v>11.4</c:v>
                </c:pt>
                <c:pt idx="39">
                  <c:v>9.0399999999999991</c:v>
                </c:pt>
                <c:pt idx="40">
                  <c:v>1.89</c:v>
                </c:pt>
                <c:pt idx="41">
                  <c:v>6.1</c:v>
                </c:pt>
                <c:pt idx="42">
                  <c:v>11.05</c:v>
                </c:pt>
                <c:pt idx="43">
                  <c:v>6.47</c:v>
                </c:pt>
                <c:pt idx="44">
                  <c:v>2.48</c:v>
                </c:pt>
                <c:pt idx="45">
                  <c:v>9.8000000000000007</c:v>
                </c:pt>
                <c:pt idx="46">
                  <c:v>2.46</c:v>
                </c:pt>
                <c:pt idx="47">
                  <c:v>11.79</c:v>
                </c:pt>
                <c:pt idx="48">
                  <c:v>3.04</c:v>
                </c:pt>
                <c:pt idx="49">
                  <c:v>9.49</c:v>
                </c:pt>
                <c:pt idx="50">
                  <c:v>4.62</c:v>
                </c:pt>
                <c:pt idx="51">
                  <c:v>9.2100000000000009</c:v>
                </c:pt>
                <c:pt idx="52">
                  <c:v>12.6</c:v>
                </c:pt>
                <c:pt idx="53">
                  <c:v>8.2200000000000006</c:v>
                </c:pt>
                <c:pt idx="54">
                  <c:v>7</c:v>
                </c:pt>
                <c:pt idx="55">
                  <c:v>13.23</c:v>
                </c:pt>
                <c:pt idx="56">
                  <c:v>16</c:v>
                </c:pt>
                <c:pt idx="57">
                  <c:v>9.6300000000000008</c:v>
                </c:pt>
                <c:pt idx="58">
                  <c:v>10.38</c:v>
                </c:pt>
                <c:pt idx="59">
                  <c:v>4.72</c:v>
                </c:pt>
                <c:pt idx="60">
                  <c:v>5.84</c:v>
                </c:pt>
                <c:pt idx="61">
                  <c:v>7.06</c:v>
                </c:pt>
                <c:pt idx="62">
                  <c:v>10.02</c:v>
                </c:pt>
                <c:pt idx="63">
                  <c:v>7.94</c:v>
                </c:pt>
                <c:pt idx="64">
                  <c:v>9.4499999999999993</c:v>
                </c:pt>
                <c:pt idx="65">
                  <c:v>13.1</c:v>
                </c:pt>
                <c:pt idx="66">
                  <c:v>3.97</c:v>
                </c:pt>
                <c:pt idx="67">
                  <c:v>9.49</c:v>
                </c:pt>
                <c:pt idx="68">
                  <c:v>9.74</c:v>
                </c:pt>
                <c:pt idx="69">
                  <c:v>12.79</c:v>
                </c:pt>
                <c:pt idx="70">
                  <c:v>7.41</c:v>
                </c:pt>
                <c:pt idx="71">
                  <c:v>9.99</c:v>
                </c:pt>
                <c:pt idx="72">
                  <c:v>12.84</c:v>
                </c:pt>
                <c:pt idx="73">
                  <c:v>13.52</c:v>
                </c:pt>
                <c:pt idx="74">
                  <c:v>11.45</c:v>
                </c:pt>
                <c:pt idx="75">
                  <c:v>7.14</c:v>
                </c:pt>
                <c:pt idx="76">
                  <c:v>10.81</c:v>
                </c:pt>
                <c:pt idx="77">
                  <c:v>10.55</c:v>
                </c:pt>
                <c:pt idx="78">
                  <c:v>8.68</c:v>
                </c:pt>
                <c:pt idx="79">
                  <c:v>10.74</c:v>
                </c:pt>
                <c:pt idx="80">
                  <c:v>11.23</c:v>
                </c:pt>
                <c:pt idx="81">
                  <c:v>11.8</c:v>
                </c:pt>
                <c:pt idx="82">
                  <c:v>10.47</c:v>
                </c:pt>
                <c:pt idx="83">
                  <c:v>9.3000000000000007</c:v>
                </c:pt>
                <c:pt idx="84">
                  <c:v>11.75</c:v>
                </c:pt>
                <c:pt idx="85">
                  <c:v>11.84</c:v>
                </c:pt>
                <c:pt idx="86">
                  <c:v>10.9</c:v>
                </c:pt>
                <c:pt idx="87">
                  <c:v>7.47</c:v>
                </c:pt>
                <c:pt idx="88">
                  <c:v>8.75</c:v>
                </c:pt>
                <c:pt idx="89">
                  <c:v>4.05</c:v>
                </c:pt>
                <c:pt idx="90">
                  <c:v>7.41</c:v>
                </c:pt>
                <c:pt idx="91">
                  <c:v>1.05</c:v>
                </c:pt>
                <c:pt idx="92">
                  <c:v>9.8800000000000008</c:v>
                </c:pt>
                <c:pt idx="93">
                  <c:v>9.75</c:v>
                </c:pt>
                <c:pt idx="94">
                  <c:v>9.0299999999999994</c:v>
                </c:pt>
                <c:pt idx="95">
                  <c:v>12.61</c:v>
                </c:pt>
                <c:pt idx="96">
                  <c:v>9.58</c:v>
                </c:pt>
                <c:pt idx="97">
                  <c:v>5.13</c:v>
                </c:pt>
                <c:pt idx="98">
                  <c:v>9.4499999999999993</c:v>
                </c:pt>
                <c:pt idx="99">
                  <c:v>6.32</c:v>
                </c:pt>
                <c:pt idx="100">
                  <c:v>9.7200000000000006</c:v>
                </c:pt>
                <c:pt idx="101">
                  <c:v>0.56000000000000005</c:v>
                </c:pt>
                <c:pt idx="102">
                  <c:v>17.04</c:v>
                </c:pt>
                <c:pt idx="103">
                  <c:v>0.23</c:v>
                </c:pt>
                <c:pt idx="104">
                  <c:v>9.6999999999999993</c:v>
                </c:pt>
                <c:pt idx="105">
                  <c:v>11.11</c:v>
                </c:pt>
                <c:pt idx="106">
                  <c:v>17.23</c:v>
                </c:pt>
                <c:pt idx="107">
                  <c:v>1.4</c:v>
                </c:pt>
                <c:pt idx="108">
                  <c:v>13.42</c:v>
                </c:pt>
                <c:pt idx="109">
                  <c:v>10.54</c:v>
                </c:pt>
                <c:pt idx="110">
                  <c:v>11.88</c:v>
                </c:pt>
                <c:pt idx="111">
                  <c:v>6.55</c:v>
                </c:pt>
                <c:pt idx="112">
                  <c:v>7.33</c:v>
                </c:pt>
                <c:pt idx="113">
                  <c:v>1.93</c:v>
                </c:pt>
                <c:pt idx="114">
                  <c:v>8.1999999999999993</c:v>
                </c:pt>
                <c:pt idx="115">
                  <c:v>12.15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5C-40FF-9076-81707F775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Headway</a:t>
                </a:r>
                <a:r>
                  <a:rPr lang="en-US" baseline="0"/>
                  <a:t> (time)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Gap/ Speed vs Headway (Regular Vehicles)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510034967671041"/>
                  <c:y val="-4.86027663072352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0.24x + 0.05</a:t>
                    </a:r>
                    <a:br>
                      <a:rPr lang="en-US" sz="1400" baseline="0"/>
                    </a:br>
                    <a:r>
                      <a:rPr lang="en-US" sz="1400" b="1" baseline="0"/>
                      <a:t>R²</a:t>
                    </a:r>
                    <a:r>
                      <a:rPr lang="en-US" sz="1400" baseline="0"/>
                      <a:t> = </a:t>
                    </a:r>
                    <a:r>
                      <a:rPr lang="en-US" sz="1400" b="1" baseline="0"/>
                      <a:t>0.7743</a:t>
                    </a:r>
                    <a:endParaRPr lang="en-US" sz="1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'Cars L2+3'!$D$2:$D$117</c:f>
              <c:numCache>
                <c:formatCode>0.00</c:formatCode>
                <c:ptCount val="116"/>
                <c:pt idx="0" formatCode="General">
                  <c:v>0</c:v>
                </c:pt>
                <c:pt idx="1">
                  <c:v>2.16</c:v>
                </c:pt>
                <c:pt idx="2">
                  <c:v>2.6399999999999988</c:v>
                </c:pt>
                <c:pt idx="3">
                  <c:v>1.6799999999999997</c:v>
                </c:pt>
                <c:pt idx="4">
                  <c:v>2.6799999999999997</c:v>
                </c:pt>
                <c:pt idx="5">
                  <c:v>1.5999999999999979</c:v>
                </c:pt>
                <c:pt idx="6">
                  <c:v>1.6000000000000014</c:v>
                </c:pt>
                <c:pt idx="7">
                  <c:v>1.2000000000000028</c:v>
                </c:pt>
                <c:pt idx="8">
                  <c:v>0.79999999999999716</c:v>
                </c:pt>
                <c:pt idx="9">
                  <c:v>1.4799999999999969</c:v>
                </c:pt>
                <c:pt idx="10">
                  <c:v>1.7999999999999998</c:v>
                </c:pt>
                <c:pt idx="11">
                  <c:v>1.08</c:v>
                </c:pt>
                <c:pt idx="12">
                  <c:v>2.0400000000000009</c:v>
                </c:pt>
                <c:pt idx="13">
                  <c:v>1.7999999999999972</c:v>
                </c:pt>
                <c:pt idx="14" formatCode="General">
                  <c:v>1.2400000000000002</c:v>
                </c:pt>
                <c:pt idx="15" formatCode="General">
                  <c:v>1.3599999999999994</c:v>
                </c:pt>
                <c:pt idx="16" formatCode="General">
                  <c:v>1.6000000000000014</c:v>
                </c:pt>
                <c:pt idx="17" formatCode="General">
                  <c:v>3.9999999999999147E-2</c:v>
                </c:pt>
                <c:pt idx="18" formatCode="General">
                  <c:v>2.0799999999999983</c:v>
                </c:pt>
                <c:pt idx="19" formatCode="General">
                  <c:v>2.8800000000000026</c:v>
                </c:pt>
                <c:pt idx="20" formatCode="General">
                  <c:v>1.8000000000000007</c:v>
                </c:pt>
                <c:pt idx="21" formatCode="General">
                  <c:v>2</c:v>
                </c:pt>
                <c:pt idx="22" formatCode="General">
                  <c:v>1.9600000000000004</c:v>
                </c:pt>
                <c:pt idx="23" formatCode="General">
                  <c:v>0.59999999999999964</c:v>
                </c:pt>
                <c:pt idx="24" formatCode="General">
                  <c:v>0.91999999999999993</c:v>
                </c:pt>
                <c:pt idx="25" formatCode="General">
                  <c:v>1.08</c:v>
                </c:pt>
                <c:pt idx="26" formatCode="General">
                  <c:v>1.879999999999999</c:v>
                </c:pt>
                <c:pt idx="27" formatCode="General">
                  <c:v>3.120000000000001</c:v>
                </c:pt>
                <c:pt idx="28" formatCode="General">
                  <c:v>2.3200000000000003</c:v>
                </c:pt>
                <c:pt idx="29" formatCode="General">
                  <c:v>2.759999999999998</c:v>
                </c:pt>
                <c:pt idx="30" formatCode="General">
                  <c:v>2.0400000000000027</c:v>
                </c:pt>
                <c:pt idx="31" formatCode="General">
                  <c:v>1.759999999999998</c:v>
                </c:pt>
                <c:pt idx="32" formatCode="General">
                  <c:v>2.8800000000000003</c:v>
                </c:pt>
                <c:pt idx="33" formatCode="General">
                  <c:v>0.20000000000000018</c:v>
                </c:pt>
                <c:pt idx="34" formatCode="General">
                  <c:v>3.0399999999999991</c:v>
                </c:pt>
                <c:pt idx="35" formatCode="General">
                  <c:v>1.3599999999999994</c:v>
                </c:pt>
                <c:pt idx="36" formatCode="General">
                  <c:v>1.4400000000000013</c:v>
                </c:pt>
                <c:pt idx="37" formatCode="General">
                  <c:v>2.2799999999999976</c:v>
                </c:pt>
                <c:pt idx="38" formatCode="General">
                  <c:v>2</c:v>
                </c:pt>
                <c:pt idx="39" formatCode="General">
                  <c:v>1.04</c:v>
                </c:pt>
                <c:pt idx="40" formatCode="General">
                  <c:v>0.67999999999999972</c:v>
                </c:pt>
                <c:pt idx="41" formatCode="General">
                  <c:v>0.87999999999999901</c:v>
                </c:pt>
                <c:pt idx="42" formatCode="General">
                  <c:v>1.9199999999999982</c:v>
                </c:pt>
                <c:pt idx="43" formatCode="General">
                  <c:v>1.120000000000001</c:v>
                </c:pt>
                <c:pt idx="44" formatCode="General">
                  <c:v>0.60000000000000142</c:v>
                </c:pt>
                <c:pt idx="45" formatCode="General">
                  <c:v>2.240000000000002</c:v>
                </c:pt>
                <c:pt idx="46" formatCode="General">
                  <c:v>0.35999999999999943</c:v>
                </c:pt>
                <c:pt idx="47" formatCode="General">
                  <c:v>2.1999999999999993</c:v>
                </c:pt>
                <c:pt idx="48" formatCode="General">
                  <c:v>0.40000000000000036</c:v>
                </c:pt>
                <c:pt idx="49" formatCode="General">
                  <c:v>2.08</c:v>
                </c:pt>
                <c:pt idx="50" formatCode="General">
                  <c:v>0.67999999999999972</c:v>
                </c:pt>
                <c:pt idx="51" formatCode="General">
                  <c:v>2.120000000000001</c:v>
                </c:pt>
                <c:pt idx="52" formatCode="General">
                  <c:v>2.1999999999999993</c:v>
                </c:pt>
                <c:pt idx="53" formatCode="General">
                  <c:v>2.1999999999999993</c:v>
                </c:pt>
                <c:pt idx="54" formatCode="General">
                  <c:v>1.6399999999999988</c:v>
                </c:pt>
                <c:pt idx="55" formatCode="General">
                  <c:v>2.08</c:v>
                </c:pt>
                <c:pt idx="56" formatCode="General">
                  <c:v>3.879999999999999</c:v>
                </c:pt>
                <c:pt idx="57" formatCode="General">
                  <c:v>2.0800000000000018</c:v>
                </c:pt>
                <c:pt idx="58" formatCode="General">
                  <c:v>1.879999999999999</c:v>
                </c:pt>
                <c:pt idx="59" formatCode="General">
                  <c:v>1</c:v>
                </c:pt>
                <c:pt idx="60" formatCode="General">
                  <c:v>0.87999999999999901</c:v>
                </c:pt>
                <c:pt idx="61" formatCode="General">
                  <c:v>1.3200000000000003</c:v>
                </c:pt>
                <c:pt idx="62" formatCode="General">
                  <c:v>2.5600000000000005</c:v>
                </c:pt>
                <c:pt idx="63" formatCode="General">
                  <c:v>1.7999999999999989</c:v>
                </c:pt>
                <c:pt idx="64" formatCode="General">
                  <c:v>1.5999999999999996</c:v>
                </c:pt>
                <c:pt idx="65" formatCode="General">
                  <c:v>2.4000000000000004</c:v>
                </c:pt>
                <c:pt idx="66" formatCode="General">
                  <c:v>0.47999999999999687</c:v>
                </c:pt>
                <c:pt idx="67" formatCode="General">
                  <c:v>1.7200000000000024</c:v>
                </c:pt>
                <c:pt idx="68" formatCode="General">
                  <c:v>1.3999999999999986</c:v>
                </c:pt>
                <c:pt idx="69" formatCode="General">
                  <c:v>2</c:v>
                </c:pt>
                <c:pt idx="70" formatCode="General">
                  <c:v>1.8799999999999955</c:v>
                </c:pt>
                <c:pt idx="71" formatCode="General">
                  <c:v>1.4800000000000004</c:v>
                </c:pt>
                <c:pt idx="72" formatCode="General">
                  <c:v>2.0399999999999991</c:v>
                </c:pt>
                <c:pt idx="73" formatCode="General">
                  <c:v>2.3199999999999998</c:v>
                </c:pt>
                <c:pt idx="74" formatCode="General">
                  <c:v>2</c:v>
                </c:pt>
                <c:pt idx="75" formatCode="General">
                  <c:v>1.2800000000000002</c:v>
                </c:pt>
                <c:pt idx="76" formatCode="General">
                  <c:v>2.08</c:v>
                </c:pt>
                <c:pt idx="77" formatCode="General">
                  <c:v>2.240000000000002</c:v>
                </c:pt>
                <c:pt idx="78" formatCode="General">
                  <c:v>1.5999999999999979</c:v>
                </c:pt>
                <c:pt idx="79" formatCode="General">
                  <c:v>1.6799999999999997</c:v>
                </c:pt>
                <c:pt idx="80" formatCode="General">
                  <c:v>2</c:v>
                </c:pt>
                <c:pt idx="81" formatCode="General">
                  <c:v>2</c:v>
                </c:pt>
                <c:pt idx="82" formatCode="General">
                  <c:v>1.7999999999999998</c:v>
                </c:pt>
                <c:pt idx="83" formatCode="General">
                  <c:v>1.8000000000000007</c:v>
                </c:pt>
                <c:pt idx="84" formatCode="General">
                  <c:v>2.0399999999999991</c:v>
                </c:pt>
                <c:pt idx="85" formatCode="General">
                  <c:v>1.72</c:v>
                </c:pt>
                <c:pt idx="86" formatCode="General">
                  <c:v>1.7199999999999998</c:v>
                </c:pt>
                <c:pt idx="87" formatCode="General">
                  <c:v>1.96</c:v>
                </c:pt>
                <c:pt idx="88" formatCode="General">
                  <c:v>1.2400000000000002</c:v>
                </c:pt>
                <c:pt idx="89" formatCode="General">
                  <c:v>1.1999999999999993</c:v>
                </c:pt>
                <c:pt idx="90" formatCode="General">
                  <c:v>0.80000000000000071</c:v>
                </c:pt>
                <c:pt idx="91" formatCode="General">
                  <c:v>0.24000000000000021</c:v>
                </c:pt>
                <c:pt idx="92" formatCode="General">
                  <c:v>1.1999999999999993</c:v>
                </c:pt>
                <c:pt idx="93" formatCode="General">
                  <c:v>1.3999999999999986</c:v>
                </c:pt>
                <c:pt idx="94" formatCode="General">
                  <c:v>1.8000000000000007</c:v>
                </c:pt>
                <c:pt idx="95" formatCode="General">
                  <c:v>2.3599999999999994</c:v>
                </c:pt>
                <c:pt idx="96" formatCode="General">
                  <c:v>1.4799999999999969</c:v>
                </c:pt>
                <c:pt idx="97" formatCode="General">
                  <c:v>1</c:v>
                </c:pt>
                <c:pt idx="98" formatCode="General">
                  <c:v>1.8000000000000007</c:v>
                </c:pt>
                <c:pt idx="99" formatCode="General">
                  <c:v>1.4000000000000004</c:v>
                </c:pt>
                <c:pt idx="100" formatCode="General">
                  <c:v>1.6799999999999997</c:v>
                </c:pt>
                <c:pt idx="101" formatCode="General">
                  <c:v>0.24000000000000021</c:v>
                </c:pt>
                <c:pt idx="102" formatCode="General">
                  <c:v>3.4799999999999969</c:v>
                </c:pt>
                <c:pt idx="103" formatCode="General">
                  <c:v>0.20000000000000284</c:v>
                </c:pt>
                <c:pt idx="104" formatCode="General">
                  <c:v>1.3999999999999986</c:v>
                </c:pt>
                <c:pt idx="105" formatCode="General">
                  <c:v>1.6400000000000006</c:v>
                </c:pt>
                <c:pt idx="106" formatCode="General">
                  <c:v>2.4799999999999969</c:v>
                </c:pt>
                <c:pt idx="107" formatCode="General">
                  <c:v>0.40000000000000568</c:v>
                </c:pt>
                <c:pt idx="108" formatCode="General">
                  <c:v>1.8799999999999955</c:v>
                </c:pt>
                <c:pt idx="109" formatCode="General">
                  <c:v>2.16</c:v>
                </c:pt>
                <c:pt idx="110" formatCode="General">
                  <c:v>1.92</c:v>
                </c:pt>
                <c:pt idx="111" formatCode="General">
                  <c:v>1.7200000000000006</c:v>
                </c:pt>
                <c:pt idx="112" formatCode="General">
                  <c:v>1.2000000000000011</c:v>
                </c:pt>
                <c:pt idx="113" formatCode="General">
                  <c:v>0.35999999999999943</c:v>
                </c:pt>
                <c:pt idx="114" formatCode="General">
                  <c:v>1.3200000000000003</c:v>
                </c:pt>
                <c:pt idx="115" formatCode="General">
                  <c:v>2.9199999999999946</c:v>
                </c:pt>
              </c:numCache>
            </c:numRef>
          </c:xVal>
          <c:yVal>
            <c:numRef>
              <c:f>'Cars L2+3'!$H$2:$H$117</c:f>
              <c:numCache>
                <c:formatCode>0.00</c:formatCode>
                <c:ptCount val="116"/>
                <c:pt idx="0" formatCode="General">
                  <c:v>0</c:v>
                </c:pt>
                <c:pt idx="1">
                  <c:v>0.56626506024096379</c:v>
                </c:pt>
                <c:pt idx="2">
                  <c:v>0.59204545454545454</c:v>
                </c:pt>
                <c:pt idx="3">
                  <c:v>0.37000000000000005</c:v>
                </c:pt>
                <c:pt idx="4">
                  <c:v>0.64137931034482765</c:v>
                </c:pt>
                <c:pt idx="5">
                  <c:v>0.45935483870967742</c:v>
                </c:pt>
                <c:pt idx="6">
                  <c:v>0.42100840336134449</c:v>
                </c:pt>
                <c:pt idx="7">
                  <c:v>0.28000000000000003</c:v>
                </c:pt>
                <c:pt idx="8">
                  <c:v>0.21046511627906977</c:v>
                </c:pt>
                <c:pt idx="9">
                  <c:v>0.31854304635761588</c:v>
                </c:pt>
                <c:pt idx="10">
                  <c:v>0.4029411764705883</c:v>
                </c:pt>
                <c:pt idx="11">
                  <c:v>0.2151898734177215</c:v>
                </c:pt>
                <c:pt idx="12">
                  <c:v>0.37125000000000002</c:v>
                </c:pt>
                <c:pt idx="13">
                  <c:v>0.57338129496402879</c:v>
                </c:pt>
                <c:pt idx="14">
                  <c:v>0.45055555555555554</c:v>
                </c:pt>
                <c:pt idx="15">
                  <c:v>0.22529411764705884</c:v>
                </c:pt>
                <c:pt idx="16">
                  <c:v>0.63450704225352117</c:v>
                </c:pt>
                <c:pt idx="17">
                  <c:v>1.3903743315508022E-2</c:v>
                </c:pt>
                <c:pt idx="18">
                  <c:v>0.68322147651006704</c:v>
                </c:pt>
                <c:pt idx="19">
                  <c:v>0.60370370370370363</c:v>
                </c:pt>
                <c:pt idx="20">
                  <c:v>0.40512820512820513</c:v>
                </c:pt>
                <c:pt idx="21">
                  <c:v>0.46190476190476193</c:v>
                </c:pt>
                <c:pt idx="22">
                  <c:v>0.48050847457627116</c:v>
                </c:pt>
                <c:pt idx="23">
                  <c:v>0.28074534161490677</c:v>
                </c:pt>
                <c:pt idx="24">
                  <c:v>4.7923322683706068E-2</c:v>
                </c:pt>
                <c:pt idx="25">
                  <c:v>0.46010101010101007</c:v>
                </c:pt>
                <c:pt idx="26">
                  <c:v>0.44133858267716541</c:v>
                </c:pt>
                <c:pt idx="27">
                  <c:v>0.73656387665198231</c:v>
                </c:pt>
                <c:pt idx="28">
                  <c:v>0.56237288135593222</c:v>
                </c:pt>
                <c:pt idx="29">
                  <c:v>0.62056737588652489</c:v>
                </c:pt>
                <c:pt idx="30">
                  <c:v>0.50804597701149423</c:v>
                </c:pt>
                <c:pt idx="31">
                  <c:v>0.46794871742621386</c:v>
                </c:pt>
                <c:pt idx="32">
                  <c:v>0.87120418848167536</c:v>
                </c:pt>
                <c:pt idx="33">
                  <c:v>0.11283783783783782</c:v>
                </c:pt>
                <c:pt idx="34">
                  <c:v>0.62821782178217822</c:v>
                </c:pt>
                <c:pt idx="35">
                  <c:v>0.37828054298642527</c:v>
                </c:pt>
                <c:pt idx="36">
                  <c:v>0.4068027210884354</c:v>
                </c:pt>
                <c:pt idx="37">
                  <c:v>0.50254545454545452</c:v>
                </c:pt>
                <c:pt idx="38">
                  <c:v>0.74509803921568629</c:v>
                </c:pt>
                <c:pt idx="39">
                  <c:v>0.45656565656565651</c:v>
                </c:pt>
                <c:pt idx="40">
                  <c:v>8.7096774193548387E-2</c:v>
                </c:pt>
                <c:pt idx="41">
                  <c:v>0.27853881278538811</c:v>
                </c:pt>
                <c:pt idx="42">
                  <c:v>0.63872832369942201</c:v>
                </c:pt>
                <c:pt idx="43">
                  <c:v>0.2837719298245614</c:v>
                </c:pt>
                <c:pt idx="44">
                  <c:v>0.1215686274509804</c:v>
                </c:pt>
                <c:pt idx="45">
                  <c:v>0.52406417112299475</c:v>
                </c:pt>
                <c:pt idx="46">
                  <c:v>0.10292887029288704</c:v>
                </c:pt>
                <c:pt idx="47">
                  <c:v>0.55876777251184828</c:v>
                </c:pt>
                <c:pt idx="48">
                  <c:v>0.15916230366492146</c:v>
                </c:pt>
                <c:pt idx="49">
                  <c:v>0.55497076023391811</c:v>
                </c:pt>
                <c:pt idx="50">
                  <c:v>0.35000000000000003</c:v>
                </c:pt>
                <c:pt idx="51">
                  <c:v>0.43649289099526067</c:v>
                </c:pt>
                <c:pt idx="52">
                  <c:v>0.55999999999999994</c:v>
                </c:pt>
                <c:pt idx="53">
                  <c:v>0.44673913043478269</c:v>
                </c:pt>
                <c:pt idx="54">
                  <c:v>0.5</c:v>
                </c:pt>
                <c:pt idx="55">
                  <c:v>0.68195876288659796</c:v>
                </c:pt>
                <c:pt idx="56">
                  <c:v>0.97560975609756106</c:v>
                </c:pt>
                <c:pt idx="57">
                  <c:v>0.51223404255319149</c:v>
                </c:pt>
                <c:pt idx="58">
                  <c:v>0.60701754385964912</c:v>
                </c:pt>
                <c:pt idx="59">
                  <c:v>0.23599999999999999</c:v>
                </c:pt>
                <c:pt idx="60">
                  <c:v>0.31229946524064173</c:v>
                </c:pt>
                <c:pt idx="61">
                  <c:v>0.34271844660194173</c:v>
                </c:pt>
                <c:pt idx="62">
                  <c:v>0.77076923076923076</c:v>
                </c:pt>
                <c:pt idx="63">
                  <c:v>0.54013605442176871</c:v>
                </c:pt>
                <c:pt idx="64">
                  <c:v>0.45652173913043476</c:v>
                </c:pt>
                <c:pt idx="65">
                  <c:v>0.75287356321839083</c:v>
                </c:pt>
                <c:pt idx="66">
                  <c:v>0.20152284263959391</c:v>
                </c:pt>
                <c:pt idx="67">
                  <c:v>0.34761904761904761</c:v>
                </c:pt>
                <c:pt idx="68">
                  <c:v>0.34416961130742052</c:v>
                </c:pt>
                <c:pt idx="69">
                  <c:v>0.52633744855967068</c:v>
                </c:pt>
                <c:pt idx="70">
                  <c:v>0.47500000000000003</c:v>
                </c:pt>
                <c:pt idx="71">
                  <c:v>0.41974789915966387</c:v>
                </c:pt>
                <c:pt idx="72">
                  <c:v>0.52195121951219514</c:v>
                </c:pt>
                <c:pt idx="73">
                  <c:v>0.63474178403755865</c:v>
                </c:pt>
                <c:pt idx="74">
                  <c:v>0.66569767441860461</c:v>
                </c:pt>
                <c:pt idx="75">
                  <c:v>0.28674698795180725</c:v>
                </c:pt>
                <c:pt idx="76">
                  <c:v>0.53514851485148518</c:v>
                </c:pt>
                <c:pt idx="77">
                  <c:v>0.54663212435233166</c:v>
                </c:pt>
                <c:pt idx="78">
                  <c:v>0.39099099099099099</c:v>
                </c:pt>
                <c:pt idx="79">
                  <c:v>0.46899563318777299</c:v>
                </c:pt>
                <c:pt idx="80">
                  <c:v>0.55594059405940599</c:v>
                </c:pt>
                <c:pt idx="81">
                  <c:v>0.61139896373057001</c:v>
                </c:pt>
                <c:pt idx="82">
                  <c:v>0.5948863636363636</c:v>
                </c:pt>
                <c:pt idx="83">
                  <c:v>0.52840909090909094</c:v>
                </c:pt>
                <c:pt idx="84">
                  <c:v>0.77814569536423839</c:v>
                </c:pt>
                <c:pt idx="85">
                  <c:v>0.47550200803212855</c:v>
                </c:pt>
                <c:pt idx="86">
                  <c:v>0.58918918918918917</c:v>
                </c:pt>
                <c:pt idx="87">
                  <c:v>0.498</c:v>
                </c:pt>
                <c:pt idx="88">
                  <c:v>0.45103092783505155</c:v>
                </c:pt>
                <c:pt idx="89">
                  <c:v>0.22499999999999998</c:v>
                </c:pt>
                <c:pt idx="90">
                  <c:v>0.36865671641791042</c:v>
                </c:pt>
                <c:pt idx="91">
                  <c:v>3.8181818181818185E-2</c:v>
                </c:pt>
                <c:pt idx="92">
                  <c:v>0.46168224299065425</c:v>
                </c:pt>
                <c:pt idx="93">
                  <c:v>0.41666666666666669</c:v>
                </c:pt>
                <c:pt idx="94">
                  <c:v>0.44264705882352939</c:v>
                </c:pt>
                <c:pt idx="95">
                  <c:v>0.56547085201793723</c:v>
                </c:pt>
                <c:pt idx="96">
                  <c:v>0.43944954128440367</c:v>
                </c:pt>
                <c:pt idx="97">
                  <c:v>0.25024390243902439</c:v>
                </c:pt>
                <c:pt idx="98">
                  <c:v>0.4162995594713656</c:v>
                </c:pt>
                <c:pt idx="99">
                  <c:v>0.44507042253521129</c:v>
                </c:pt>
                <c:pt idx="100">
                  <c:v>0.58203592814371263</c:v>
                </c:pt>
                <c:pt idx="101">
                  <c:v>4.5528455284552849E-2</c:v>
                </c:pt>
                <c:pt idx="102">
                  <c:v>0.86497461928934005</c:v>
                </c:pt>
                <c:pt idx="103">
                  <c:v>9.9137931034482766E-3</c:v>
                </c:pt>
                <c:pt idx="104">
                  <c:v>0.33797909407665505</c:v>
                </c:pt>
                <c:pt idx="105">
                  <c:v>0.43398437499999998</c:v>
                </c:pt>
                <c:pt idx="106">
                  <c:v>0.7119834710743802</c:v>
                </c:pt>
                <c:pt idx="107">
                  <c:v>5.2830188679245278E-2</c:v>
                </c:pt>
                <c:pt idx="108">
                  <c:v>0.52834645669291336</c:v>
                </c:pt>
                <c:pt idx="109">
                  <c:v>0.59213483146067414</c:v>
                </c:pt>
                <c:pt idx="110">
                  <c:v>0.51877729257641925</c:v>
                </c:pt>
                <c:pt idx="111">
                  <c:v>0.27754237288135591</c:v>
                </c:pt>
                <c:pt idx="112">
                  <c:v>0.35582524271844657</c:v>
                </c:pt>
                <c:pt idx="113">
                  <c:v>8.177966101694914E-2</c:v>
                </c:pt>
                <c:pt idx="114">
                  <c:v>0.38862559241706157</c:v>
                </c:pt>
                <c:pt idx="115">
                  <c:v>0.40771812080536912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5A-4A0D-9944-F2A25E8BF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Headway (time)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Gap/Speed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 spacing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'Cars L2+3'!$J$1</c:f>
              <c:strCache>
                <c:ptCount val="1"/>
                <c:pt idx="0">
                  <c:v>Min spacing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'Cars L2+3'!$E$2:$E$117</c:f>
              <c:numCache>
                <c:formatCode>General</c:formatCode>
                <c:ptCount val="116"/>
                <c:pt idx="0">
                  <c:v>0</c:v>
                </c:pt>
                <c:pt idx="1">
                  <c:v>9.4</c:v>
                </c:pt>
                <c:pt idx="2">
                  <c:v>10.42</c:v>
                </c:pt>
                <c:pt idx="3">
                  <c:v>8.8800000000000008</c:v>
                </c:pt>
                <c:pt idx="4">
                  <c:v>11.16</c:v>
                </c:pt>
                <c:pt idx="5">
                  <c:v>7.12</c:v>
                </c:pt>
                <c:pt idx="6">
                  <c:v>5.01</c:v>
                </c:pt>
                <c:pt idx="7">
                  <c:v>4.9000000000000004</c:v>
                </c:pt>
                <c:pt idx="8">
                  <c:v>3.62</c:v>
                </c:pt>
                <c:pt idx="9">
                  <c:v>4.8099999999999996</c:v>
                </c:pt>
                <c:pt idx="10">
                  <c:v>8.2200000000000006</c:v>
                </c:pt>
                <c:pt idx="11">
                  <c:v>3.4</c:v>
                </c:pt>
                <c:pt idx="12">
                  <c:v>8.91</c:v>
                </c:pt>
                <c:pt idx="13">
                  <c:v>7.97</c:v>
                </c:pt>
                <c:pt idx="14">
                  <c:v>8.11</c:v>
                </c:pt>
                <c:pt idx="15">
                  <c:v>3.83</c:v>
                </c:pt>
                <c:pt idx="16">
                  <c:v>9.01</c:v>
                </c:pt>
                <c:pt idx="17">
                  <c:v>0.26</c:v>
                </c:pt>
                <c:pt idx="18">
                  <c:v>10.18</c:v>
                </c:pt>
                <c:pt idx="19" formatCode="0.00">
                  <c:v>13.04</c:v>
                </c:pt>
                <c:pt idx="20">
                  <c:v>7.9</c:v>
                </c:pt>
                <c:pt idx="21">
                  <c:v>11.64</c:v>
                </c:pt>
                <c:pt idx="22">
                  <c:v>11.34</c:v>
                </c:pt>
                <c:pt idx="23">
                  <c:v>4.5199999999999996</c:v>
                </c:pt>
                <c:pt idx="24">
                  <c:v>1.5</c:v>
                </c:pt>
                <c:pt idx="25">
                  <c:v>9.11</c:v>
                </c:pt>
                <c:pt idx="26">
                  <c:v>11.21</c:v>
                </c:pt>
                <c:pt idx="27">
                  <c:v>16.72</c:v>
                </c:pt>
                <c:pt idx="28">
                  <c:v>16.59</c:v>
                </c:pt>
                <c:pt idx="29">
                  <c:v>17.5</c:v>
                </c:pt>
                <c:pt idx="30">
                  <c:v>13.26</c:v>
                </c:pt>
                <c:pt idx="31">
                  <c:v>10.949999809265099</c:v>
                </c:pt>
                <c:pt idx="32">
                  <c:v>16.64</c:v>
                </c:pt>
                <c:pt idx="33">
                  <c:v>1.67</c:v>
                </c:pt>
                <c:pt idx="34">
                  <c:v>12.69</c:v>
                </c:pt>
                <c:pt idx="35">
                  <c:v>8.36</c:v>
                </c:pt>
                <c:pt idx="36">
                  <c:v>11.96</c:v>
                </c:pt>
                <c:pt idx="37">
                  <c:v>13.82</c:v>
                </c:pt>
                <c:pt idx="38">
                  <c:v>11.4</c:v>
                </c:pt>
                <c:pt idx="39">
                  <c:v>9.0399999999999991</c:v>
                </c:pt>
                <c:pt idx="40">
                  <c:v>1.89</c:v>
                </c:pt>
                <c:pt idx="41">
                  <c:v>6.1</c:v>
                </c:pt>
                <c:pt idx="42">
                  <c:v>11.05</c:v>
                </c:pt>
                <c:pt idx="43">
                  <c:v>6.47</c:v>
                </c:pt>
                <c:pt idx="44">
                  <c:v>2.48</c:v>
                </c:pt>
                <c:pt idx="45">
                  <c:v>9.8000000000000007</c:v>
                </c:pt>
                <c:pt idx="46">
                  <c:v>2.46</c:v>
                </c:pt>
                <c:pt idx="47">
                  <c:v>11.79</c:v>
                </c:pt>
                <c:pt idx="48">
                  <c:v>3.04</c:v>
                </c:pt>
                <c:pt idx="49">
                  <c:v>9.49</c:v>
                </c:pt>
                <c:pt idx="50">
                  <c:v>4.62</c:v>
                </c:pt>
                <c:pt idx="51">
                  <c:v>9.2100000000000009</c:v>
                </c:pt>
                <c:pt idx="52">
                  <c:v>12.6</c:v>
                </c:pt>
                <c:pt idx="53">
                  <c:v>8.2200000000000006</c:v>
                </c:pt>
                <c:pt idx="54">
                  <c:v>7</c:v>
                </c:pt>
                <c:pt idx="55">
                  <c:v>13.23</c:v>
                </c:pt>
                <c:pt idx="56">
                  <c:v>16</c:v>
                </c:pt>
                <c:pt idx="57">
                  <c:v>9.6300000000000008</c:v>
                </c:pt>
                <c:pt idx="58">
                  <c:v>10.38</c:v>
                </c:pt>
                <c:pt idx="59">
                  <c:v>4.72</c:v>
                </c:pt>
                <c:pt idx="60">
                  <c:v>5.84</c:v>
                </c:pt>
                <c:pt idx="61">
                  <c:v>7.06</c:v>
                </c:pt>
                <c:pt idx="62">
                  <c:v>10.02</c:v>
                </c:pt>
                <c:pt idx="63">
                  <c:v>7.94</c:v>
                </c:pt>
                <c:pt idx="64">
                  <c:v>9.4499999999999993</c:v>
                </c:pt>
                <c:pt idx="65">
                  <c:v>13.1</c:v>
                </c:pt>
                <c:pt idx="66">
                  <c:v>3.97</c:v>
                </c:pt>
                <c:pt idx="67">
                  <c:v>9.49</c:v>
                </c:pt>
                <c:pt idx="68">
                  <c:v>9.74</c:v>
                </c:pt>
                <c:pt idx="69">
                  <c:v>12.79</c:v>
                </c:pt>
                <c:pt idx="70">
                  <c:v>7.41</c:v>
                </c:pt>
                <c:pt idx="71">
                  <c:v>9.99</c:v>
                </c:pt>
                <c:pt idx="72">
                  <c:v>12.84</c:v>
                </c:pt>
                <c:pt idx="73">
                  <c:v>13.52</c:v>
                </c:pt>
                <c:pt idx="74">
                  <c:v>11.45</c:v>
                </c:pt>
                <c:pt idx="75">
                  <c:v>7.14</c:v>
                </c:pt>
                <c:pt idx="76">
                  <c:v>10.81</c:v>
                </c:pt>
                <c:pt idx="77">
                  <c:v>10.55</c:v>
                </c:pt>
                <c:pt idx="78">
                  <c:v>8.68</c:v>
                </c:pt>
                <c:pt idx="79">
                  <c:v>10.74</c:v>
                </c:pt>
                <c:pt idx="80">
                  <c:v>11.23</c:v>
                </c:pt>
                <c:pt idx="81">
                  <c:v>11.8</c:v>
                </c:pt>
                <c:pt idx="82">
                  <c:v>10.47</c:v>
                </c:pt>
                <c:pt idx="83">
                  <c:v>9.3000000000000007</c:v>
                </c:pt>
                <c:pt idx="84">
                  <c:v>11.75</c:v>
                </c:pt>
                <c:pt idx="85">
                  <c:v>11.84</c:v>
                </c:pt>
                <c:pt idx="86">
                  <c:v>10.9</c:v>
                </c:pt>
                <c:pt idx="87">
                  <c:v>7.47</c:v>
                </c:pt>
                <c:pt idx="88">
                  <c:v>8.75</c:v>
                </c:pt>
                <c:pt idx="89">
                  <c:v>4.05</c:v>
                </c:pt>
                <c:pt idx="90">
                  <c:v>7.41</c:v>
                </c:pt>
                <c:pt idx="91">
                  <c:v>1.05</c:v>
                </c:pt>
                <c:pt idx="92">
                  <c:v>9.8800000000000008</c:v>
                </c:pt>
                <c:pt idx="93">
                  <c:v>9.75</c:v>
                </c:pt>
                <c:pt idx="94">
                  <c:v>9.0299999999999994</c:v>
                </c:pt>
                <c:pt idx="95">
                  <c:v>12.61</c:v>
                </c:pt>
                <c:pt idx="96">
                  <c:v>9.58</c:v>
                </c:pt>
                <c:pt idx="97">
                  <c:v>5.13</c:v>
                </c:pt>
                <c:pt idx="98">
                  <c:v>9.4499999999999993</c:v>
                </c:pt>
                <c:pt idx="99">
                  <c:v>6.32</c:v>
                </c:pt>
                <c:pt idx="100">
                  <c:v>9.7200000000000006</c:v>
                </c:pt>
                <c:pt idx="101">
                  <c:v>0.56000000000000005</c:v>
                </c:pt>
                <c:pt idx="102">
                  <c:v>17.04</c:v>
                </c:pt>
                <c:pt idx="103">
                  <c:v>0.23</c:v>
                </c:pt>
                <c:pt idx="104">
                  <c:v>9.6999999999999993</c:v>
                </c:pt>
                <c:pt idx="105">
                  <c:v>11.11</c:v>
                </c:pt>
                <c:pt idx="106">
                  <c:v>17.23</c:v>
                </c:pt>
                <c:pt idx="107">
                  <c:v>1.4</c:v>
                </c:pt>
                <c:pt idx="108">
                  <c:v>13.42</c:v>
                </c:pt>
                <c:pt idx="109">
                  <c:v>10.54</c:v>
                </c:pt>
                <c:pt idx="110">
                  <c:v>11.88</c:v>
                </c:pt>
                <c:pt idx="111">
                  <c:v>6.55</c:v>
                </c:pt>
                <c:pt idx="112">
                  <c:v>7.33</c:v>
                </c:pt>
                <c:pt idx="113">
                  <c:v>1.93</c:v>
                </c:pt>
                <c:pt idx="114">
                  <c:v>8.1999999999999993</c:v>
                </c:pt>
                <c:pt idx="115">
                  <c:v>12.15</c:v>
                </c:pt>
              </c:numCache>
            </c:numRef>
          </c:xVal>
          <c:yVal>
            <c:numRef>
              <c:f>'Cars L2+3'!$J$2:$J$117</c:f>
              <c:numCache>
                <c:formatCode>0.00</c:formatCode>
                <c:ptCount val="116"/>
                <c:pt idx="0" formatCode="General">
                  <c:v>0</c:v>
                </c:pt>
                <c:pt idx="1">
                  <c:v>1.522331008583691</c:v>
                </c:pt>
                <c:pt idx="2">
                  <c:v>1.6651866066701959</c:v>
                </c:pt>
                <c:pt idx="3">
                  <c:v>1.3082723279648609</c:v>
                </c:pt>
                <c:pt idx="4">
                  <c:v>1.7881767515923568</c:v>
                </c:pt>
                <c:pt idx="5">
                  <c:v>1.1703512115436974</c:v>
                </c:pt>
                <c:pt idx="6">
                  <c:v>0.86595691382765527</c:v>
                </c:pt>
                <c:pt idx="7">
                  <c:v>0.78409090909090917</c:v>
                </c:pt>
                <c:pt idx="8">
                  <c:v>0.58157929749866955</c:v>
                </c:pt>
                <c:pt idx="9">
                  <c:v>0.79497330960854073</c:v>
                </c:pt>
                <c:pt idx="10">
                  <c:v>1.2666730474732009</c:v>
                </c:pt>
                <c:pt idx="11">
                  <c:v>0.55660249457700639</c:v>
                </c:pt>
                <c:pt idx="12">
                  <c:v>1.3126921669106881</c:v>
                </c:pt>
                <c:pt idx="13">
                  <c:v>1.3392394934595047</c:v>
                </c:pt>
                <c:pt idx="14">
                  <c:v>1.2892081358609795</c:v>
                </c:pt>
                <c:pt idx="15">
                  <c:v>0.61695904482390607</c:v>
                </c:pt>
                <c:pt idx="16">
                  <c:v>1.507701635254989</c:v>
                </c:pt>
                <c:pt idx="17">
                  <c:v>4.0953561179232982E-2</c:v>
                </c:pt>
                <c:pt idx="18">
                  <c:v>1.6871191325830361</c:v>
                </c:pt>
                <c:pt idx="19">
                  <c:v>1.9791101055806939</c:v>
                </c:pt>
                <c:pt idx="20">
                  <c:v>1.2315065840433772</c:v>
                </c:pt>
                <c:pt idx="21">
                  <c:v>1.6901515151515154</c:v>
                </c:pt>
                <c:pt idx="22">
                  <c:v>1.6788928396272684</c:v>
                </c:pt>
                <c:pt idx="23">
                  <c:v>0.7369565217391304</c:v>
                </c:pt>
                <c:pt idx="24">
                  <c:v>0.20291844051086713</c:v>
                </c:pt>
                <c:pt idx="25">
                  <c:v>1.4146508487654321</c:v>
                </c:pt>
                <c:pt idx="26">
                  <c:v>1.6238093809980809</c:v>
                </c:pt>
                <c:pt idx="27">
                  <c:v>2.5030250433920158</c:v>
                </c:pt>
                <c:pt idx="28">
                  <c:v>2.2904670706608736</c:v>
                </c:pt>
                <c:pt idx="29">
                  <c:v>2.4525591922005572</c:v>
                </c:pt>
                <c:pt idx="30">
                  <c:v>1.9047644539614563</c:v>
                </c:pt>
                <c:pt idx="31">
                  <c:v>1.6251382536481964</c:v>
                </c:pt>
                <c:pt idx="32">
                  <c:v>2.60742278743836</c:v>
                </c:pt>
                <c:pt idx="33">
                  <c:v>0.27714747113798788</c:v>
                </c:pt>
                <c:pt idx="34">
                  <c:v>1.9604881013306041</c:v>
                </c:pt>
                <c:pt idx="35">
                  <c:v>1.260891831126655</c:v>
                </c:pt>
                <c:pt idx="36">
                  <c:v>1.6531250000000002</c:v>
                </c:pt>
                <c:pt idx="37">
                  <c:v>1.9526854668850926</c:v>
                </c:pt>
                <c:pt idx="38">
                  <c:v>1.9604881013306041</c:v>
                </c:pt>
                <c:pt idx="39">
                  <c:v>1.4037808641975309</c:v>
                </c:pt>
                <c:pt idx="40">
                  <c:v>0.28648945518453428</c:v>
                </c:pt>
                <c:pt idx="41">
                  <c:v>0.92233283245679931</c:v>
                </c:pt>
                <c:pt idx="42">
                  <c:v>1.7729039330321557</c:v>
                </c:pt>
                <c:pt idx="43">
                  <c:v>0.96737555720653789</c:v>
                </c:pt>
                <c:pt idx="44">
                  <c:v>0.38215926493108732</c:v>
                </c:pt>
                <c:pt idx="45">
                  <c:v>1.5436342290633971</c:v>
                </c:pt>
                <c:pt idx="46">
                  <c:v>0.36286953334962135</c:v>
                </c:pt>
                <c:pt idx="47">
                  <c:v>1.8007114849481407</c:v>
                </c:pt>
                <c:pt idx="48">
                  <c:v>0.47635608616662339</c:v>
                </c:pt>
                <c:pt idx="49">
                  <c:v>1.5266686650679457</c:v>
                </c:pt>
                <c:pt idx="50">
                  <c:v>0.78395868465430019</c:v>
                </c:pt>
                <c:pt idx="51">
                  <c:v>1.4066626612699218</c:v>
                </c:pt>
                <c:pt idx="52">
                  <c:v>1.8909395973154361</c:v>
                </c:pt>
                <c:pt idx="53">
                  <c:v>1.2998493975903616</c:v>
                </c:pt>
                <c:pt idx="54">
                  <c:v>1.1746108949416343</c:v>
                </c:pt>
                <c:pt idx="55">
                  <c:v>2.0650497673216135</c:v>
                </c:pt>
                <c:pt idx="56">
                  <c:v>2.5981710597095216</c:v>
                </c:pt>
                <c:pt idx="57">
                  <c:v>1.5148807972902554</c:v>
                </c:pt>
                <c:pt idx="58">
                  <c:v>1.66984412470024</c:v>
                </c:pt>
                <c:pt idx="59">
                  <c:v>0.73106721395587482</c:v>
                </c:pt>
                <c:pt idx="60">
                  <c:v>0.91987998956431005</c:v>
                </c:pt>
                <c:pt idx="61">
                  <c:v>1.0851514765784114</c:v>
                </c:pt>
                <c:pt idx="62">
                  <c:v>1.705066234498309</c:v>
                </c:pt>
                <c:pt idx="63">
                  <c:v>1.3195086705202312</c:v>
                </c:pt>
                <c:pt idx="64">
                  <c:v>1.450657894736842</c:v>
                </c:pt>
                <c:pt idx="65">
                  <c:v>2.0990246815286624</c:v>
                </c:pt>
                <c:pt idx="66">
                  <c:v>0.61727723409734747</c:v>
                </c:pt>
                <c:pt idx="67">
                  <c:v>1.3440270935960592</c:v>
                </c:pt>
                <c:pt idx="68">
                  <c:v>1.3634419197774172</c:v>
                </c:pt>
                <c:pt idx="69">
                  <c:v>1.8774525893508387</c:v>
                </c:pt>
                <c:pt idx="70">
                  <c:v>1.2163641924959219</c:v>
                </c:pt>
                <c:pt idx="71">
                  <c:v>1.4754066780821919</c:v>
                </c:pt>
                <c:pt idx="72">
                  <c:v>1.8779433139534885</c:v>
                </c:pt>
                <c:pt idx="73">
                  <c:v>2.0597274791824374</c:v>
                </c:pt>
                <c:pt idx="74">
                  <c:v>1.8395256785524214</c:v>
                </c:pt>
                <c:pt idx="75">
                  <c:v>1.040496017378711</c:v>
                </c:pt>
                <c:pt idx="76">
                  <c:v>1.6700454196519963</c:v>
                </c:pt>
                <c:pt idx="77">
                  <c:v>1.6488642246958325</c:v>
                </c:pt>
                <c:pt idx="78">
                  <c:v>1.3075224550898206</c:v>
                </c:pt>
                <c:pt idx="79">
                  <c:v>1.6038276032649026</c:v>
                </c:pt>
                <c:pt idx="80">
                  <c:v>1.7349315506653022</c:v>
                </c:pt>
                <c:pt idx="81">
                  <c:v>1.8442272844939169</c:v>
                </c:pt>
                <c:pt idx="82">
                  <c:v>1.6731769454737957</c:v>
                </c:pt>
                <c:pt idx="83">
                  <c:v>1.4862030174695606</c:v>
                </c:pt>
                <c:pt idx="84">
                  <c:v>1.9419826170271008</c:v>
                </c:pt>
                <c:pt idx="85">
                  <c:v>1.7254163649529326</c:v>
                </c:pt>
                <c:pt idx="86">
                  <c:v>1.7213902694219203</c:v>
                </c:pt>
                <c:pt idx="87">
                  <c:v>1.2362972861842105</c:v>
                </c:pt>
                <c:pt idx="88">
                  <c:v>1.3657736556359876</c:v>
                </c:pt>
                <c:pt idx="89">
                  <c:v>0.64380924170616116</c:v>
                </c:pt>
                <c:pt idx="90">
                  <c:v>1.1462432744043045</c:v>
                </c:pt>
                <c:pt idx="91">
                  <c:v>0.14835888134799907</c:v>
                </c:pt>
                <c:pt idx="92">
                  <c:v>1.5032888104838713</c:v>
                </c:pt>
                <c:pt idx="93">
                  <c:v>1.4470409292035398</c:v>
                </c:pt>
                <c:pt idx="94">
                  <c:v>1.3914911944869832</c:v>
                </c:pt>
                <c:pt idx="95">
                  <c:v>1.8971561176177425</c:v>
                </c:pt>
                <c:pt idx="96">
                  <c:v>1.4503322467402207</c:v>
                </c:pt>
                <c:pt idx="97">
                  <c:v>0.78950739230180988</c:v>
                </c:pt>
                <c:pt idx="98">
                  <c:v>1.4146881973716836</c:v>
                </c:pt>
                <c:pt idx="99">
                  <c:v>1.0575665188470069</c:v>
                </c:pt>
                <c:pt idx="100">
                  <c:v>1.572046611304581</c:v>
                </c:pt>
                <c:pt idx="101">
                  <c:v>9.6242527754056367E-2</c:v>
                </c:pt>
                <c:pt idx="102">
                  <c:v>2.6494720576873552</c:v>
                </c:pt>
                <c:pt idx="103">
                  <c:v>3.4219443075406614E-2</c:v>
                </c:pt>
                <c:pt idx="104">
                  <c:v>1.3515751211631664</c:v>
                </c:pt>
                <c:pt idx="105">
                  <c:v>1.6054721158449017</c:v>
                </c:pt>
                <c:pt idx="106">
                  <c:v>2.5322815238558913</c:v>
                </c:pt>
                <c:pt idx="107">
                  <c:v>0.2001539190149183</c:v>
                </c:pt>
                <c:pt idx="108">
                  <c:v>1.9439359404990406</c:v>
                </c:pt>
                <c:pt idx="109">
                  <c:v>1.6799168426610349</c:v>
                </c:pt>
                <c:pt idx="110">
                  <c:v>1.7740662874103392</c:v>
                </c:pt>
                <c:pt idx="111">
                  <c:v>0.9697308729769496</c:v>
                </c:pt>
                <c:pt idx="112">
                  <c:v>1.1266516038696539</c:v>
                </c:pt>
                <c:pt idx="113">
                  <c:v>0.28573749386954389</c:v>
                </c:pt>
                <c:pt idx="114">
                  <c:v>1.2524032380470529</c:v>
                </c:pt>
                <c:pt idx="115">
                  <c:v>1.671732566089335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5-43E8-B3BD-3157BFC78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902352"/>
        <c:axId val="1390904752"/>
      </c:scatterChart>
      <c:valAx>
        <c:axId val="139090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04752"/>
        <c:crosses val="autoZero"/>
        <c:crossBetween val="midCat"/>
      </c:valAx>
      <c:valAx>
        <c:axId val="13909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0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Gap/ Speed vs Headway (Regular Vehicles)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510034967671041"/>
                  <c:y val="-4.86027663072352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0.24x + 0.05</a:t>
                    </a:r>
                    <a:br>
                      <a:rPr lang="en-US" sz="1400" baseline="0"/>
                    </a:br>
                    <a:r>
                      <a:rPr lang="en-US" sz="1400" b="1" baseline="0"/>
                      <a:t>R²</a:t>
                    </a:r>
                    <a:r>
                      <a:rPr lang="en-US" sz="1400" baseline="0"/>
                      <a:t> = </a:t>
                    </a:r>
                    <a:r>
                      <a:rPr lang="en-US" sz="1400" b="1" baseline="0"/>
                      <a:t>0.7743</a:t>
                    </a:r>
                    <a:endParaRPr lang="en-US" sz="1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'Cars L2+3'!$D$2:$D$117</c:f>
              <c:numCache>
                <c:formatCode>0.00</c:formatCode>
                <c:ptCount val="116"/>
                <c:pt idx="0" formatCode="General">
                  <c:v>0</c:v>
                </c:pt>
                <c:pt idx="1">
                  <c:v>2.16</c:v>
                </c:pt>
                <c:pt idx="2">
                  <c:v>2.6399999999999988</c:v>
                </c:pt>
                <c:pt idx="3">
                  <c:v>1.6799999999999997</c:v>
                </c:pt>
                <c:pt idx="4">
                  <c:v>2.6799999999999997</c:v>
                </c:pt>
                <c:pt idx="5">
                  <c:v>1.5999999999999979</c:v>
                </c:pt>
                <c:pt idx="6">
                  <c:v>1.6000000000000014</c:v>
                </c:pt>
                <c:pt idx="7">
                  <c:v>1.2000000000000028</c:v>
                </c:pt>
                <c:pt idx="8">
                  <c:v>0.79999999999999716</c:v>
                </c:pt>
                <c:pt idx="9">
                  <c:v>1.4799999999999969</c:v>
                </c:pt>
                <c:pt idx="10">
                  <c:v>1.7999999999999998</c:v>
                </c:pt>
                <c:pt idx="11">
                  <c:v>1.08</c:v>
                </c:pt>
                <c:pt idx="12">
                  <c:v>2.0400000000000009</c:v>
                </c:pt>
                <c:pt idx="13">
                  <c:v>1.7999999999999972</c:v>
                </c:pt>
                <c:pt idx="14" formatCode="General">
                  <c:v>1.2400000000000002</c:v>
                </c:pt>
                <c:pt idx="15" formatCode="General">
                  <c:v>1.3599999999999994</c:v>
                </c:pt>
                <c:pt idx="16" formatCode="General">
                  <c:v>1.6000000000000014</c:v>
                </c:pt>
                <c:pt idx="17" formatCode="General">
                  <c:v>3.9999999999999147E-2</c:v>
                </c:pt>
                <c:pt idx="18" formatCode="General">
                  <c:v>2.0799999999999983</c:v>
                </c:pt>
                <c:pt idx="19" formatCode="General">
                  <c:v>2.8800000000000026</c:v>
                </c:pt>
                <c:pt idx="20" formatCode="General">
                  <c:v>1.8000000000000007</c:v>
                </c:pt>
                <c:pt idx="21" formatCode="General">
                  <c:v>2</c:v>
                </c:pt>
                <c:pt idx="22" formatCode="General">
                  <c:v>1.9600000000000004</c:v>
                </c:pt>
                <c:pt idx="23" formatCode="General">
                  <c:v>0.59999999999999964</c:v>
                </c:pt>
                <c:pt idx="24" formatCode="General">
                  <c:v>0.91999999999999993</c:v>
                </c:pt>
                <c:pt idx="25" formatCode="General">
                  <c:v>1.08</c:v>
                </c:pt>
                <c:pt idx="26" formatCode="General">
                  <c:v>1.879999999999999</c:v>
                </c:pt>
                <c:pt idx="27" formatCode="General">
                  <c:v>3.120000000000001</c:v>
                </c:pt>
                <c:pt idx="28" formatCode="General">
                  <c:v>2.3200000000000003</c:v>
                </c:pt>
                <c:pt idx="29" formatCode="General">
                  <c:v>2.759999999999998</c:v>
                </c:pt>
                <c:pt idx="30" formatCode="General">
                  <c:v>2.0400000000000027</c:v>
                </c:pt>
                <c:pt idx="31" formatCode="General">
                  <c:v>1.759999999999998</c:v>
                </c:pt>
                <c:pt idx="32" formatCode="General">
                  <c:v>2.8800000000000003</c:v>
                </c:pt>
                <c:pt idx="33" formatCode="General">
                  <c:v>0.20000000000000018</c:v>
                </c:pt>
                <c:pt idx="34" formatCode="General">
                  <c:v>3.0399999999999991</c:v>
                </c:pt>
                <c:pt idx="35" formatCode="General">
                  <c:v>1.3599999999999994</c:v>
                </c:pt>
                <c:pt idx="36" formatCode="General">
                  <c:v>1.4400000000000013</c:v>
                </c:pt>
                <c:pt idx="37" formatCode="General">
                  <c:v>2.2799999999999976</c:v>
                </c:pt>
                <c:pt idx="38" formatCode="General">
                  <c:v>2</c:v>
                </c:pt>
                <c:pt idx="39" formatCode="General">
                  <c:v>1.04</c:v>
                </c:pt>
                <c:pt idx="40" formatCode="General">
                  <c:v>0.67999999999999972</c:v>
                </c:pt>
                <c:pt idx="41" formatCode="General">
                  <c:v>0.87999999999999901</c:v>
                </c:pt>
                <c:pt idx="42" formatCode="General">
                  <c:v>1.9199999999999982</c:v>
                </c:pt>
                <c:pt idx="43" formatCode="General">
                  <c:v>1.120000000000001</c:v>
                </c:pt>
                <c:pt idx="44" formatCode="General">
                  <c:v>0.60000000000000142</c:v>
                </c:pt>
                <c:pt idx="45" formatCode="General">
                  <c:v>2.240000000000002</c:v>
                </c:pt>
                <c:pt idx="46" formatCode="General">
                  <c:v>0.35999999999999943</c:v>
                </c:pt>
                <c:pt idx="47" formatCode="General">
                  <c:v>2.1999999999999993</c:v>
                </c:pt>
                <c:pt idx="48" formatCode="General">
                  <c:v>0.40000000000000036</c:v>
                </c:pt>
                <c:pt idx="49" formatCode="General">
                  <c:v>2.08</c:v>
                </c:pt>
                <c:pt idx="50" formatCode="General">
                  <c:v>0.67999999999999972</c:v>
                </c:pt>
                <c:pt idx="51" formatCode="General">
                  <c:v>2.120000000000001</c:v>
                </c:pt>
                <c:pt idx="52" formatCode="General">
                  <c:v>2.1999999999999993</c:v>
                </c:pt>
                <c:pt idx="53" formatCode="General">
                  <c:v>2.1999999999999993</c:v>
                </c:pt>
                <c:pt idx="54" formatCode="General">
                  <c:v>1.6399999999999988</c:v>
                </c:pt>
                <c:pt idx="55" formatCode="General">
                  <c:v>2.08</c:v>
                </c:pt>
                <c:pt idx="56" formatCode="General">
                  <c:v>3.879999999999999</c:v>
                </c:pt>
                <c:pt idx="57" formatCode="General">
                  <c:v>2.0800000000000018</c:v>
                </c:pt>
                <c:pt idx="58" formatCode="General">
                  <c:v>1.879999999999999</c:v>
                </c:pt>
                <c:pt idx="59" formatCode="General">
                  <c:v>1</c:v>
                </c:pt>
                <c:pt idx="60" formatCode="General">
                  <c:v>0.87999999999999901</c:v>
                </c:pt>
                <c:pt idx="61" formatCode="General">
                  <c:v>1.3200000000000003</c:v>
                </c:pt>
                <c:pt idx="62" formatCode="General">
                  <c:v>2.5600000000000005</c:v>
                </c:pt>
                <c:pt idx="63" formatCode="General">
                  <c:v>1.7999999999999989</c:v>
                </c:pt>
                <c:pt idx="64" formatCode="General">
                  <c:v>1.5999999999999996</c:v>
                </c:pt>
                <c:pt idx="65" formatCode="General">
                  <c:v>2.4000000000000004</c:v>
                </c:pt>
                <c:pt idx="66" formatCode="General">
                  <c:v>0.47999999999999687</c:v>
                </c:pt>
                <c:pt idx="67" formatCode="General">
                  <c:v>1.7200000000000024</c:v>
                </c:pt>
                <c:pt idx="68" formatCode="General">
                  <c:v>1.3999999999999986</c:v>
                </c:pt>
                <c:pt idx="69" formatCode="General">
                  <c:v>2</c:v>
                </c:pt>
                <c:pt idx="70" formatCode="General">
                  <c:v>1.8799999999999955</c:v>
                </c:pt>
                <c:pt idx="71" formatCode="General">
                  <c:v>1.4800000000000004</c:v>
                </c:pt>
                <c:pt idx="72" formatCode="General">
                  <c:v>2.0399999999999991</c:v>
                </c:pt>
                <c:pt idx="73" formatCode="General">
                  <c:v>2.3199999999999998</c:v>
                </c:pt>
                <c:pt idx="74" formatCode="General">
                  <c:v>2</c:v>
                </c:pt>
                <c:pt idx="75" formatCode="General">
                  <c:v>1.2800000000000002</c:v>
                </c:pt>
                <c:pt idx="76" formatCode="General">
                  <c:v>2.08</c:v>
                </c:pt>
                <c:pt idx="77" formatCode="General">
                  <c:v>2.240000000000002</c:v>
                </c:pt>
                <c:pt idx="78" formatCode="General">
                  <c:v>1.5999999999999979</c:v>
                </c:pt>
                <c:pt idx="79" formatCode="General">
                  <c:v>1.6799999999999997</c:v>
                </c:pt>
                <c:pt idx="80" formatCode="General">
                  <c:v>2</c:v>
                </c:pt>
                <c:pt idx="81" formatCode="General">
                  <c:v>2</c:v>
                </c:pt>
                <c:pt idx="82" formatCode="General">
                  <c:v>1.7999999999999998</c:v>
                </c:pt>
                <c:pt idx="83" formatCode="General">
                  <c:v>1.8000000000000007</c:v>
                </c:pt>
                <c:pt idx="84" formatCode="General">
                  <c:v>2.0399999999999991</c:v>
                </c:pt>
                <c:pt idx="85" formatCode="General">
                  <c:v>1.72</c:v>
                </c:pt>
                <c:pt idx="86" formatCode="General">
                  <c:v>1.7199999999999998</c:v>
                </c:pt>
                <c:pt idx="87" formatCode="General">
                  <c:v>1.96</c:v>
                </c:pt>
                <c:pt idx="88" formatCode="General">
                  <c:v>1.2400000000000002</c:v>
                </c:pt>
                <c:pt idx="89" formatCode="General">
                  <c:v>1.1999999999999993</c:v>
                </c:pt>
                <c:pt idx="90" formatCode="General">
                  <c:v>0.80000000000000071</c:v>
                </c:pt>
                <c:pt idx="91" formatCode="General">
                  <c:v>0.24000000000000021</c:v>
                </c:pt>
                <c:pt idx="92" formatCode="General">
                  <c:v>1.1999999999999993</c:v>
                </c:pt>
                <c:pt idx="93" formatCode="General">
                  <c:v>1.3999999999999986</c:v>
                </c:pt>
                <c:pt idx="94" formatCode="General">
                  <c:v>1.8000000000000007</c:v>
                </c:pt>
                <c:pt idx="95" formatCode="General">
                  <c:v>2.3599999999999994</c:v>
                </c:pt>
                <c:pt idx="96" formatCode="General">
                  <c:v>1.4799999999999969</c:v>
                </c:pt>
                <c:pt idx="97" formatCode="General">
                  <c:v>1</c:v>
                </c:pt>
                <c:pt idx="98" formatCode="General">
                  <c:v>1.8000000000000007</c:v>
                </c:pt>
                <c:pt idx="99" formatCode="General">
                  <c:v>1.4000000000000004</c:v>
                </c:pt>
                <c:pt idx="100" formatCode="General">
                  <c:v>1.6799999999999997</c:v>
                </c:pt>
                <c:pt idx="101" formatCode="General">
                  <c:v>0.24000000000000021</c:v>
                </c:pt>
                <c:pt idx="102" formatCode="General">
                  <c:v>3.4799999999999969</c:v>
                </c:pt>
                <c:pt idx="103" formatCode="General">
                  <c:v>0.20000000000000284</c:v>
                </c:pt>
                <c:pt idx="104" formatCode="General">
                  <c:v>1.3999999999999986</c:v>
                </c:pt>
                <c:pt idx="105" formatCode="General">
                  <c:v>1.6400000000000006</c:v>
                </c:pt>
                <c:pt idx="106" formatCode="General">
                  <c:v>2.4799999999999969</c:v>
                </c:pt>
                <c:pt idx="107" formatCode="General">
                  <c:v>0.40000000000000568</c:v>
                </c:pt>
                <c:pt idx="108" formatCode="General">
                  <c:v>1.8799999999999955</c:v>
                </c:pt>
                <c:pt idx="109" formatCode="General">
                  <c:v>2.16</c:v>
                </c:pt>
                <c:pt idx="110" formatCode="General">
                  <c:v>1.92</c:v>
                </c:pt>
                <c:pt idx="111" formatCode="General">
                  <c:v>1.7200000000000006</c:v>
                </c:pt>
                <c:pt idx="112" formatCode="General">
                  <c:v>1.2000000000000011</c:v>
                </c:pt>
                <c:pt idx="113" formatCode="General">
                  <c:v>0.35999999999999943</c:v>
                </c:pt>
                <c:pt idx="114" formatCode="General">
                  <c:v>1.3200000000000003</c:v>
                </c:pt>
                <c:pt idx="115" formatCode="General">
                  <c:v>2.9199999999999946</c:v>
                </c:pt>
              </c:numCache>
            </c:numRef>
          </c:xVal>
          <c:yVal>
            <c:numRef>
              <c:f>'Cars L2+3'!$I$2:$I$117</c:f>
              <c:numCache>
                <c:formatCode>0.00</c:formatCode>
                <c:ptCount val="116"/>
                <c:pt idx="0" formatCode="General">
                  <c:v>0</c:v>
                </c:pt>
                <c:pt idx="1">
                  <c:v>2.0385542168674697</c:v>
                </c:pt>
                <c:pt idx="2">
                  <c:v>2.1313636363636363</c:v>
                </c:pt>
                <c:pt idx="3">
                  <c:v>1.3320000000000003</c:v>
                </c:pt>
                <c:pt idx="4">
                  <c:v>2.3089655172413797</c:v>
                </c:pt>
                <c:pt idx="5">
                  <c:v>1.6536774193548389</c:v>
                </c:pt>
                <c:pt idx="6">
                  <c:v>1.5156302521008405</c:v>
                </c:pt>
                <c:pt idx="7">
                  <c:v>1.0080000000000002</c:v>
                </c:pt>
                <c:pt idx="8">
                  <c:v>0.75767441860465123</c:v>
                </c:pt>
                <c:pt idx="9">
                  <c:v>1.1467549668874171</c:v>
                </c:pt>
                <c:pt idx="10">
                  <c:v>1.450588235294118</c:v>
                </c:pt>
                <c:pt idx="11">
                  <c:v>0.77468354430379738</c:v>
                </c:pt>
                <c:pt idx="12">
                  <c:v>1.3365000000000002</c:v>
                </c:pt>
                <c:pt idx="13">
                  <c:v>2.0641726618705034</c:v>
                </c:pt>
                <c:pt idx="14">
                  <c:v>1.6219999999999999</c:v>
                </c:pt>
                <c:pt idx="15">
                  <c:v>0.81105882352941172</c:v>
                </c:pt>
                <c:pt idx="16">
                  <c:v>2.2842253521126761</c:v>
                </c:pt>
                <c:pt idx="17">
                  <c:v>5.0053475935828887E-2</c:v>
                </c:pt>
                <c:pt idx="18">
                  <c:v>2.4595973154362412</c:v>
                </c:pt>
                <c:pt idx="19">
                  <c:v>2.1733333333333333</c:v>
                </c:pt>
                <c:pt idx="20">
                  <c:v>1.4584615384615385</c:v>
                </c:pt>
                <c:pt idx="21">
                  <c:v>1.662857142857143</c:v>
                </c:pt>
                <c:pt idx="22">
                  <c:v>1.7298305084745762</c:v>
                </c:pt>
                <c:pt idx="23">
                  <c:v>1.0106832298136645</c:v>
                </c:pt>
                <c:pt idx="24">
                  <c:v>0.17252396166134185</c:v>
                </c:pt>
                <c:pt idx="25">
                  <c:v>1.6563636363636363</c:v>
                </c:pt>
                <c:pt idx="26">
                  <c:v>1.5888188976377955</c:v>
                </c:pt>
                <c:pt idx="27">
                  <c:v>2.6516299559471364</c:v>
                </c:pt>
                <c:pt idx="28">
                  <c:v>2.0245423728813559</c:v>
                </c:pt>
                <c:pt idx="29">
                  <c:v>2.2340425531914896</c:v>
                </c:pt>
                <c:pt idx="30">
                  <c:v>1.8289655172413792</c:v>
                </c:pt>
                <c:pt idx="31">
                  <c:v>1.6846153827343699</c:v>
                </c:pt>
                <c:pt idx="32">
                  <c:v>3.1363350785340312</c:v>
                </c:pt>
                <c:pt idx="33">
                  <c:v>0.40621621621621617</c:v>
                </c:pt>
                <c:pt idx="34">
                  <c:v>2.2615841584158418</c:v>
                </c:pt>
                <c:pt idx="35">
                  <c:v>1.3618099547511311</c:v>
                </c:pt>
                <c:pt idx="36">
                  <c:v>1.4644897959183676</c:v>
                </c:pt>
                <c:pt idx="37">
                  <c:v>1.8091636363636365</c:v>
                </c:pt>
                <c:pt idx="38">
                  <c:v>2.6823529411764708</c:v>
                </c:pt>
                <c:pt idx="39">
                  <c:v>1.6436363636363636</c:v>
                </c:pt>
                <c:pt idx="40">
                  <c:v>0.31354838709677418</c:v>
                </c:pt>
                <c:pt idx="41">
                  <c:v>1.0027397260273974</c:v>
                </c:pt>
                <c:pt idx="42">
                  <c:v>2.2994219653179195</c:v>
                </c:pt>
                <c:pt idx="43">
                  <c:v>1.0215789473684211</c:v>
                </c:pt>
                <c:pt idx="44">
                  <c:v>0.43764705882352944</c:v>
                </c:pt>
                <c:pt idx="45">
                  <c:v>1.8866310160427811</c:v>
                </c:pt>
                <c:pt idx="46">
                  <c:v>0.37054393305439332</c:v>
                </c:pt>
                <c:pt idx="47">
                  <c:v>2.0115639810426535</c:v>
                </c:pt>
                <c:pt idx="48">
                  <c:v>0.57298429319371724</c:v>
                </c:pt>
                <c:pt idx="49">
                  <c:v>1.9978947368421054</c:v>
                </c:pt>
                <c:pt idx="50">
                  <c:v>1.26</c:v>
                </c:pt>
                <c:pt idx="51">
                  <c:v>1.5713744075829383</c:v>
                </c:pt>
                <c:pt idx="52">
                  <c:v>2.016</c:v>
                </c:pt>
                <c:pt idx="53">
                  <c:v>1.6082608695652176</c:v>
                </c:pt>
                <c:pt idx="54">
                  <c:v>1.8</c:v>
                </c:pt>
                <c:pt idx="55">
                  <c:v>2.4550515463917528</c:v>
                </c:pt>
                <c:pt idx="56">
                  <c:v>3.5121951219512195</c:v>
                </c:pt>
                <c:pt idx="57">
                  <c:v>1.8440425531914895</c:v>
                </c:pt>
                <c:pt idx="58">
                  <c:v>2.1852631578947368</c:v>
                </c:pt>
                <c:pt idx="59">
                  <c:v>0.84960000000000002</c:v>
                </c:pt>
                <c:pt idx="60">
                  <c:v>1.1242780748663104</c:v>
                </c:pt>
                <c:pt idx="61">
                  <c:v>1.2337864077669902</c:v>
                </c:pt>
                <c:pt idx="62">
                  <c:v>2.7747692307692304</c:v>
                </c:pt>
                <c:pt idx="63">
                  <c:v>1.9444897959183676</c:v>
                </c:pt>
                <c:pt idx="64">
                  <c:v>1.6434782608695651</c:v>
                </c:pt>
                <c:pt idx="65">
                  <c:v>2.7103448275862072</c:v>
                </c:pt>
                <c:pt idx="66">
                  <c:v>0.72548223350253804</c:v>
                </c:pt>
                <c:pt idx="67">
                  <c:v>1.2514285714285716</c:v>
                </c:pt>
                <c:pt idx="68">
                  <c:v>1.2390106007067139</c:v>
                </c:pt>
                <c:pt idx="69">
                  <c:v>1.8948148148148147</c:v>
                </c:pt>
                <c:pt idx="70">
                  <c:v>1.7100000000000002</c:v>
                </c:pt>
                <c:pt idx="71">
                  <c:v>1.51109243697479</c:v>
                </c:pt>
                <c:pt idx="72">
                  <c:v>1.8790243902439023</c:v>
                </c:pt>
                <c:pt idx="73">
                  <c:v>2.285070422535211</c:v>
                </c:pt>
                <c:pt idx="74">
                  <c:v>2.3965116279069765</c:v>
                </c:pt>
                <c:pt idx="75">
                  <c:v>1.032289156626506</c:v>
                </c:pt>
                <c:pt idx="76">
                  <c:v>1.9265346534653467</c:v>
                </c:pt>
                <c:pt idx="77">
                  <c:v>1.9678756476683936</c:v>
                </c:pt>
                <c:pt idx="78">
                  <c:v>1.4075675675675676</c:v>
                </c:pt>
                <c:pt idx="79">
                  <c:v>1.6883842794759827</c:v>
                </c:pt>
                <c:pt idx="80">
                  <c:v>2.0013861386138614</c:v>
                </c:pt>
                <c:pt idx="81">
                  <c:v>2.2010362694300518</c:v>
                </c:pt>
                <c:pt idx="82">
                  <c:v>2.1415909090909091</c:v>
                </c:pt>
                <c:pt idx="83">
                  <c:v>1.9022727272727273</c:v>
                </c:pt>
                <c:pt idx="84">
                  <c:v>2.8013245033112582</c:v>
                </c:pt>
                <c:pt idx="85">
                  <c:v>1.7118072289156627</c:v>
                </c:pt>
                <c:pt idx="86">
                  <c:v>2.1210810810810812</c:v>
                </c:pt>
                <c:pt idx="87">
                  <c:v>1.7927999999999997</c:v>
                </c:pt>
                <c:pt idx="88">
                  <c:v>1.6237113402061858</c:v>
                </c:pt>
                <c:pt idx="89">
                  <c:v>0.80999999999999994</c:v>
                </c:pt>
                <c:pt idx="90">
                  <c:v>1.3271641791044775</c:v>
                </c:pt>
                <c:pt idx="91">
                  <c:v>0.13745454545454547</c:v>
                </c:pt>
                <c:pt idx="92">
                  <c:v>1.6620560747663555</c:v>
                </c:pt>
                <c:pt idx="93">
                  <c:v>1.5000000000000002</c:v>
                </c:pt>
                <c:pt idx="94">
                  <c:v>1.5935294117647059</c:v>
                </c:pt>
                <c:pt idx="95">
                  <c:v>2.0356950672645739</c:v>
                </c:pt>
                <c:pt idx="96">
                  <c:v>1.5820183486238533</c:v>
                </c:pt>
                <c:pt idx="97">
                  <c:v>0.90087804878048772</c:v>
                </c:pt>
                <c:pt idx="98">
                  <c:v>1.4986784140969163</c:v>
                </c:pt>
                <c:pt idx="99">
                  <c:v>1.6022535211267608</c:v>
                </c:pt>
                <c:pt idx="100">
                  <c:v>2.0953293413173655</c:v>
                </c:pt>
                <c:pt idx="101">
                  <c:v>0.16390243902439025</c:v>
                </c:pt>
                <c:pt idx="102">
                  <c:v>3.1139086294416241</c:v>
                </c:pt>
                <c:pt idx="103">
                  <c:v>3.5689655172413799E-2</c:v>
                </c:pt>
                <c:pt idx="104">
                  <c:v>1.2167247386759583</c:v>
                </c:pt>
                <c:pt idx="105">
                  <c:v>1.5623437499999999</c:v>
                </c:pt>
                <c:pt idx="106">
                  <c:v>2.5631404958677688</c:v>
                </c:pt>
                <c:pt idx="107">
                  <c:v>0.19018867924528302</c:v>
                </c:pt>
                <c:pt idx="108">
                  <c:v>1.9020472440944882</c:v>
                </c:pt>
                <c:pt idx="109">
                  <c:v>2.1316853932584268</c:v>
                </c:pt>
                <c:pt idx="110">
                  <c:v>1.8675982532751094</c:v>
                </c:pt>
                <c:pt idx="111">
                  <c:v>0.99915254237288131</c:v>
                </c:pt>
                <c:pt idx="112">
                  <c:v>1.2809708737864078</c:v>
                </c:pt>
                <c:pt idx="113">
                  <c:v>0.29440677966101697</c:v>
                </c:pt>
                <c:pt idx="114">
                  <c:v>1.3990521327014216</c:v>
                </c:pt>
                <c:pt idx="115">
                  <c:v>1.4677852348993288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2-4C89-A1BE-0A9578583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Headway (time)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Gap/Speed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</a:t>
            </a:r>
            <a:r>
              <a:rPr lang="en-US" baseline="0"/>
              <a:t> vs Headway (Two-wheelers)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245458061845548E-2"/>
                  <c:y val="-0.1735351790703581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y = 6.8265x - 0.0717</a:t>
                    </a:r>
                    <a:br>
                      <a:rPr lang="en-US" sz="1050" baseline="0"/>
                    </a:br>
                    <a:r>
                      <a:rPr lang="en-US" sz="1050" b="1" baseline="0"/>
                      <a:t>R²</a:t>
                    </a:r>
                    <a:r>
                      <a:rPr lang="en-US" sz="1050" baseline="0"/>
                      <a:t> = </a:t>
                    </a:r>
                    <a:r>
                      <a:rPr lang="en-US" sz="1050" b="1" baseline="0"/>
                      <a:t>0.8335</a:t>
                    </a:r>
                    <a:endParaRPr lang="en-US" sz="105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'Bike L3'!$D$2:$D$28</c:f>
              <c:numCache>
                <c:formatCode>General</c:formatCode>
                <c:ptCount val="27"/>
                <c:pt idx="0">
                  <c:v>0</c:v>
                </c:pt>
                <c:pt idx="1">
                  <c:v>0.40000000000000036</c:v>
                </c:pt>
                <c:pt idx="2">
                  <c:v>0.19999999999999929</c:v>
                </c:pt>
                <c:pt idx="3">
                  <c:v>0.4399999999999995</c:v>
                </c:pt>
                <c:pt idx="4">
                  <c:v>1.1600000000000001</c:v>
                </c:pt>
                <c:pt idx="5">
                  <c:v>0.96000000000000085</c:v>
                </c:pt>
                <c:pt idx="6">
                  <c:v>8.0000000000000071E-2</c:v>
                </c:pt>
                <c:pt idx="7">
                  <c:v>0.5600000000000005</c:v>
                </c:pt>
                <c:pt idx="8">
                  <c:v>0.4399999999999995</c:v>
                </c:pt>
                <c:pt idx="9">
                  <c:v>1.1600000000000001</c:v>
                </c:pt>
                <c:pt idx="10">
                  <c:v>0.59999999999999964</c:v>
                </c:pt>
                <c:pt idx="11">
                  <c:v>0.32000000000000028</c:v>
                </c:pt>
                <c:pt idx="12">
                  <c:v>0.67999999999999972</c:v>
                </c:pt>
                <c:pt idx="13">
                  <c:v>1</c:v>
                </c:pt>
                <c:pt idx="14">
                  <c:v>1.120000000000001</c:v>
                </c:pt>
                <c:pt idx="15">
                  <c:v>1.5999999999999979</c:v>
                </c:pt>
                <c:pt idx="16">
                  <c:v>1.6799999999999997</c:v>
                </c:pt>
                <c:pt idx="17">
                  <c:v>0.92000000000000171</c:v>
                </c:pt>
                <c:pt idx="18">
                  <c:v>1.1199999999999974</c:v>
                </c:pt>
                <c:pt idx="19">
                  <c:v>0.20000000000000018</c:v>
                </c:pt>
                <c:pt idx="20">
                  <c:v>0.48</c:v>
                </c:pt>
                <c:pt idx="21">
                  <c:v>1.0000000000000004</c:v>
                </c:pt>
                <c:pt idx="22">
                  <c:v>0.60000000000000142</c:v>
                </c:pt>
                <c:pt idx="23">
                  <c:v>1.480000000000004</c:v>
                </c:pt>
                <c:pt idx="24">
                  <c:v>0.60000000000000009</c:v>
                </c:pt>
                <c:pt idx="25">
                  <c:v>0.79999999999999982</c:v>
                </c:pt>
                <c:pt idx="26">
                  <c:v>1</c:v>
                </c:pt>
              </c:numCache>
            </c:numRef>
          </c:xVal>
          <c:yVal>
            <c:numRef>
              <c:f>'Bike L3'!$E$2:$E$28</c:f>
              <c:numCache>
                <c:formatCode>General</c:formatCode>
                <c:ptCount val="27"/>
                <c:pt idx="0">
                  <c:v>0</c:v>
                </c:pt>
                <c:pt idx="1">
                  <c:v>4.5399999618530202</c:v>
                </c:pt>
                <c:pt idx="2">
                  <c:v>0.28000000119209201</c:v>
                </c:pt>
                <c:pt idx="3">
                  <c:v>1.75999999046325</c:v>
                </c:pt>
                <c:pt idx="4">
                  <c:v>6.46000003814697</c:v>
                </c:pt>
                <c:pt idx="5">
                  <c:v>6.5900001525878897</c:v>
                </c:pt>
                <c:pt idx="6">
                  <c:v>0.28999999165534901</c:v>
                </c:pt>
                <c:pt idx="7">
                  <c:v>5.0500001907348597</c:v>
                </c:pt>
                <c:pt idx="8">
                  <c:v>1.8600000143051101</c:v>
                </c:pt>
                <c:pt idx="9">
                  <c:v>6.6500000953674299</c:v>
                </c:pt>
                <c:pt idx="10">
                  <c:v>4.9800000190734801</c:v>
                </c:pt>
                <c:pt idx="11">
                  <c:v>2.4300000667571999</c:v>
                </c:pt>
                <c:pt idx="12">
                  <c:v>4.0199999809265101</c:v>
                </c:pt>
                <c:pt idx="13">
                  <c:v>5.5199999809265101</c:v>
                </c:pt>
                <c:pt idx="14">
                  <c:v>7.8099999427795401</c:v>
                </c:pt>
                <c:pt idx="15">
                  <c:v>15.1300001144409</c:v>
                </c:pt>
                <c:pt idx="16">
                  <c:v>8.7399997711181605</c:v>
                </c:pt>
                <c:pt idx="17">
                  <c:v>7.9800000190734801</c:v>
                </c:pt>
                <c:pt idx="18">
                  <c:v>8.7299995422363192</c:v>
                </c:pt>
                <c:pt idx="19">
                  <c:v>1.7699999809265099</c:v>
                </c:pt>
                <c:pt idx="20">
                  <c:v>3.1900000572204501</c:v>
                </c:pt>
                <c:pt idx="21">
                  <c:v>7.21000003814697</c:v>
                </c:pt>
                <c:pt idx="22">
                  <c:v>4.8099999427795401</c:v>
                </c:pt>
                <c:pt idx="23">
                  <c:v>9.1899995803833008</c:v>
                </c:pt>
                <c:pt idx="24">
                  <c:v>2.85</c:v>
                </c:pt>
                <c:pt idx="25">
                  <c:v>4.34</c:v>
                </c:pt>
                <c:pt idx="26">
                  <c:v>6.51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0-466C-B270-619A8C108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Headway</a:t>
                </a:r>
                <a:r>
                  <a:rPr lang="en-US" baseline="0"/>
                  <a:t> (time)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Gap/</a:t>
            </a:r>
            <a:r>
              <a:rPr lang="en-US" baseline="0"/>
              <a:t> Speed vs Headway (Motorbike, Three-wheeler, NMV)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019817644745626"/>
                  <c:y val="-0.2618319274976124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0.31x + 0.006</a:t>
                    </a:r>
                    <a:br>
                      <a:rPr lang="en-US" sz="1400" baseline="0"/>
                    </a:br>
                    <a:r>
                      <a:rPr lang="en-US" sz="1400" b="1" baseline="0"/>
                      <a:t>R²</a:t>
                    </a:r>
                    <a:r>
                      <a:rPr lang="en-US" sz="1400" baseline="0"/>
                      <a:t> = </a:t>
                    </a:r>
                    <a:r>
                      <a:rPr lang="en-US" sz="1400" b="1" i="0" baseline="0"/>
                      <a:t>0.531</a:t>
                    </a:r>
                    <a:endParaRPr lang="en-US" sz="1400" b="1" i="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'Bike L3'!$D$2:$D$28</c:f>
              <c:numCache>
                <c:formatCode>General</c:formatCode>
                <c:ptCount val="27"/>
                <c:pt idx="0">
                  <c:v>0</c:v>
                </c:pt>
                <c:pt idx="1">
                  <c:v>0.40000000000000036</c:v>
                </c:pt>
                <c:pt idx="2">
                  <c:v>0.19999999999999929</c:v>
                </c:pt>
                <c:pt idx="3">
                  <c:v>0.4399999999999995</c:v>
                </c:pt>
                <c:pt idx="4">
                  <c:v>1.1600000000000001</c:v>
                </c:pt>
                <c:pt idx="5">
                  <c:v>0.96000000000000085</c:v>
                </c:pt>
                <c:pt idx="6">
                  <c:v>8.0000000000000071E-2</c:v>
                </c:pt>
                <c:pt idx="7">
                  <c:v>0.5600000000000005</c:v>
                </c:pt>
                <c:pt idx="8">
                  <c:v>0.4399999999999995</c:v>
                </c:pt>
                <c:pt idx="9">
                  <c:v>1.1600000000000001</c:v>
                </c:pt>
                <c:pt idx="10">
                  <c:v>0.59999999999999964</c:v>
                </c:pt>
                <c:pt idx="11">
                  <c:v>0.32000000000000028</c:v>
                </c:pt>
                <c:pt idx="12">
                  <c:v>0.67999999999999972</c:v>
                </c:pt>
                <c:pt idx="13">
                  <c:v>1</c:v>
                </c:pt>
                <c:pt idx="14">
                  <c:v>1.120000000000001</c:v>
                </c:pt>
                <c:pt idx="15">
                  <c:v>1.5999999999999979</c:v>
                </c:pt>
                <c:pt idx="16">
                  <c:v>1.6799999999999997</c:v>
                </c:pt>
                <c:pt idx="17">
                  <c:v>0.92000000000000171</c:v>
                </c:pt>
                <c:pt idx="18">
                  <c:v>1.1199999999999974</c:v>
                </c:pt>
                <c:pt idx="19">
                  <c:v>0.20000000000000018</c:v>
                </c:pt>
                <c:pt idx="20">
                  <c:v>0.48</c:v>
                </c:pt>
                <c:pt idx="21">
                  <c:v>1.0000000000000004</c:v>
                </c:pt>
                <c:pt idx="22">
                  <c:v>0.60000000000000142</c:v>
                </c:pt>
                <c:pt idx="23">
                  <c:v>1.480000000000004</c:v>
                </c:pt>
                <c:pt idx="24">
                  <c:v>0.60000000000000009</c:v>
                </c:pt>
                <c:pt idx="25">
                  <c:v>0.79999999999999982</c:v>
                </c:pt>
                <c:pt idx="26">
                  <c:v>1</c:v>
                </c:pt>
              </c:numCache>
            </c:numRef>
          </c:xVal>
          <c:yVal>
            <c:numRef>
              <c:f>'Bike L3'!$H$2:$H$28</c:f>
              <c:numCache>
                <c:formatCode>0.00</c:formatCode>
                <c:ptCount val="27"/>
                <c:pt idx="0" formatCode="General">
                  <c:v>0</c:v>
                </c:pt>
                <c:pt idx="1">
                  <c:v>0.1323615178669636</c:v>
                </c:pt>
                <c:pt idx="2">
                  <c:v>1.2227074491543742E-2</c:v>
                </c:pt>
                <c:pt idx="3">
                  <c:v>7.0119520466724206E-2</c:v>
                </c:pt>
                <c:pt idx="4">
                  <c:v>0.26804978987112432</c:v>
                </c:pt>
                <c:pt idx="5">
                  <c:v>0.27689077158986541</c:v>
                </c:pt>
                <c:pt idx="6">
                  <c:v>1.449999958276745E-2</c:v>
                </c:pt>
                <c:pt idx="7">
                  <c:v>0.32165606701184063</c:v>
                </c:pt>
                <c:pt idx="8">
                  <c:v>8.7323947461408397E-2</c:v>
                </c:pt>
                <c:pt idx="9">
                  <c:v>0.29555555979410797</c:v>
                </c:pt>
                <c:pt idx="10">
                  <c:v>0.55955058792416767</c:v>
                </c:pt>
                <c:pt idx="11">
                  <c:v>0.11302325891893954</c:v>
                </c:pt>
                <c:pt idx="12">
                  <c:v>0.1607999992370604</c:v>
                </c:pt>
                <c:pt idx="13">
                  <c:v>0.18839590869150821</c:v>
                </c:pt>
                <c:pt idx="14">
                  <c:v>0.23038346876820845</c:v>
                </c:pt>
                <c:pt idx="15">
                  <c:v>0.87456651917238393</c:v>
                </c:pt>
                <c:pt idx="16">
                  <c:v>0.29133332570393866</c:v>
                </c:pt>
                <c:pt idx="17">
                  <c:v>0.32307691386985316</c:v>
                </c:pt>
                <c:pt idx="18">
                  <c:v>0.3084805575119548</c:v>
                </c:pt>
                <c:pt idx="19">
                  <c:v>8.2325580508209761E-2</c:v>
                </c:pt>
                <c:pt idx="20">
                  <c:v>0.14304933481427973</c:v>
                </c:pt>
                <c:pt idx="21">
                  <c:v>0.34663462993308752</c:v>
                </c:pt>
                <c:pt idx="22">
                  <c:v>0.25052082039829876</c:v>
                </c:pt>
                <c:pt idx="23">
                  <c:v>0.52816090700349061</c:v>
                </c:pt>
                <c:pt idx="24">
                  <c:v>0.12895927601809953</c:v>
                </c:pt>
                <c:pt idx="25">
                  <c:v>0.17860082304526748</c:v>
                </c:pt>
                <c:pt idx="26">
                  <c:v>0.26790123456790121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0-44D8-8C2A-79DE09AAA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Headway</a:t>
                </a:r>
                <a:r>
                  <a:rPr lang="en-US" baseline="0"/>
                  <a:t> (time)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Gap/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Gap/</a:t>
            </a:r>
            <a:r>
              <a:rPr lang="en-US" baseline="0"/>
              <a:t> Speed vs Headway (Motorbike, Three-wheeler, NMV)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019817644745626"/>
                  <c:y val="-0.2618319274976124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0.31x + 0.006</a:t>
                    </a:r>
                    <a:br>
                      <a:rPr lang="en-US" sz="1400" baseline="0"/>
                    </a:br>
                    <a:r>
                      <a:rPr lang="en-US" sz="1400" b="1" baseline="0"/>
                      <a:t>R²</a:t>
                    </a:r>
                    <a:r>
                      <a:rPr lang="en-US" sz="1400" baseline="0"/>
                      <a:t> = </a:t>
                    </a:r>
                    <a:r>
                      <a:rPr lang="en-US" sz="1400" b="1" i="0" baseline="0"/>
                      <a:t>0.531</a:t>
                    </a:r>
                    <a:endParaRPr lang="en-US" sz="1400" b="1" i="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'Bike L3'!$D$2:$D$28</c:f>
              <c:numCache>
                <c:formatCode>General</c:formatCode>
                <c:ptCount val="27"/>
                <c:pt idx="0">
                  <c:v>0</c:v>
                </c:pt>
                <c:pt idx="1">
                  <c:v>0.40000000000000036</c:v>
                </c:pt>
                <c:pt idx="2">
                  <c:v>0.19999999999999929</c:v>
                </c:pt>
                <c:pt idx="3">
                  <c:v>0.4399999999999995</c:v>
                </c:pt>
                <c:pt idx="4">
                  <c:v>1.1600000000000001</c:v>
                </c:pt>
                <c:pt idx="5">
                  <c:v>0.96000000000000085</c:v>
                </c:pt>
                <c:pt idx="6">
                  <c:v>8.0000000000000071E-2</c:v>
                </c:pt>
                <c:pt idx="7">
                  <c:v>0.5600000000000005</c:v>
                </c:pt>
                <c:pt idx="8">
                  <c:v>0.4399999999999995</c:v>
                </c:pt>
                <c:pt idx="9">
                  <c:v>1.1600000000000001</c:v>
                </c:pt>
                <c:pt idx="10">
                  <c:v>0.59999999999999964</c:v>
                </c:pt>
                <c:pt idx="11">
                  <c:v>0.32000000000000028</c:v>
                </c:pt>
                <c:pt idx="12">
                  <c:v>0.67999999999999972</c:v>
                </c:pt>
                <c:pt idx="13">
                  <c:v>1</c:v>
                </c:pt>
                <c:pt idx="14">
                  <c:v>1.120000000000001</c:v>
                </c:pt>
                <c:pt idx="15">
                  <c:v>1.5999999999999979</c:v>
                </c:pt>
                <c:pt idx="16">
                  <c:v>1.6799999999999997</c:v>
                </c:pt>
                <c:pt idx="17">
                  <c:v>0.92000000000000171</c:v>
                </c:pt>
                <c:pt idx="18">
                  <c:v>1.1199999999999974</c:v>
                </c:pt>
                <c:pt idx="19">
                  <c:v>0.20000000000000018</c:v>
                </c:pt>
                <c:pt idx="20">
                  <c:v>0.48</c:v>
                </c:pt>
                <c:pt idx="21">
                  <c:v>1.0000000000000004</c:v>
                </c:pt>
                <c:pt idx="22">
                  <c:v>0.60000000000000142</c:v>
                </c:pt>
                <c:pt idx="23">
                  <c:v>1.480000000000004</c:v>
                </c:pt>
                <c:pt idx="24">
                  <c:v>0.60000000000000009</c:v>
                </c:pt>
                <c:pt idx="25">
                  <c:v>0.79999999999999982</c:v>
                </c:pt>
                <c:pt idx="26">
                  <c:v>1</c:v>
                </c:pt>
              </c:numCache>
            </c:numRef>
          </c:xVal>
          <c:yVal>
            <c:numRef>
              <c:f>'Bike L3'!$I$2:$I$28</c:f>
              <c:numCache>
                <c:formatCode>0.00</c:formatCode>
                <c:ptCount val="27"/>
                <c:pt idx="0" formatCode="General">
                  <c:v>0</c:v>
                </c:pt>
                <c:pt idx="1">
                  <c:v>0.47650146432106888</c:v>
                </c:pt>
                <c:pt idx="2">
                  <c:v>4.4017468169557469E-2</c:v>
                </c:pt>
                <c:pt idx="3">
                  <c:v>0.25243027368020715</c:v>
                </c:pt>
                <c:pt idx="4">
                  <c:v>0.96497924353604769</c:v>
                </c:pt>
                <c:pt idx="5">
                  <c:v>0.99680677772351534</c:v>
                </c:pt>
                <c:pt idx="6">
                  <c:v>5.2199998497962821E-2</c:v>
                </c:pt>
                <c:pt idx="7">
                  <c:v>1.1579618412426262</c:v>
                </c:pt>
                <c:pt idx="8">
                  <c:v>0.31436621086107025</c:v>
                </c:pt>
                <c:pt idx="9">
                  <c:v>1.0640000152587887</c:v>
                </c:pt>
                <c:pt idx="10">
                  <c:v>2.0143821165270035</c:v>
                </c:pt>
                <c:pt idx="11">
                  <c:v>0.40688373210818229</c:v>
                </c:pt>
                <c:pt idx="12">
                  <c:v>0.57887999725341743</c:v>
                </c:pt>
                <c:pt idx="13">
                  <c:v>0.67822527128942955</c:v>
                </c:pt>
                <c:pt idx="14">
                  <c:v>0.82938048756555049</c:v>
                </c:pt>
                <c:pt idx="15">
                  <c:v>3.1484394690205826</c:v>
                </c:pt>
                <c:pt idx="16">
                  <c:v>1.0487999725341792</c:v>
                </c:pt>
                <c:pt idx="17">
                  <c:v>1.1630768899314714</c:v>
                </c:pt>
                <c:pt idx="18">
                  <c:v>1.1105300070430373</c:v>
                </c:pt>
                <c:pt idx="19">
                  <c:v>0.29637208982955515</c:v>
                </c:pt>
                <c:pt idx="20">
                  <c:v>0.51497760533140702</c:v>
                </c:pt>
                <c:pt idx="21">
                  <c:v>1.2478846677591153</c:v>
                </c:pt>
                <c:pt idx="22">
                  <c:v>0.90187495343387547</c:v>
                </c:pt>
                <c:pt idx="23">
                  <c:v>1.9013792652125663</c:v>
                </c:pt>
                <c:pt idx="24">
                  <c:v>0.46425339366515833</c:v>
                </c:pt>
                <c:pt idx="25">
                  <c:v>0.64296296296296296</c:v>
                </c:pt>
                <c:pt idx="26">
                  <c:v>0.96444444444444444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6-4C9F-A593-BFFBAA6D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Headway</a:t>
                </a:r>
                <a:r>
                  <a:rPr lang="en-US" baseline="0"/>
                  <a:t> (time)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Gap/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'3.35'!$D$3:$D$27</c:f>
              <c:numCache>
                <c:formatCode>General</c:formatCode>
                <c:ptCount val="25"/>
                <c:pt idx="0">
                  <c:v>0</c:v>
                </c:pt>
                <c:pt idx="1">
                  <c:v>0.39999999999999991</c:v>
                </c:pt>
                <c:pt idx="2">
                  <c:v>1.04</c:v>
                </c:pt>
                <c:pt idx="3">
                  <c:v>1.1600000000000001</c:v>
                </c:pt>
                <c:pt idx="4">
                  <c:v>1.2400000000000002</c:v>
                </c:pt>
                <c:pt idx="5">
                  <c:v>2.16</c:v>
                </c:pt>
                <c:pt idx="6">
                  <c:v>2.6399999999999988</c:v>
                </c:pt>
                <c:pt idx="7">
                  <c:v>2.2000000000000011</c:v>
                </c:pt>
                <c:pt idx="8">
                  <c:v>2.6799999999999997</c:v>
                </c:pt>
                <c:pt idx="9">
                  <c:v>1.4800000000000004</c:v>
                </c:pt>
                <c:pt idx="10">
                  <c:v>1.6400000000000006</c:v>
                </c:pt>
                <c:pt idx="11">
                  <c:v>1.6799999999999997</c:v>
                </c:pt>
                <c:pt idx="12">
                  <c:v>1.6799999999999997</c:v>
                </c:pt>
                <c:pt idx="13">
                  <c:v>1</c:v>
                </c:pt>
                <c:pt idx="14">
                  <c:v>3.4400000000000013</c:v>
                </c:pt>
                <c:pt idx="15">
                  <c:v>1.1999999999999993</c:v>
                </c:pt>
                <c:pt idx="16">
                  <c:v>2.6799999999999997</c:v>
                </c:pt>
                <c:pt idx="17">
                  <c:v>1.5999999999999979</c:v>
                </c:pt>
                <c:pt idx="18">
                  <c:v>1.6000000000000014</c:v>
                </c:pt>
                <c:pt idx="19">
                  <c:v>1.2000000000000028</c:v>
                </c:pt>
                <c:pt idx="20">
                  <c:v>0.79999999999999716</c:v>
                </c:pt>
                <c:pt idx="21">
                  <c:v>1.4799999999999969</c:v>
                </c:pt>
                <c:pt idx="22">
                  <c:v>0.80000000000000426</c:v>
                </c:pt>
              </c:numCache>
            </c:numRef>
          </c:xVal>
          <c:yVal>
            <c:numRef>
              <c:f>'3.35'!$E$3:$E$27</c:f>
              <c:numCache>
                <c:formatCode>General</c:formatCode>
                <c:ptCount val="25"/>
                <c:pt idx="0">
                  <c:v>0</c:v>
                </c:pt>
                <c:pt idx="1">
                  <c:v>2.13</c:v>
                </c:pt>
                <c:pt idx="2">
                  <c:v>3.33</c:v>
                </c:pt>
                <c:pt idx="3">
                  <c:v>9.33</c:v>
                </c:pt>
                <c:pt idx="4">
                  <c:v>5.05</c:v>
                </c:pt>
                <c:pt idx="5">
                  <c:v>9.4</c:v>
                </c:pt>
                <c:pt idx="6">
                  <c:v>10.42</c:v>
                </c:pt>
                <c:pt idx="7">
                  <c:v>6.72</c:v>
                </c:pt>
                <c:pt idx="8">
                  <c:v>11.78</c:v>
                </c:pt>
                <c:pt idx="9">
                  <c:v>6.75</c:v>
                </c:pt>
                <c:pt idx="10">
                  <c:v>5.56</c:v>
                </c:pt>
                <c:pt idx="11">
                  <c:v>8.8800000000000008</c:v>
                </c:pt>
                <c:pt idx="12">
                  <c:v>11</c:v>
                </c:pt>
                <c:pt idx="13">
                  <c:v>3.12</c:v>
                </c:pt>
                <c:pt idx="14">
                  <c:v>15.85</c:v>
                </c:pt>
                <c:pt idx="15">
                  <c:v>4.82</c:v>
                </c:pt>
                <c:pt idx="16">
                  <c:v>11.16</c:v>
                </c:pt>
                <c:pt idx="17">
                  <c:v>7.12</c:v>
                </c:pt>
                <c:pt idx="18">
                  <c:v>5.01</c:v>
                </c:pt>
                <c:pt idx="19">
                  <c:v>4.9000000000000004</c:v>
                </c:pt>
                <c:pt idx="20">
                  <c:v>3.62</c:v>
                </c:pt>
                <c:pt idx="21">
                  <c:v>4.8099999999999996</c:v>
                </c:pt>
                <c:pt idx="2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6-4B30-AF39-530676FF1F47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'3.35'!$D$3:$D$27</c:f>
              <c:numCache>
                <c:formatCode>General</c:formatCode>
                <c:ptCount val="25"/>
                <c:pt idx="0">
                  <c:v>0</c:v>
                </c:pt>
                <c:pt idx="1">
                  <c:v>0.39999999999999991</c:v>
                </c:pt>
                <c:pt idx="2">
                  <c:v>1.04</c:v>
                </c:pt>
                <c:pt idx="3">
                  <c:v>1.1600000000000001</c:v>
                </c:pt>
                <c:pt idx="4">
                  <c:v>1.2400000000000002</c:v>
                </c:pt>
                <c:pt idx="5">
                  <c:v>2.16</c:v>
                </c:pt>
                <c:pt idx="6">
                  <c:v>2.6399999999999988</c:v>
                </c:pt>
                <c:pt idx="7">
                  <c:v>2.2000000000000011</c:v>
                </c:pt>
                <c:pt idx="8">
                  <c:v>2.6799999999999997</c:v>
                </c:pt>
                <c:pt idx="9">
                  <c:v>1.4800000000000004</c:v>
                </c:pt>
                <c:pt idx="10">
                  <c:v>1.6400000000000006</c:v>
                </c:pt>
                <c:pt idx="11">
                  <c:v>1.6799999999999997</c:v>
                </c:pt>
                <c:pt idx="12">
                  <c:v>1.6799999999999997</c:v>
                </c:pt>
                <c:pt idx="13">
                  <c:v>1</c:v>
                </c:pt>
                <c:pt idx="14">
                  <c:v>3.4400000000000013</c:v>
                </c:pt>
                <c:pt idx="15">
                  <c:v>1.1999999999999993</c:v>
                </c:pt>
                <c:pt idx="16">
                  <c:v>2.6799999999999997</c:v>
                </c:pt>
                <c:pt idx="17">
                  <c:v>1.5999999999999979</c:v>
                </c:pt>
                <c:pt idx="18">
                  <c:v>1.6000000000000014</c:v>
                </c:pt>
                <c:pt idx="19">
                  <c:v>1.2000000000000028</c:v>
                </c:pt>
                <c:pt idx="20">
                  <c:v>0.79999999999999716</c:v>
                </c:pt>
                <c:pt idx="21">
                  <c:v>1.4799999999999969</c:v>
                </c:pt>
                <c:pt idx="22">
                  <c:v>0.80000000000000426</c:v>
                </c:pt>
              </c:numCache>
            </c:numRef>
          </c:xVal>
          <c:yVal>
            <c:numRef>
              <c:f>'3.35'!$F$3:$F$27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2.3444444444444441</c:v>
                </c:pt>
                <c:pt idx="2">
                  <c:v>7.7711111111111109</c:v>
                </c:pt>
                <c:pt idx="3">
                  <c:v>5.7677777777777779</c:v>
                </c:pt>
                <c:pt idx="4">
                  <c:v>6.5444444444444452</c:v>
                </c:pt>
                <c:pt idx="5">
                  <c:v>9.9600000000000026</c:v>
                </c:pt>
                <c:pt idx="6">
                  <c:v>12.906666666666663</c:v>
                </c:pt>
                <c:pt idx="7">
                  <c:v>9.9000000000000039</c:v>
                </c:pt>
                <c:pt idx="8">
                  <c:v>16.228888888888886</c:v>
                </c:pt>
                <c:pt idx="9">
                  <c:v>7.2355555555555577</c:v>
                </c:pt>
                <c:pt idx="10">
                  <c:v>9.3388888888888921</c:v>
                </c:pt>
                <c:pt idx="11">
                  <c:v>11.199999999999998</c:v>
                </c:pt>
                <c:pt idx="12">
                  <c:v>9.3333333333333321</c:v>
                </c:pt>
                <c:pt idx="13">
                  <c:v>5.5</c:v>
                </c:pt>
                <c:pt idx="14">
                  <c:v>15.862222222222229</c:v>
                </c:pt>
                <c:pt idx="15">
                  <c:v>10.999999999999995</c:v>
                </c:pt>
                <c:pt idx="16">
                  <c:v>12.95333333333333</c:v>
                </c:pt>
                <c:pt idx="17">
                  <c:v>6.8888888888888804</c:v>
                </c:pt>
                <c:pt idx="18">
                  <c:v>5.2888888888888932</c:v>
                </c:pt>
                <c:pt idx="19">
                  <c:v>5.8333333333333472</c:v>
                </c:pt>
                <c:pt idx="20">
                  <c:v>3.8222222222222082</c:v>
                </c:pt>
                <c:pt idx="21">
                  <c:v>6.2077777777777641</c:v>
                </c:pt>
                <c:pt idx="22">
                  <c:v>3.3333333333333508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46-4B30-AF39-530676FF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'3.35'!$D$35:$D$56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0.99999999999999956</c:v>
                </c:pt>
                <c:pt idx="2">
                  <c:v>0.80000000000000071</c:v>
                </c:pt>
                <c:pt idx="3">
                  <c:v>0.3199999999999994</c:v>
                </c:pt>
                <c:pt idx="4">
                  <c:v>1.7999999999999998</c:v>
                </c:pt>
                <c:pt idx="5">
                  <c:v>1.08</c:v>
                </c:pt>
                <c:pt idx="6">
                  <c:v>1</c:v>
                </c:pt>
                <c:pt idx="7">
                  <c:v>1.8800000000000008</c:v>
                </c:pt>
                <c:pt idx="8">
                  <c:v>1.1999999999999993</c:v>
                </c:pt>
                <c:pt idx="9">
                  <c:v>2.0400000000000009</c:v>
                </c:pt>
                <c:pt idx="10">
                  <c:v>2.08</c:v>
                </c:pt>
                <c:pt idx="11">
                  <c:v>0.39999999999999858</c:v>
                </c:pt>
                <c:pt idx="12">
                  <c:v>1.4000000000000021</c:v>
                </c:pt>
                <c:pt idx="13">
                  <c:v>1.7999999999999972</c:v>
                </c:pt>
                <c:pt idx="14">
                  <c:v>3.6799999999999997</c:v>
                </c:pt>
                <c:pt idx="15">
                  <c:v>3.8000000000000007</c:v>
                </c:pt>
                <c:pt idx="16">
                  <c:v>2.9200000000000017</c:v>
                </c:pt>
                <c:pt idx="17">
                  <c:v>1.1999999999999993</c:v>
                </c:pt>
                <c:pt idx="18">
                  <c:v>1.4799999999999969</c:v>
                </c:pt>
                <c:pt idx="19">
                  <c:v>0.92000000000000171</c:v>
                </c:pt>
                <c:pt idx="20">
                  <c:v>2.6799999999999997</c:v>
                </c:pt>
              </c:numCache>
            </c:numRef>
          </c:xVal>
          <c:yVal>
            <c:numRef>
              <c:f>'3.35'!$E$35:$E$55</c:f>
              <c:numCache>
                <c:formatCode>General</c:formatCode>
                <c:ptCount val="21"/>
                <c:pt idx="0">
                  <c:v>0</c:v>
                </c:pt>
                <c:pt idx="1">
                  <c:v>2.92</c:v>
                </c:pt>
                <c:pt idx="2">
                  <c:v>5.23</c:v>
                </c:pt>
                <c:pt idx="3">
                  <c:v>1.41</c:v>
                </c:pt>
                <c:pt idx="4">
                  <c:v>8.2200000000000006</c:v>
                </c:pt>
                <c:pt idx="5">
                  <c:v>3.4</c:v>
                </c:pt>
                <c:pt idx="6">
                  <c:v>5.75</c:v>
                </c:pt>
                <c:pt idx="7">
                  <c:v>8.01</c:v>
                </c:pt>
                <c:pt idx="8">
                  <c:v>5.78</c:v>
                </c:pt>
                <c:pt idx="9">
                  <c:v>8.91</c:v>
                </c:pt>
                <c:pt idx="10">
                  <c:v>7.58</c:v>
                </c:pt>
                <c:pt idx="11">
                  <c:v>1.31</c:v>
                </c:pt>
                <c:pt idx="12">
                  <c:v>2.1</c:v>
                </c:pt>
                <c:pt idx="13">
                  <c:v>7.97</c:v>
                </c:pt>
                <c:pt idx="14">
                  <c:v>11.83</c:v>
                </c:pt>
                <c:pt idx="15">
                  <c:v>15.95</c:v>
                </c:pt>
                <c:pt idx="16">
                  <c:v>0.82</c:v>
                </c:pt>
                <c:pt idx="17">
                  <c:v>1.6</c:v>
                </c:pt>
                <c:pt idx="18">
                  <c:v>4.7</c:v>
                </c:pt>
                <c:pt idx="19">
                  <c:v>7.03</c:v>
                </c:pt>
                <c:pt idx="20">
                  <c:v>9.51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D-4EC9-864A-64C1D2FF9C67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'3.35'!$D$35:$D$56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0.99999999999999956</c:v>
                </c:pt>
                <c:pt idx="2">
                  <c:v>0.80000000000000071</c:v>
                </c:pt>
                <c:pt idx="3">
                  <c:v>0.3199999999999994</c:v>
                </c:pt>
                <c:pt idx="4">
                  <c:v>1.7999999999999998</c:v>
                </c:pt>
                <c:pt idx="5">
                  <c:v>1.08</c:v>
                </c:pt>
                <c:pt idx="6">
                  <c:v>1</c:v>
                </c:pt>
                <c:pt idx="7">
                  <c:v>1.8800000000000008</c:v>
                </c:pt>
                <c:pt idx="8">
                  <c:v>1.1999999999999993</c:v>
                </c:pt>
                <c:pt idx="9">
                  <c:v>2.0400000000000009</c:v>
                </c:pt>
                <c:pt idx="10">
                  <c:v>2.08</c:v>
                </c:pt>
                <c:pt idx="11">
                  <c:v>0.39999999999999858</c:v>
                </c:pt>
                <c:pt idx="12">
                  <c:v>1.4000000000000021</c:v>
                </c:pt>
                <c:pt idx="13">
                  <c:v>1.7999999999999972</c:v>
                </c:pt>
                <c:pt idx="14">
                  <c:v>3.6799999999999997</c:v>
                </c:pt>
                <c:pt idx="15">
                  <c:v>3.8000000000000007</c:v>
                </c:pt>
                <c:pt idx="16">
                  <c:v>2.9200000000000017</c:v>
                </c:pt>
                <c:pt idx="17">
                  <c:v>1.1999999999999993</c:v>
                </c:pt>
                <c:pt idx="18">
                  <c:v>1.4799999999999969</c:v>
                </c:pt>
                <c:pt idx="19">
                  <c:v>0.92000000000000171</c:v>
                </c:pt>
                <c:pt idx="20">
                  <c:v>2.6799999999999997</c:v>
                </c:pt>
              </c:numCache>
            </c:numRef>
          </c:xVal>
          <c:yVal>
            <c:numRef>
              <c:f>'3.35'!$F$35:$F$56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0</c:v>
                </c:pt>
                <c:pt idx="2">
                  <c:v>4.2444444444444489</c:v>
                </c:pt>
                <c:pt idx="3">
                  <c:v>1.4755555555555528</c:v>
                </c:pt>
                <c:pt idx="4">
                  <c:v>10.199999999999998</c:v>
                </c:pt>
                <c:pt idx="5">
                  <c:v>4.7400000000000011</c:v>
                </c:pt>
                <c:pt idx="6">
                  <c:v>4.8611111111111107</c:v>
                </c:pt>
                <c:pt idx="7">
                  <c:v>8.773333333333337</c:v>
                </c:pt>
                <c:pt idx="8">
                  <c:v>5.6999999999999966</c:v>
                </c:pt>
                <c:pt idx="9">
                  <c:v>13.600000000000005</c:v>
                </c:pt>
                <c:pt idx="10">
                  <c:v>8.4933333333333341</c:v>
                </c:pt>
                <c:pt idx="11">
                  <c:v>0</c:v>
                </c:pt>
                <c:pt idx="12">
                  <c:v>6.4166666666666767</c:v>
                </c:pt>
                <c:pt idx="13">
                  <c:v>6.9499999999999886</c:v>
                </c:pt>
                <c:pt idx="14">
                  <c:v>19.524444444444445</c:v>
                </c:pt>
                <c:pt idx="15">
                  <c:v>7.283333333333335</c:v>
                </c:pt>
                <c:pt idx="16">
                  <c:v>0</c:v>
                </c:pt>
                <c:pt idx="17">
                  <c:v>5.7999999999999954</c:v>
                </c:pt>
                <c:pt idx="18">
                  <c:v>4.5633333333333237</c:v>
                </c:pt>
                <c:pt idx="19">
                  <c:v>6.0055555555555662</c:v>
                </c:pt>
                <c:pt idx="20">
                  <c:v>10.719999999999999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6D-4EC9-864A-64C1D2FF9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'3.01'!$D$3:$D$10</c:f>
              <c:numCache>
                <c:formatCode>General</c:formatCode>
                <c:ptCount val="8"/>
                <c:pt idx="0">
                  <c:v>0</c:v>
                </c:pt>
                <c:pt idx="1">
                  <c:v>1.2400000000000002</c:v>
                </c:pt>
                <c:pt idx="2">
                  <c:v>1.3599999999999994</c:v>
                </c:pt>
                <c:pt idx="3">
                  <c:v>1.6000000000000014</c:v>
                </c:pt>
                <c:pt idx="4">
                  <c:v>3.9999999999999147E-2</c:v>
                </c:pt>
                <c:pt idx="5">
                  <c:v>2.0799999999999983</c:v>
                </c:pt>
                <c:pt idx="6">
                  <c:v>2.8800000000000026</c:v>
                </c:pt>
                <c:pt idx="7">
                  <c:v>4.32</c:v>
                </c:pt>
              </c:numCache>
            </c:numRef>
          </c:xVal>
          <c:yVal>
            <c:numRef>
              <c:f>'3.01'!$E$3:$E$10</c:f>
              <c:numCache>
                <c:formatCode>General</c:formatCode>
                <c:ptCount val="8"/>
                <c:pt idx="0">
                  <c:v>0</c:v>
                </c:pt>
                <c:pt idx="1">
                  <c:v>8.11</c:v>
                </c:pt>
                <c:pt idx="2">
                  <c:v>3.83</c:v>
                </c:pt>
                <c:pt idx="3">
                  <c:v>9.01</c:v>
                </c:pt>
                <c:pt idx="4">
                  <c:v>0.26</c:v>
                </c:pt>
                <c:pt idx="5">
                  <c:v>10.18</c:v>
                </c:pt>
                <c:pt idx="6">
                  <c:v>13.04</c:v>
                </c:pt>
                <c:pt idx="7">
                  <c:v>17.579999999999998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5-49A5-8F68-18D0746A9C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'3.01'!$D$3:$D$10</c:f>
              <c:numCache>
                <c:formatCode>General</c:formatCode>
                <c:ptCount val="8"/>
                <c:pt idx="0">
                  <c:v>0</c:v>
                </c:pt>
                <c:pt idx="1">
                  <c:v>1.2400000000000002</c:v>
                </c:pt>
                <c:pt idx="2">
                  <c:v>1.3599999999999994</c:v>
                </c:pt>
                <c:pt idx="3">
                  <c:v>1.6000000000000014</c:v>
                </c:pt>
                <c:pt idx="4">
                  <c:v>3.9999999999999147E-2</c:v>
                </c:pt>
                <c:pt idx="5">
                  <c:v>2.0799999999999983</c:v>
                </c:pt>
                <c:pt idx="6">
                  <c:v>2.8800000000000026</c:v>
                </c:pt>
                <c:pt idx="7">
                  <c:v>4.32</c:v>
                </c:pt>
              </c:numCache>
            </c:numRef>
          </c:xVal>
          <c:yVal>
            <c:numRef>
              <c:f>'3.01'!$F$3:$F$10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6.2000000000000011</c:v>
                </c:pt>
                <c:pt idx="2">
                  <c:v>6.4222222222222189</c:v>
                </c:pt>
                <c:pt idx="3">
                  <c:v>6.3111111111111162</c:v>
                </c:pt>
                <c:pt idx="4">
                  <c:v>0.20777777777777334</c:v>
                </c:pt>
                <c:pt idx="5">
                  <c:v>8.6088888888888828</c:v>
                </c:pt>
                <c:pt idx="6">
                  <c:v>17.280000000000015</c:v>
                </c:pt>
                <c:pt idx="7">
                  <c:v>23.400000000000002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45-49A5-8F68-18D0746A9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'3.01'!$D$35:$D$50</c:f>
              <c:numCache>
                <c:formatCode>General</c:formatCode>
                <c:ptCount val="16"/>
                <c:pt idx="0">
                  <c:v>0</c:v>
                </c:pt>
                <c:pt idx="1">
                  <c:v>2.12</c:v>
                </c:pt>
                <c:pt idx="2">
                  <c:v>1.1999999999999993</c:v>
                </c:pt>
                <c:pt idx="3">
                  <c:v>1.6800000000000015</c:v>
                </c:pt>
                <c:pt idx="4">
                  <c:v>0.67999999999999972</c:v>
                </c:pt>
                <c:pt idx="5">
                  <c:v>1.8399999999999999</c:v>
                </c:pt>
                <c:pt idx="6">
                  <c:v>0.75999999999999979</c:v>
                </c:pt>
                <c:pt idx="7">
                  <c:v>1.0399999999999991</c:v>
                </c:pt>
                <c:pt idx="8">
                  <c:v>8.0000000000001847E-2</c:v>
                </c:pt>
                <c:pt idx="9">
                  <c:v>1.4800000000000004</c:v>
                </c:pt>
                <c:pt idx="10">
                  <c:v>1.2399999999999984</c:v>
                </c:pt>
                <c:pt idx="11">
                  <c:v>5.5599999999999987</c:v>
                </c:pt>
                <c:pt idx="12">
                  <c:v>1.6000000000000014</c:v>
                </c:pt>
                <c:pt idx="13">
                  <c:v>0.44000000000000128</c:v>
                </c:pt>
                <c:pt idx="14">
                  <c:v>1.1600000000000001</c:v>
                </c:pt>
                <c:pt idx="15">
                  <c:v>2.0399999999999991</c:v>
                </c:pt>
              </c:numCache>
            </c:numRef>
          </c:xVal>
          <c:yVal>
            <c:numRef>
              <c:f>'3.01'!$E$35:$E$50</c:f>
              <c:numCache>
                <c:formatCode>General</c:formatCode>
                <c:ptCount val="16"/>
                <c:pt idx="1">
                  <c:v>10.07</c:v>
                </c:pt>
                <c:pt idx="2">
                  <c:v>5.64</c:v>
                </c:pt>
                <c:pt idx="3">
                  <c:v>9.01</c:v>
                </c:pt>
                <c:pt idx="4">
                  <c:v>4.33</c:v>
                </c:pt>
                <c:pt idx="5">
                  <c:v>7.09</c:v>
                </c:pt>
                <c:pt idx="6">
                  <c:v>7.4</c:v>
                </c:pt>
                <c:pt idx="7">
                  <c:v>2.75</c:v>
                </c:pt>
                <c:pt idx="8">
                  <c:v>3.51</c:v>
                </c:pt>
                <c:pt idx="9">
                  <c:v>6.05</c:v>
                </c:pt>
                <c:pt idx="10">
                  <c:v>6.39</c:v>
                </c:pt>
                <c:pt idx="11">
                  <c:v>15.85</c:v>
                </c:pt>
                <c:pt idx="12">
                  <c:v>8.9499999999999993</c:v>
                </c:pt>
                <c:pt idx="13">
                  <c:v>0.86</c:v>
                </c:pt>
                <c:pt idx="14">
                  <c:v>6.24</c:v>
                </c:pt>
                <c:pt idx="15">
                  <c:v>12.41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B4-4BC6-AA30-E40BBC6BC65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'3.01'!$D$35:$D$50</c:f>
              <c:numCache>
                <c:formatCode>General</c:formatCode>
                <c:ptCount val="16"/>
                <c:pt idx="0">
                  <c:v>0</c:v>
                </c:pt>
                <c:pt idx="1">
                  <c:v>2.12</c:v>
                </c:pt>
                <c:pt idx="2">
                  <c:v>1.1999999999999993</c:v>
                </c:pt>
                <c:pt idx="3">
                  <c:v>1.6800000000000015</c:v>
                </c:pt>
                <c:pt idx="4">
                  <c:v>0.67999999999999972</c:v>
                </c:pt>
                <c:pt idx="5">
                  <c:v>1.8399999999999999</c:v>
                </c:pt>
                <c:pt idx="6">
                  <c:v>0.75999999999999979</c:v>
                </c:pt>
                <c:pt idx="7">
                  <c:v>1.0399999999999991</c:v>
                </c:pt>
                <c:pt idx="8">
                  <c:v>8.0000000000001847E-2</c:v>
                </c:pt>
                <c:pt idx="9">
                  <c:v>1.4800000000000004</c:v>
                </c:pt>
                <c:pt idx="10">
                  <c:v>1.2399999999999984</c:v>
                </c:pt>
                <c:pt idx="11">
                  <c:v>5.5599999999999987</c:v>
                </c:pt>
                <c:pt idx="12">
                  <c:v>1.6000000000000014</c:v>
                </c:pt>
                <c:pt idx="13">
                  <c:v>0.44000000000000128</c:v>
                </c:pt>
                <c:pt idx="14">
                  <c:v>1.1600000000000001</c:v>
                </c:pt>
                <c:pt idx="15">
                  <c:v>2.0399999999999991</c:v>
                </c:pt>
              </c:numCache>
            </c:numRef>
          </c:xVal>
          <c:yVal>
            <c:numRef>
              <c:f>'3.01'!$F$35:$F$50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10.54111111111111</c:v>
                </c:pt>
                <c:pt idx="2">
                  <c:v>6.4999999999999956</c:v>
                </c:pt>
                <c:pt idx="3">
                  <c:v>11.013333333333344</c:v>
                </c:pt>
                <c:pt idx="4">
                  <c:v>3.5888888888888872</c:v>
                </c:pt>
                <c:pt idx="5">
                  <c:v>8.0755555555555549</c:v>
                </c:pt>
                <c:pt idx="6">
                  <c:v>4.8555555555555543</c:v>
                </c:pt>
                <c:pt idx="7">
                  <c:v>4.8533333333333299</c:v>
                </c:pt>
                <c:pt idx="8">
                  <c:v>0.48888888888890014</c:v>
                </c:pt>
                <c:pt idx="9">
                  <c:v>7.2766666666666682</c:v>
                </c:pt>
                <c:pt idx="10">
                  <c:v>8.6455555555555446</c:v>
                </c:pt>
                <c:pt idx="11">
                  <c:v>24.711111111111105</c:v>
                </c:pt>
                <c:pt idx="12">
                  <c:v>7.644444444444451</c:v>
                </c:pt>
                <c:pt idx="13">
                  <c:v>3.0188888888888972</c:v>
                </c:pt>
                <c:pt idx="14">
                  <c:v>6.4766666666666683</c:v>
                </c:pt>
                <c:pt idx="15">
                  <c:v>14.619999999999994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B4-4BC6-AA30-E40BBC6BC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'3.40'!$D$10:$D$27</c:f>
              <c:numCache>
                <c:formatCode>General</c:formatCode>
                <c:ptCount val="18"/>
                <c:pt idx="1">
                  <c:v>4.3999999999999986</c:v>
                </c:pt>
                <c:pt idx="2">
                  <c:v>1.6000000000000014</c:v>
                </c:pt>
                <c:pt idx="3">
                  <c:v>2.9199999999999982</c:v>
                </c:pt>
                <c:pt idx="4">
                  <c:v>0.88000000000000256</c:v>
                </c:pt>
                <c:pt idx="5">
                  <c:v>2.1199999999999974</c:v>
                </c:pt>
                <c:pt idx="6">
                  <c:v>1.6799999999999997</c:v>
                </c:pt>
                <c:pt idx="7">
                  <c:v>0.44000000000000128</c:v>
                </c:pt>
                <c:pt idx="8">
                  <c:v>1</c:v>
                </c:pt>
                <c:pt idx="9">
                  <c:v>1.5599999999999987</c:v>
                </c:pt>
                <c:pt idx="10">
                  <c:v>4.9200000000000017</c:v>
                </c:pt>
              </c:numCache>
            </c:numRef>
          </c:xVal>
          <c:yVal>
            <c:numRef>
              <c:f>'3.40'!$E$10:$E$27</c:f>
              <c:numCache>
                <c:formatCode>General</c:formatCode>
                <c:ptCount val="18"/>
                <c:pt idx="0">
                  <c:v>0</c:v>
                </c:pt>
                <c:pt idx="1">
                  <c:v>16.91</c:v>
                </c:pt>
                <c:pt idx="2">
                  <c:v>10.14</c:v>
                </c:pt>
                <c:pt idx="3">
                  <c:v>15.63</c:v>
                </c:pt>
                <c:pt idx="4">
                  <c:v>7.32</c:v>
                </c:pt>
                <c:pt idx="5">
                  <c:v>11.78</c:v>
                </c:pt>
                <c:pt idx="6">
                  <c:v>10.039999999999999</c:v>
                </c:pt>
                <c:pt idx="7">
                  <c:v>2.44</c:v>
                </c:pt>
                <c:pt idx="8">
                  <c:v>5.03</c:v>
                </c:pt>
                <c:pt idx="9">
                  <c:v>9.85</c:v>
                </c:pt>
                <c:pt idx="10">
                  <c:v>15.16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6-4ACB-9583-5558CFD0BE4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'3.40'!$D$10:$D$27</c:f>
              <c:numCache>
                <c:formatCode>General</c:formatCode>
                <c:ptCount val="18"/>
                <c:pt idx="1">
                  <c:v>4.3999999999999986</c:v>
                </c:pt>
                <c:pt idx="2">
                  <c:v>1.6000000000000014</c:v>
                </c:pt>
                <c:pt idx="3">
                  <c:v>2.9199999999999982</c:v>
                </c:pt>
                <c:pt idx="4">
                  <c:v>0.88000000000000256</c:v>
                </c:pt>
                <c:pt idx="5">
                  <c:v>2.1199999999999974</c:v>
                </c:pt>
                <c:pt idx="6">
                  <c:v>1.6799999999999997</c:v>
                </c:pt>
                <c:pt idx="7">
                  <c:v>0.44000000000000128</c:v>
                </c:pt>
                <c:pt idx="8">
                  <c:v>1</c:v>
                </c:pt>
                <c:pt idx="9">
                  <c:v>1.5599999999999987</c:v>
                </c:pt>
                <c:pt idx="10">
                  <c:v>4.9200000000000017</c:v>
                </c:pt>
              </c:numCache>
            </c:numRef>
          </c:xVal>
          <c:yVal>
            <c:numRef>
              <c:f>'3.40'!$F$10:$F$27</c:f>
              <c:numCache>
                <c:formatCode>0.00</c:formatCode>
                <c:ptCount val="18"/>
                <c:pt idx="0">
                  <c:v>0</c:v>
                </c:pt>
                <c:pt idx="1">
                  <c:v>26.522222222222211</c:v>
                </c:pt>
                <c:pt idx="2">
                  <c:v>10.80000000000001</c:v>
                </c:pt>
                <c:pt idx="3">
                  <c:v>17.276666666666657</c:v>
                </c:pt>
                <c:pt idx="4">
                  <c:v>5.7444444444444613</c:v>
                </c:pt>
                <c:pt idx="5">
                  <c:v>13.014444444444429</c:v>
                </c:pt>
                <c:pt idx="6">
                  <c:v>10.359999999999998</c:v>
                </c:pt>
                <c:pt idx="7">
                  <c:v>2.4933333333333403</c:v>
                </c:pt>
                <c:pt idx="8">
                  <c:v>6.9166666666666661</c:v>
                </c:pt>
                <c:pt idx="9">
                  <c:v>11.30999999999999</c:v>
                </c:pt>
                <c:pt idx="10">
                  <c:v>25.420000000000012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A6-4ACB-9583-5558CFD0B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'3.40'!$D$35:$D$56</c:f>
              <c:numCache>
                <c:formatCode>General</c:formatCode>
                <c:ptCount val="22"/>
                <c:pt idx="0">
                  <c:v>0</c:v>
                </c:pt>
                <c:pt idx="1">
                  <c:v>1.08</c:v>
                </c:pt>
                <c:pt idx="2">
                  <c:v>1.44</c:v>
                </c:pt>
                <c:pt idx="3">
                  <c:v>1.7599999999999998</c:v>
                </c:pt>
                <c:pt idx="4">
                  <c:v>0.44000000000000039</c:v>
                </c:pt>
                <c:pt idx="5">
                  <c:v>1.3600000000000003</c:v>
                </c:pt>
                <c:pt idx="6">
                  <c:v>2.5999999999999996</c:v>
                </c:pt>
                <c:pt idx="7">
                  <c:v>1.4000000000000004</c:v>
                </c:pt>
                <c:pt idx="8">
                  <c:v>7</c:v>
                </c:pt>
                <c:pt idx="9">
                  <c:v>0.80000000000000071</c:v>
                </c:pt>
                <c:pt idx="10">
                  <c:v>1.2399999999999984</c:v>
                </c:pt>
                <c:pt idx="11">
                  <c:v>3.8000000000000007</c:v>
                </c:pt>
                <c:pt idx="12">
                  <c:v>1.759999999999998</c:v>
                </c:pt>
                <c:pt idx="13">
                  <c:v>1.8000000000000007</c:v>
                </c:pt>
                <c:pt idx="14">
                  <c:v>4.00000000000027E-2</c:v>
                </c:pt>
                <c:pt idx="15">
                  <c:v>2.759999999999998</c:v>
                </c:pt>
                <c:pt idx="16">
                  <c:v>0</c:v>
                </c:pt>
                <c:pt idx="17">
                  <c:v>2.7999999999999972</c:v>
                </c:pt>
              </c:numCache>
            </c:numRef>
          </c:xVal>
          <c:yVal>
            <c:numRef>
              <c:f>'3.40'!$E$35:$E$55</c:f>
              <c:numCache>
                <c:formatCode>General</c:formatCode>
                <c:ptCount val="21"/>
                <c:pt idx="0">
                  <c:v>0</c:v>
                </c:pt>
                <c:pt idx="1">
                  <c:v>7.15</c:v>
                </c:pt>
                <c:pt idx="2">
                  <c:v>10.57</c:v>
                </c:pt>
                <c:pt idx="3">
                  <c:v>10.93</c:v>
                </c:pt>
                <c:pt idx="4">
                  <c:v>1.91</c:v>
                </c:pt>
                <c:pt idx="5">
                  <c:v>7.7</c:v>
                </c:pt>
                <c:pt idx="6">
                  <c:v>9.27</c:v>
                </c:pt>
                <c:pt idx="7">
                  <c:v>10.56</c:v>
                </c:pt>
                <c:pt idx="8">
                  <c:v>14.54</c:v>
                </c:pt>
                <c:pt idx="9">
                  <c:v>4.7</c:v>
                </c:pt>
                <c:pt idx="10">
                  <c:v>5.0999999999999996</c:v>
                </c:pt>
                <c:pt idx="11">
                  <c:v>15.02</c:v>
                </c:pt>
                <c:pt idx="12">
                  <c:v>9.7799999999999994</c:v>
                </c:pt>
                <c:pt idx="13">
                  <c:v>5.88</c:v>
                </c:pt>
                <c:pt idx="14">
                  <c:v>2.35</c:v>
                </c:pt>
                <c:pt idx="15">
                  <c:v>10.25</c:v>
                </c:pt>
                <c:pt idx="16">
                  <c:v>1.47</c:v>
                </c:pt>
                <c:pt idx="17">
                  <c:v>10.68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D0-42E7-A905-5291FA60B17A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'3.40'!$D$35:$D$56</c:f>
              <c:numCache>
                <c:formatCode>General</c:formatCode>
                <c:ptCount val="22"/>
                <c:pt idx="0">
                  <c:v>0</c:v>
                </c:pt>
                <c:pt idx="1">
                  <c:v>1.08</c:v>
                </c:pt>
                <c:pt idx="2">
                  <c:v>1.44</c:v>
                </c:pt>
                <c:pt idx="3">
                  <c:v>1.7599999999999998</c:v>
                </c:pt>
                <c:pt idx="4">
                  <c:v>0.44000000000000039</c:v>
                </c:pt>
                <c:pt idx="5">
                  <c:v>1.3600000000000003</c:v>
                </c:pt>
                <c:pt idx="6">
                  <c:v>2.5999999999999996</c:v>
                </c:pt>
                <c:pt idx="7">
                  <c:v>1.4000000000000004</c:v>
                </c:pt>
                <c:pt idx="8">
                  <c:v>7</c:v>
                </c:pt>
                <c:pt idx="9">
                  <c:v>0.80000000000000071</c:v>
                </c:pt>
                <c:pt idx="10">
                  <c:v>1.2399999999999984</c:v>
                </c:pt>
                <c:pt idx="11">
                  <c:v>3.8000000000000007</c:v>
                </c:pt>
                <c:pt idx="12">
                  <c:v>1.759999999999998</c:v>
                </c:pt>
                <c:pt idx="13">
                  <c:v>1.8000000000000007</c:v>
                </c:pt>
                <c:pt idx="14">
                  <c:v>4.00000000000027E-2</c:v>
                </c:pt>
                <c:pt idx="15">
                  <c:v>2.759999999999998</c:v>
                </c:pt>
                <c:pt idx="16">
                  <c:v>0</c:v>
                </c:pt>
                <c:pt idx="17">
                  <c:v>2.7999999999999972</c:v>
                </c:pt>
              </c:numCache>
            </c:numRef>
          </c:xVal>
          <c:yVal>
            <c:numRef>
              <c:f>'3.40'!$F$35:$F$56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4.2900000000000009</c:v>
                </c:pt>
                <c:pt idx="2">
                  <c:v>7.7200000000000006</c:v>
                </c:pt>
                <c:pt idx="3">
                  <c:v>8.2622222222222206</c:v>
                </c:pt>
                <c:pt idx="4">
                  <c:v>2.3711111111111127</c:v>
                </c:pt>
                <c:pt idx="5">
                  <c:v>9.1800000000000015</c:v>
                </c:pt>
                <c:pt idx="6">
                  <c:v>15.238888888888889</c:v>
                </c:pt>
                <c:pt idx="7">
                  <c:v>10.150000000000004</c:v>
                </c:pt>
                <c:pt idx="8">
                  <c:v>39.472222222222221</c:v>
                </c:pt>
                <c:pt idx="9">
                  <c:v>3.7555555555555582</c:v>
                </c:pt>
                <c:pt idx="10">
                  <c:v>6.7511111111111024</c:v>
                </c:pt>
                <c:pt idx="11">
                  <c:v>19.316666666666674</c:v>
                </c:pt>
                <c:pt idx="12">
                  <c:v>8.9466666666666566</c:v>
                </c:pt>
                <c:pt idx="13">
                  <c:v>9.2500000000000036</c:v>
                </c:pt>
                <c:pt idx="14">
                  <c:v>0.2377777777777938</c:v>
                </c:pt>
                <c:pt idx="15">
                  <c:v>13.723333333333322</c:v>
                </c:pt>
                <c:pt idx="16">
                  <c:v>0</c:v>
                </c:pt>
                <c:pt idx="17">
                  <c:v>21.699999999999978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D0-42E7-A905-5291FA60B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'8.15'!$D$3:$D$27</c:f>
              <c:numCache>
                <c:formatCode>General</c:formatCode>
                <c:ptCount val="25"/>
                <c:pt idx="0">
                  <c:v>0</c:v>
                </c:pt>
                <c:pt idx="1">
                  <c:v>1.9600000000000004</c:v>
                </c:pt>
                <c:pt idx="2">
                  <c:v>0.59999999999999964</c:v>
                </c:pt>
                <c:pt idx="3">
                  <c:v>0.91999999999999993</c:v>
                </c:pt>
                <c:pt idx="4">
                  <c:v>1.08</c:v>
                </c:pt>
                <c:pt idx="5">
                  <c:v>1.8399999999999999</c:v>
                </c:pt>
                <c:pt idx="6">
                  <c:v>2.5600000000000005</c:v>
                </c:pt>
                <c:pt idx="7">
                  <c:v>6.120000000000001</c:v>
                </c:pt>
                <c:pt idx="8">
                  <c:v>1.879999999999999</c:v>
                </c:pt>
                <c:pt idx="9">
                  <c:v>3.120000000000001</c:v>
                </c:pt>
                <c:pt idx="10">
                  <c:v>0.71999999999999886</c:v>
                </c:pt>
                <c:pt idx="11">
                  <c:v>1.4800000000000004</c:v>
                </c:pt>
                <c:pt idx="12">
                  <c:v>2.3200000000000003</c:v>
                </c:pt>
                <c:pt idx="13">
                  <c:v>2.759999999999998</c:v>
                </c:pt>
                <c:pt idx="14">
                  <c:v>2.0400000000000027</c:v>
                </c:pt>
              </c:numCache>
            </c:numRef>
          </c:xVal>
          <c:yVal>
            <c:numRef>
              <c:f>'8.15'!$E$3:$E$27</c:f>
              <c:numCache>
                <c:formatCode>General</c:formatCode>
                <c:ptCount val="25"/>
                <c:pt idx="0">
                  <c:v>0</c:v>
                </c:pt>
                <c:pt idx="1">
                  <c:v>11.34</c:v>
                </c:pt>
                <c:pt idx="2">
                  <c:v>4.5199999999999996</c:v>
                </c:pt>
                <c:pt idx="3">
                  <c:v>1.5</c:v>
                </c:pt>
                <c:pt idx="4">
                  <c:v>9.11</c:v>
                </c:pt>
                <c:pt idx="5">
                  <c:v>9.32</c:v>
                </c:pt>
                <c:pt idx="6">
                  <c:v>14.78</c:v>
                </c:pt>
                <c:pt idx="7">
                  <c:v>15.51</c:v>
                </c:pt>
                <c:pt idx="8">
                  <c:v>11.21</c:v>
                </c:pt>
                <c:pt idx="9">
                  <c:v>16.72</c:v>
                </c:pt>
                <c:pt idx="10">
                  <c:v>5.43</c:v>
                </c:pt>
                <c:pt idx="11">
                  <c:v>7.01</c:v>
                </c:pt>
                <c:pt idx="12">
                  <c:v>16.59</c:v>
                </c:pt>
                <c:pt idx="13">
                  <c:v>17.5</c:v>
                </c:pt>
                <c:pt idx="14">
                  <c:v>13.26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08-4B39-94A0-337D3CDD5CFF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'8.15'!$D$3:$D$27</c:f>
              <c:numCache>
                <c:formatCode>General</c:formatCode>
                <c:ptCount val="25"/>
                <c:pt idx="0">
                  <c:v>0</c:v>
                </c:pt>
                <c:pt idx="1">
                  <c:v>1.9600000000000004</c:v>
                </c:pt>
                <c:pt idx="2">
                  <c:v>0.59999999999999964</c:v>
                </c:pt>
                <c:pt idx="3">
                  <c:v>0.91999999999999993</c:v>
                </c:pt>
                <c:pt idx="4">
                  <c:v>1.08</c:v>
                </c:pt>
                <c:pt idx="5">
                  <c:v>1.8399999999999999</c:v>
                </c:pt>
                <c:pt idx="6">
                  <c:v>2.5600000000000005</c:v>
                </c:pt>
                <c:pt idx="7">
                  <c:v>6.120000000000001</c:v>
                </c:pt>
                <c:pt idx="8">
                  <c:v>1.879999999999999</c:v>
                </c:pt>
                <c:pt idx="9">
                  <c:v>3.120000000000001</c:v>
                </c:pt>
                <c:pt idx="10">
                  <c:v>0.71999999999999886</c:v>
                </c:pt>
                <c:pt idx="11">
                  <c:v>1.4800000000000004</c:v>
                </c:pt>
                <c:pt idx="12">
                  <c:v>2.3200000000000003</c:v>
                </c:pt>
                <c:pt idx="13">
                  <c:v>2.759999999999998</c:v>
                </c:pt>
                <c:pt idx="14">
                  <c:v>2.0400000000000027</c:v>
                </c:pt>
              </c:numCache>
            </c:numRef>
          </c:xVal>
          <c:yVal>
            <c:numRef>
              <c:f>'8.15'!$F$3:$F$27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12.848888888888892</c:v>
                </c:pt>
                <c:pt idx="2">
                  <c:v>2.6833333333333318</c:v>
                </c:pt>
                <c:pt idx="3">
                  <c:v>7.9988888888888887</c:v>
                </c:pt>
                <c:pt idx="4">
                  <c:v>5.9400000000000013</c:v>
                </c:pt>
                <c:pt idx="5">
                  <c:v>8.74</c:v>
                </c:pt>
                <c:pt idx="6">
                  <c:v>18.91555555555556</c:v>
                </c:pt>
                <c:pt idx="7">
                  <c:v>41.48</c:v>
                </c:pt>
                <c:pt idx="8">
                  <c:v>13.264444444444436</c:v>
                </c:pt>
                <c:pt idx="9">
                  <c:v>19.673333333333339</c:v>
                </c:pt>
                <c:pt idx="10">
                  <c:v>4.7799999999999923</c:v>
                </c:pt>
                <c:pt idx="11">
                  <c:v>9.9077777777777811</c:v>
                </c:pt>
                <c:pt idx="12">
                  <c:v>19.011111111111113</c:v>
                </c:pt>
                <c:pt idx="13">
                  <c:v>21.619999999999983</c:v>
                </c:pt>
                <c:pt idx="14">
                  <c:v>14.790000000000019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08-4B39-94A0-337D3CDD5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'8.15'!$D$35:$D$56</c:f>
              <c:numCache>
                <c:formatCode>General</c:formatCode>
                <c:ptCount val="22"/>
                <c:pt idx="0">
                  <c:v>0</c:v>
                </c:pt>
                <c:pt idx="1">
                  <c:v>1.2000000000000002</c:v>
                </c:pt>
                <c:pt idx="2">
                  <c:v>1.3199999999999998</c:v>
                </c:pt>
                <c:pt idx="3">
                  <c:v>1.4</c:v>
                </c:pt>
                <c:pt idx="4">
                  <c:v>0.79999999999999982</c:v>
                </c:pt>
                <c:pt idx="5">
                  <c:v>1.08</c:v>
                </c:pt>
                <c:pt idx="6">
                  <c:v>8.0000000000000071E-2</c:v>
                </c:pt>
                <c:pt idx="7">
                  <c:v>1.2399999999999993</c:v>
                </c:pt>
                <c:pt idx="8">
                  <c:v>0.48000000000000043</c:v>
                </c:pt>
                <c:pt idx="9">
                  <c:v>0.40000000000000036</c:v>
                </c:pt>
                <c:pt idx="10">
                  <c:v>0.11999999999999922</c:v>
                </c:pt>
                <c:pt idx="11">
                  <c:v>8.0000000000000071E-2</c:v>
                </c:pt>
                <c:pt idx="14">
                  <c:v>1.1199999999999992</c:v>
                </c:pt>
                <c:pt idx="15">
                  <c:v>0.19999999999999929</c:v>
                </c:pt>
                <c:pt idx="16">
                  <c:v>0.48000000000000043</c:v>
                </c:pt>
                <c:pt idx="17">
                  <c:v>0.4399999999999995</c:v>
                </c:pt>
                <c:pt idx="18">
                  <c:v>4.0000000000000018</c:v>
                </c:pt>
                <c:pt idx="19">
                  <c:v>3.0799999999999983</c:v>
                </c:pt>
                <c:pt idx="20">
                  <c:v>0.80000000000000071</c:v>
                </c:pt>
                <c:pt idx="21">
                  <c:v>1.1999999999999993</c:v>
                </c:pt>
              </c:numCache>
            </c:numRef>
          </c:xVal>
          <c:yVal>
            <c:numRef>
              <c:f>'8.15'!$E$35:$E$55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5.9699997901916504</c:v>
                </c:pt>
                <c:pt idx="2">
                  <c:v>8.9899997711181605</c:v>
                </c:pt>
                <c:pt idx="3">
                  <c:v>5.5700001716613698</c:v>
                </c:pt>
                <c:pt idx="4">
                  <c:v>4.7399997711181596</c:v>
                </c:pt>
                <c:pt idx="5">
                  <c:v>10.039999961853001</c:v>
                </c:pt>
                <c:pt idx="6">
                  <c:v>-1.04999995231628</c:v>
                </c:pt>
                <c:pt idx="7">
                  <c:v>5.6799998283386204</c:v>
                </c:pt>
                <c:pt idx="8">
                  <c:v>-5.0000000745057997E-2</c:v>
                </c:pt>
                <c:pt idx="9">
                  <c:v>4.5399999618530202</c:v>
                </c:pt>
                <c:pt idx="10">
                  <c:v>0.95999997854232699</c:v>
                </c:pt>
                <c:pt idx="11">
                  <c:v>-1.75999999046325</c:v>
                </c:pt>
                <c:pt idx="13">
                  <c:v>-2.9400000572204501</c:v>
                </c:pt>
                <c:pt idx="14">
                  <c:v>9.6400003433227504</c:v>
                </c:pt>
                <c:pt idx="15">
                  <c:v>0.28000000119209201</c:v>
                </c:pt>
                <c:pt idx="16">
                  <c:v>2.45000004768371</c:v>
                </c:pt>
                <c:pt idx="17">
                  <c:v>1.75999999046325</c:v>
                </c:pt>
                <c:pt idx="18">
                  <c:v>12.899999618530201</c:v>
                </c:pt>
                <c:pt idx="19">
                  <c:v>17.090000152587798</c:v>
                </c:pt>
                <c:pt idx="20">
                  <c:v>6.8099999427795401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2B-4C29-B13D-00A2026D7EA0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'8.15'!$D$35:$D$56</c:f>
              <c:numCache>
                <c:formatCode>General</c:formatCode>
                <c:ptCount val="22"/>
                <c:pt idx="0">
                  <c:v>0</c:v>
                </c:pt>
                <c:pt idx="1">
                  <c:v>1.2000000000000002</c:v>
                </c:pt>
                <c:pt idx="2">
                  <c:v>1.3199999999999998</c:v>
                </c:pt>
                <c:pt idx="3">
                  <c:v>1.4</c:v>
                </c:pt>
                <c:pt idx="4">
                  <c:v>0.79999999999999982</c:v>
                </c:pt>
                <c:pt idx="5">
                  <c:v>1.08</c:v>
                </c:pt>
                <c:pt idx="6">
                  <c:v>8.0000000000000071E-2</c:v>
                </c:pt>
                <c:pt idx="7">
                  <c:v>1.2399999999999993</c:v>
                </c:pt>
                <c:pt idx="8">
                  <c:v>0.48000000000000043</c:v>
                </c:pt>
                <c:pt idx="9">
                  <c:v>0.40000000000000036</c:v>
                </c:pt>
                <c:pt idx="10">
                  <c:v>0.11999999999999922</c:v>
                </c:pt>
                <c:pt idx="11">
                  <c:v>8.0000000000000071E-2</c:v>
                </c:pt>
                <c:pt idx="14">
                  <c:v>1.1199999999999992</c:v>
                </c:pt>
                <c:pt idx="15">
                  <c:v>0.19999999999999929</c:v>
                </c:pt>
                <c:pt idx="16">
                  <c:v>0.48000000000000043</c:v>
                </c:pt>
                <c:pt idx="17">
                  <c:v>0.4399999999999995</c:v>
                </c:pt>
                <c:pt idx="18">
                  <c:v>4.0000000000000018</c:v>
                </c:pt>
                <c:pt idx="19">
                  <c:v>3.0799999999999983</c:v>
                </c:pt>
                <c:pt idx="20">
                  <c:v>0.80000000000000071</c:v>
                </c:pt>
                <c:pt idx="21">
                  <c:v>1.1999999999999993</c:v>
                </c:pt>
              </c:numCache>
            </c:numRef>
          </c:xVal>
          <c:yVal>
            <c:numRef>
              <c:f>'8.15'!$F$35:$F$56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7.0666669209798005</c:v>
                </c:pt>
                <c:pt idx="2">
                  <c:v>7.5533334732055568</c:v>
                </c:pt>
                <c:pt idx="3">
                  <c:v>7.4666669633653218</c:v>
                </c:pt>
                <c:pt idx="4">
                  <c:v>0</c:v>
                </c:pt>
                <c:pt idx="5">
                  <c:v>6.8699998855590598</c:v>
                </c:pt>
                <c:pt idx="6">
                  <c:v>0.41777776082356699</c:v>
                </c:pt>
                <c:pt idx="7">
                  <c:v>0</c:v>
                </c:pt>
                <c:pt idx="8">
                  <c:v>4.4799997965494702</c:v>
                </c:pt>
                <c:pt idx="9">
                  <c:v>3.8111110263400585</c:v>
                </c:pt>
                <c:pt idx="10">
                  <c:v>0</c:v>
                </c:pt>
                <c:pt idx="11">
                  <c:v>0.37555554707844918</c:v>
                </c:pt>
                <c:pt idx="12">
                  <c:v>0</c:v>
                </c:pt>
                <c:pt idx="13">
                  <c:v>0</c:v>
                </c:pt>
                <c:pt idx="14">
                  <c:v>1.3066666073269282</c:v>
                </c:pt>
                <c:pt idx="15">
                  <c:v>1.272222201029451</c:v>
                </c:pt>
                <c:pt idx="16">
                  <c:v>1.0400000254313155</c:v>
                </c:pt>
                <c:pt idx="17">
                  <c:v>3.067777824401849</c:v>
                </c:pt>
                <c:pt idx="18">
                  <c:v>23.222221798366899</c:v>
                </c:pt>
                <c:pt idx="19">
                  <c:v>32.853334638807482</c:v>
                </c:pt>
                <c:pt idx="20">
                  <c:v>3.0222223069932692</c:v>
                </c:pt>
                <c:pt idx="21">
                  <c:v>10.666666666666661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2B-4C29-B13D-00A2026D7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'8.58'!$D$3:$D$27</c:f>
              <c:numCache>
                <c:formatCode>General</c:formatCode>
                <c:ptCount val="25"/>
                <c:pt idx="0">
                  <c:v>0</c:v>
                </c:pt>
                <c:pt idx="1">
                  <c:v>2.8800000000000003</c:v>
                </c:pt>
                <c:pt idx="2">
                  <c:v>0.20000000000000018</c:v>
                </c:pt>
                <c:pt idx="3">
                  <c:v>3.0399999999999991</c:v>
                </c:pt>
                <c:pt idx="4">
                  <c:v>0.36000000000000121</c:v>
                </c:pt>
                <c:pt idx="5">
                  <c:v>2.0399999999999991</c:v>
                </c:pt>
                <c:pt idx="6">
                  <c:v>1.3599999999999994</c:v>
                </c:pt>
                <c:pt idx="7">
                  <c:v>1.92</c:v>
                </c:pt>
                <c:pt idx="8">
                  <c:v>0.20000000000000107</c:v>
                </c:pt>
                <c:pt idx="9">
                  <c:v>2.9999999999999982</c:v>
                </c:pt>
                <c:pt idx="12">
                  <c:v>1.1999999999999993</c:v>
                </c:pt>
                <c:pt idx="13">
                  <c:v>2.8000000000000007</c:v>
                </c:pt>
                <c:pt idx="14">
                  <c:v>1.4400000000000013</c:v>
                </c:pt>
                <c:pt idx="15">
                  <c:v>2.2799999999999976</c:v>
                </c:pt>
                <c:pt idx="18">
                  <c:v>2.7999999999999972</c:v>
                </c:pt>
                <c:pt idx="19">
                  <c:v>2</c:v>
                </c:pt>
              </c:numCache>
            </c:numRef>
          </c:xVal>
          <c:yVal>
            <c:numRef>
              <c:f>'8.58'!$E$3:$E$27</c:f>
              <c:numCache>
                <c:formatCode>General</c:formatCode>
                <c:ptCount val="25"/>
                <c:pt idx="0">
                  <c:v>0</c:v>
                </c:pt>
                <c:pt idx="1">
                  <c:v>16.64</c:v>
                </c:pt>
                <c:pt idx="2">
                  <c:v>1.67</c:v>
                </c:pt>
                <c:pt idx="3">
                  <c:v>12.69</c:v>
                </c:pt>
                <c:pt idx="4">
                  <c:v>3.69</c:v>
                </c:pt>
                <c:pt idx="5">
                  <c:v>11.06</c:v>
                </c:pt>
                <c:pt idx="6">
                  <c:v>8.36</c:v>
                </c:pt>
                <c:pt idx="7">
                  <c:v>12.19</c:v>
                </c:pt>
                <c:pt idx="8">
                  <c:v>1.63</c:v>
                </c:pt>
                <c:pt idx="9">
                  <c:v>18.95</c:v>
                </c:pt>
                <c:pt idx="11">
                  <c:v>0.21</c:v>
                </c:pt>
                <c:pt idx="12">
                  <c:v>1.61</c:v>
                </c:pt>
                <c:pt idx="13">
                  <c:v>15.55</c:v>
                </c:pt>
                <c:pt idx="14">
                  <c:v>11.96</c:v>
                </c:pt>
                <c:pt idx="15">
                  <c:v>13.82</c:v>
                </c:pt>
                <c:pt idx="17">
                  <c:v>0.61</c:v>
                </c:pt>
                <c:pt idx="18">
                  <c:v>6.71</c:v>
                </c:pt>
                <c:pt idx="19">
                  <c:v>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58-46BA-8B77-D96F76F9E7E1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'8.58'!$D$3:$D$27</c:f>
              <c:numCache>
                <c:formatCode>General</c:formatCode>
                <c:ptCount val="25"/>
                <c:pt idx="0">
                  <c:v>0</c:v>
                </c:pt>
                <c:pt idx="1">
                  <c:v>2.8800000000000003</c:v>
                </c:pt>
                <c:pt idx="2">
                  <c:v>0.20000000000000018</c:v>
                </c:pt>
                <c:pt idx="3">
                  <c:v>3.0399999999999991</c:v>
                </c:pt>
                <c:pt idx="4">
                  <c:v>0.36000000000000121</c:v>
                </c:pt>
                <c:pt idx="5">
                  <c:v>2.0399999999999991</c:v>
                </c:pt>
                <c:pt idx="6">
                  <c:v>1.3599999999999994</c:v>
                </c:pt>
                <c:pt idx="7">
                  <c:v>1.92</c:v>
                </c:pt>
                <c:pt idx="8">
                  <c:v>0.20000000000000107</c:v>
                </c:pt>
                <c:pt idx="9">
                  <c:v>2.9999999999999982</c:v>
                </c:pt>
                <c:pt idx="12">
                  <c:v>1.1999999999999993</c:v>
                </c:pt>
                <c:pt idx="13">
                  <c:v>2.8000000000000007</c:v>
                </c:pt>
                <c:pt idx="14">
                  <c:v>1.4400000000000013</c:v>
                </c:pt>
                <c:pt idx="15">
                  <c:v>2.2799999999999976</c:v>
                </c:pt>
                <c:pt idx="18">
                  <c:v>2.7999999999999972</c:v>
                </c:pt>
                <c:pt idx="19">
                  <c:v>2</c:v>
                </c:pt>
              </c:numCache>
            </c:numRef>
          </c:xVal>
          <c:yVal>
            <c:numRef>
              <c:f>'8.58'!$F$3:$F$27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15.280000000000003</c:v>
                </c:pt>
                <c:pt idx="2">
                  <c:v>0.82222222222222296</c:v>
                </c:pt>
                <c:pt idx="3">
                  <c:v>17.057777777777773</c:v>
                </c:pt>
                <c:pt idx="4">
                  <c:v>1.9400000000000064</c:v>
                </c:pt>
                <c:pt idx="5">
                  <c:v>11.67333333333333</c:v>
                </c:pt>
                <c:pt idx="6">
                  <c:v>8.3488888888888866</c:v>
                </c:pt>
                <c:pt idx="7">
                  <c:v>10.133333333333333</c:v>
                </c:pt>
                <c:pt idx="8">
                  <c:v>1.4388888888888964</c:v>
                </c:pt>
                <c:pt idx="9">
                  <c:v>25.833333333333318</c:v>
                </c:pt>
                <c:pt idx="11">
                  <c:v>0</c:v>
                </c:pt>
                <c:pt idx="12">
                  <c:v>11.233333333333327</c:v>
                </c:pt>
                <c:pt idx="13">
                  <c:v>18.511111111111116</c:v>
                </c:pt>
                <c:pt idx="14">
                  <c:v>11.760000000000009</c:v>
                </c:pt>
                <c:pt idx="15">
                  <c:v>17.416666666666647</c:v>
                </c:pt>
                <c:pt idx="17">
                  <c:v>0</c:v>
                </c:pt>
                <c:pt idx="18">
                  <c:v>11.588888888888876</c:v>
                </c:pt>
                <c:pt idx="19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58-46BA-8B77-D96F76F9E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'8.58'!$D$35:$D$69</c:f>
              <c:numCache>
                <c:formatCode>General</c:formatCode>
                <c:ptCount val="35"/>
                <c:pt idx="0">
                  <c:v>0</c:v>
                </c:pt>
                <c:pt idx="1">
                  <c:v>1.1600000000000001</c:v>
                </c:pt>
                <c:pt idx="2">
                  <c:v>2.0399999999999996</c:v>
                </c:pt>
                <c:pt idx="3">
                  <c:v>0.96000000000000085</c:v>
                </c:pt>
                <c:pt idx="4">
                  <c:v>0.51999999999999957</c:v>
                </c:pt>
                <c:pt idx="5">
                  <c:v>1.4800000000000004</c:v>
                </c:pt>
                <c:pt idx="6">
                  <c:v>0.11999999999999922</c:v>
                </c:pt>
                <c:pt idx="7">
                  <c:v>1.3200000000000003</c:v>
                </c:pt>
                <c:pt idx="8">
                  <c:v>8.0000000000000071E-2</c:v>
                </c:pt>
                <c:pt idx="9">
                  <c:v>0.48000000000000043</c:v>
                </c:pt>
                <c:pt idx="10">
                  <c:v>0.63999999999999879</c:v>
                </c:pt>
                <c:pt idx="11">
                  <c:v>0.5600000000000005</c:v>
                </c:pt>
                <c:pt idx="12">
                  <c:v>0.4399999999999995</c:v>
                </c:pt>
                <c:pt idx="13">
                  <c:v>1.1600000000000001</c:v>
                </c:pt>
                <c:pt idx="14">
                  <c:v>0.44000000000000128</c:v>
                </c:pt>
                <c:pt idx="15">
                  <c:v>0.59999999999999964</c:v>
                </c:pt>
                <c:pt idx="16">
                  <c:v>0.19999999999999929</c:v>
                </c:pt>
                <c:pt idx="17">
                  <c:v>1.4000000000000004</c:v>
                </c:pt>
                <c:pt idx="18">
                  <c:v>0.75999999999999979</c:v>
                </c:pt>
                <c:pt idx="19">
                  <c:v>0.12000000000000099</c:v>
                </c:pt>
                <c:pt idx="20">
                  <c:v>1.0799999999999983</c:v>
                </c:pt>
                <c:pt idx="21">
                  <c:v>0.32000000000000028</c:v>
                </c:pt>
                <c:pt idx="22">
                  <c:v>0.67999999999999972</c:v>
                </c:pt>
                <c:pt idx="23">
                  <c:v>1</c:v>
                </c:pt>
                <c:pt idx="24">
                  <c:v>0.80000000000000071</c:v>
                </c:pt>
                <c:pt idx="25">
                  <c:v>1.120000000000001</c:v>
                </c:pt>
                <c:pt idx="26">
                  <c:v>1.5999999999999979</c:v>
                </c:pt>
                <c:pt idx="27">
                  <c:v>1.6799999999999997</c:v>
                </c:pt>
                <c:pt idx="28">
                  <c:v>0</c:v>
                </c:pt>
                <c:pt idx="29">
                  <c:v>0.92000000000000171</c:v>
                </c:pt>
                <c:pt idx="30">
                  <c:v>1.879999999999999</c:v>
                </c:pt>
                <c:pt idx="31">
                  <c:v>2.4000000000000021</c:v>
                </c:pt>
                <c:pt idx="32">
                  <c:v>1.1199999999999974</c:v>
                </c:pt>
                <c:pt idx="33">
                  <c:v>0.67999999999999972</c:v>
                </c:pt>
                <c:pt idx="34">
                  <c:v>3.3200000000000003</c:v>
                </c:pt>
              </c:numCache>
            </c:numRef>
          </c:xVal>
          <c:yVal>
            <c:numRef>
              <c:f>'8.58'!$E$35:$E$69</c:f>
              <c:numCache>
                <c:formatCode>0.0</c:formatCode>
                <c:ptCount val="35"/>
                <c:pt idx="0">
                  <c:v>0</c:v>
                </c:pt>
                <c:pt idx="1">
                  <c:v>6.46000003814697</c:v>
                </c:pt>
                <c:pt idx="2">
                  <c:v>12.069999694824199</c:v>
                </c:pt>
                <c:pt idx="3">
                  <c:v>6.5900001525878897</c:v>
                </c:pt>
                <c:pt idx="4">
                  <c:v>0.17000000178813901</c:v>
                </c:pt>
                <c:pt idx="5">
                  <c:v>7.6799998283386204</c:v>
                </c:pt>
                <c:pt idx="6">
                  <c:v>0.56999999284744196</c:v>
                </c:pt>
                <c:pt idx="7">
                  <c:v>6.5500001907348597</c:v>
                </c:pt>
                <c:pt idx="8">
                  <c:v>0.28999999165534901</c:v>
                </c:pt>
                <c:pt idx="9">
                  <c:v>2.1099998950958199</c:v>
                </c:pt>
                <c:pt idx="10">
                  <c:v>3.25</c:v>
                </c:pt>
                <c:pt idx="11">
                  <c:v>5.0500001907348597</c:v>
                </c:pt>
                <c:pt idx="12">
                  <c:v>1.8600000143051101</c:v>
                </c:pt>
                <c:pt idx="13">
                  <c:v>6.6500000953674299</c:v>
                </c:pt>
                <c:pt idx="14">
                  <c:v>1.5900000333786</c:v>
                </c:pt>
                <c:pt idx="15">
                  <c:v>4.9800000190734801</c:v>
                </c:pt>
                <c:pt idx="16">
                  <c:v>-0.92000001668929998</c:v>
                </c:pt>
                <c:pt idx="17">
                  <c:v>8.0900001525878906</c:v>
                </c:pt>
                <c:pt idx="18">
                  <c:v>6.46000003814697</c:v>
                </c:pt>
                <c:pt idx="19">
                  <c:v>-1.9800000190734801</c:v>
                </c:pt>
                <c:pt idx="20">
                  <c:v>5.9000000953674299</c:v>
                </c:pt>
                <c:pt idx="21">
                  <c:v>2.4300000667571999</c:v>
                </c:pt>
                <c:pt idx="22">
                  <c:v>4.0199999809265101</c:v>
                </c:pt>
                <c:pt idx="23">
                  <c:v>5.5199999809265101</c:v>
                </c:pt>
                <c:pt idx="24">
                  <c:v>6.9099998474120996</c:v>
                </c:pt>
                <c:pt idx="25">
                  <c:v>7.8099999427795401</c:v>
                </c:pt>
                <c:pt idx="26">
                  <c:v>15.1300001144409</c:v>
                </c:pt>
                <c:pt idx="27">
                  <c:v>8.7399997711181605</c:v>
                </c:pt>
                <c:pt idx="28">
                  <c:v>1.21000003814697</c:v>
                </c:pt>
                <c:pt idx="29">
                  <c:v>7.9800000190734801</c:v>
                </c:pt>
                <c:pt idx="30">
                  <c:v>12.550000190734799</c:v>
                </c:pt>
                <c:pt idx="31">
                  <c:v>9.0299997329711896</c:v>
                </c:pt>
                <c:pt idx="32">
                  <c:v>8.7299995422363192</c:v>
                </c:pt>
                <c:pt idx="33">
                  <c:v>4.4400000572204501</c:v>
                </c:pt>
                <c:pt idx="34">
                  <c:v>12.449999809265099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2A-4E47-BDA6-F4C6B078BB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'8.58'!$D$35:$D$69</c:f>
              <c:numCache>
                <c:formatCode>General</c:formatCode>
                <c:ptCount val="35"/>
                <c:pt idx="0">
                  <c:v>0</c:v>
                </c:pt>
                <c:pt idx="1">
                  <c:v>1.1600000000000001</c:v>
                </c:pt>
                <c:pt idx="2">
                  <c:v>2.0399999999999996</c:v>
                </c:pt>
                <c:pt idx="3">
                  <c:v>0.96000000000000085</c:v>
                </c:pt>
                <c:pt idx="4">
                  <c:v>0.51999999999999957</c:v>
                </c:pt>
                <c:pt idx="5">
                  <c:v>1.4800000000000004</c:v>
                </c:pt>
                <c:pt idx="6">
                  <c:v>0.11999999999999922</c:v>
                </c:pt>
                <c:pt idx="7">
                  <c:v>1.3200000000000003</c:v>
                </c:pt>
                <c:pt idx="8">
                  <c:v>8.0000000000000071E-2</c:v>
                </c:pt>
                <c:pt idx="9">
                  <c:v>0.48000000000000043</c:v>
                </c:pt>
                <c:pt idx="10">
                  <c:v>0.63999999999999879</c:v>
                </c:pt>
                <c:pt idx="11">
                  <c:v>0.5600000000000005</c:v>
                </c:pt>
                <c:pt idx="12">
                  <c:v>0.4399999999999995</c:v>
                </c:pt>
                <c:pt idx="13">
                  <c:v>1.1600000000000001</c:v>
                </c:pt>
                <c:pt idx="14">
                  <c:v>0.44000000000000128</c:v>
                </c:pt>
                <c:pt idx="15">
                  <c:v>0.59999999999999964</c:v>
                </c:pt>
                <c:pt idx="16">
                  <c:v>0.19999999999999929</c:v>
                </c:pt>
                <c:pt idx="17">
                  <c:v>1.4000000000000004</c:v>
                </c:pt>
                <c:pt idx="18">
                  <c:v>0.75999999999999979</c:v>
                </c:pt>
                <c:pt idx="19">
                  <c:v>0.12000000000000099</c:v>
                </c:pt>
                <c:pt idx="20">
                  <c:v>1.0799999999999983</c:v>
                </c:pt>
                <c:pt idx="21">
                  <c:v>0.32000000000000028</c:v>
                </c:pt>
                <c:pt idx="22">
                  <c:v>0.67999999999999972</c:v>
                </c:pt>
                <c:pt idx="23">
                  <c:v>1</c:v>
                </c:pt>
                <c:pt idx="24">
                  <c:v>0.80000000000000071</c:v>
                </c:pt>
                <c:pt idx="25">
                  <c:v>1.120000000000001</c:v>
                </c:pt>
                <c:pt idx="26">
                  <c:v>1.5999999999999979</c:v>
                </c:pt>
                <c:pt idx="27">
                  <c:v>1.6799999999999997</c:v>
                </c:pt>
                <c:pt idx="28">
                  <c:v>0</c:v>
                </c:pt>
                <c:pt idx="29">
                  <c:v>0.92000000000000171</c:v>
                </c:pt>
                <c:pt idx="30">
                  <c:v>1.879999999999999</c:v>
                </c:pt>
                <c:pt idx="31">
                  <c:v>2.4000000000000021</c:v>
                </c:pt>
                <c:pt idx="32">
                  <c:v>1.1199999999999974</c:v>
                </c:pt>
                <c:pt idx="33">
                  <c:v>0.67999999999999972</c:v>
                </c:pt>
                <c:pt idx="34">
                  <c:v>3.3200000000000003</c:v>
                </c:pt>
              </c:numCache>
            </c:numRef>
          </c:xVal>
          <c:yVal>
            <c:numRef>
              <c:f>'8.58'!$F$35:$F$69</c:f>
              <c:numCache>
                <c:formatCode>0.00</c:formatCode>
                <c:ptCount val="35"/>
                <c:pt idx="0" formatCode="General">
                  <c:v>0</c:v>
                </c:pt>
                <c:pt idx="1">
                  <c:v>7.7655556784735715</c:v>
                </c:pt>
                <c:pt idx="2">
                  <c:v>19.77666753133137</c:v>
                </c:pt>
                <c:pt idx="3">
                  <c:v>6.3466664632161383</c:v>
                </c:pt>
                <c:pt idx="4">
                  <c:v>1.9211111386616915</c:v>
                </c:pt>
                <c:pt idx="5">
                  <c:v>4.3166666666666682</c:v>
                </c:pt>
                <c:pt idx="6">
                  <c:v>0.60666669209797597</c:v>
                </c:pt>
                <c:pt idx="7">
                  <c:v>0</c:v>
                </c:pt>
                <c:pt idx="8">
                  <c:v>0.44444444444444481</c:v>
                </c:pt>
                <c:pt idx="9">
                  <c:v>1.9066666920979749</c:v>
                </c:pt>
                <c:pt idx="10">
                  <c:v>3.4488888210720288</c:v>
                </c:pt>
                <c:pt idx="11">
                  <c:v>2.4422221925523511</c:v>
                </c:pt>
                <c:pt idx="12">
                  <c:v>2.6033332400851696</c:v>
                </c:pt>
                <c:pt idx="13">
                  <c:v>7.25</c:v>
                </c:pt>
                <c:pt idx="14">
                  <c:v>0</c:v>
                </c:pt>
                <c:pt idx="15">
                  <c:v>1.4833332697550439</c:v>
                </c:pt>
                <c:pt idx="16">
                  <c:v>0.99999999999999645</c:v>
                </c:pt>
                <c:pt idx="17">
                  <c:v>8.827778074476436</c:v>
                </c:pt>
                <c:pt idx="18">
                  <c:v>5.0033334943983157</c:v>
                </c:pt>
                <c:pt idx="19">
                  <c:v>0.72333335876465266</c:v>
                </c:pt>
                <c:pt idx="20">
                  <c:v>6.1499999999999897</c:v>
                </c:pt>
                <c:pt idx="21">
                  <c:v>1.9111111111111128</c:v>
                </c:pt>
                <c:pt idx="22">
                  <c:v>4.7222222222222205</c:v>
                </c:pt>
                <c:pt idx="23">
                  <c:v>8.1388886769612494</c:v>
                </c:pt>
                <c:pt idx="24">
                  <c:v>0</c:v>
                </c:pt>
                <c:pt idx="25">
                  <c:v>10.546667141384557</c:v>
                </c:pt>
                <c:pt idx="26">
                  <c:v>7.6888885498046564</c:v>
                </c:pt>
                <c:pt idx="27">
                  <c:v>13.999999999999996</c:v>
                </c:pt>
                <c:pt idx="28">
                  <c:v>0</c:v>
                </c:pt>
                <c:pt idx="29">
                  <c:v>6.3122224171956365</c:v>
                </c:pt>
                <c:pt idx="30">
                  <c:v>8.6688890881008405</c:v>
                </c:pt>
                <c:pt idx="31">
                  <c:v>20.533332824707021</c:v>
                </c:pt>
                <c:pt idx="32">
                  <c:v>8.8044442070854689</c:v>
                </c:pt>
                <c:pt idx="33">
                  <c:v>4.3066665225558705</c:v>
                </c:pt>
                <c:pt idx="34">
                  <c:v>17.983333333333334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2A-4E47-BDA6-F4C6B078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'9.03'!$D$3:$D$27</c:f>
              <c:numCache>
                <c:formatCode>General</c:formatCode>
                <c:ptCount val="25"/>
                <c:pt idx="0">
                  <c:v>0</c:v>
                </c:pt>
                <c:pt idx="1">
                  <c:v>1.2000000000000002</c:v>
                </c:pt>
                <c:pt idx="2">
                  <c:v>2.2000000000000002</c:v>
                </c:pt>
                <c:pt idx="3">
                  <c:v>1.04</c:v>
                </c:pt>
                <c:pt idx="4">
                  <c:v>0.67999999999999972</c:v>
                </c:pt>
                <c:pt idx="5">
                  <c:v>3.4000000000000004</c:v>
                </c:pt>
                <c:pt idx="6">
                  <c:v>0.87999999999999901</c:v>
                </c:pt>
                <c:pt idx="7">
                  <c:v>4.2000000000000011</c:v>
                </c:pt>
                <c:pt idx="8">
                  <c:v>5</c:v>
                </c:pt>
                <c:pt idx="9">
                  <c:v>1.9199999999999982</c:v>
                </c:pt>
                <c:pt idx="10">
                  <c:v>1.120000000000001</c:v>
                </c:pt>
                <c:pt idx="11">
                  <c:v>0.60000000000000142</c:v>
                </c:pt>
                <c:pt idx="12">
                  <c:v>2.1999999999999993</c:v>
                </c:pt>
                <c:pt idx="13">
                  <c:v>2</c:v>
                </c:pt>
                <c:pt idx="14">
                  <c:v>1.3599999999999994</c:v>
                </c:pt>
                <c:pt idx="15">
                  <c:v>2.240000000000002</c:v>
                </c:pt>
                <c:pt idx="16">
                  <c:v>3.7999999999999972</c:v>
                </c:pt>
                <c:pt idx="17">
                  <c:v>0.67999999999999972</c:v>
                </c:pt>
                <c:pt idx="18">
                  <c:v>1.5200000000000031</c:v>
                </c:pt>
                <c:pt idx="19">
                  <c:v>0.35999999999999943</c:v>
                </c:pt>
              </c:numCache>
            </c:numRef>
          </c:xVal>
          <c:yVal>
            <c:numRef>
              <c:f>'9.03'!$E$3:$E$27</c:f>
              <c:numCache>
                <c:formatCode>General</c:formatCode>
                <c:ptCount val="25"/>
                <c:pt idx="0">
                  <c:v>0</c:v>
                </c:pt>
                <c:pt idx="1">
                  <c:v>9.06</c:v>
                </c:pt>
                <c:pt idx="2">
                  <c:v>13.35</c:v>
                </c:pt>
                <c:pt idx="3">
                  <c:v>9.0399999999999991</c:v>
                </c:pt>
                <c:pt idx="4">
                  <c:v>1.89</c:v>
                </c:pt>
                <c:pt idx="5">
                  <c:v>16.25</c:v>
                </c:pt>
                <c:pt idx="6">
                  <c:v>6.1</c:v>
                </c:pt>
                <c:pt idx="7">
                  <c:v>16.38</c:v>
                </c:pt>
                <c:pt idx="8">
                  <c:v>18.579999999999998</c:v>
                </c:pt>
                <c:pt idx="9">
                  <c:v>11.05</c:v>
                </c:pt>
                <c:pt idx="10">
                  <c:v>6.47</c:v>
                </c:pt>
                <c:pt idx="11">
                  <c:v>2.48</c:v>
                </c:pt>
                <c:pt idx="12">
                  <c:v>12.92</c:v>
                </c:pt>
                <c:pt idx="13">
                  <c:v>10.039999999999999</c:v>
                </c:pt>
                <c:pt idx="14">
                  <c:v>6.59</c:v>
                </c:pt>
                <c:pt idx="15">
                  <c:v>9.8000000000000007</c:v>
                </c:pt>
                <c:pt idx="16">
                  <c:v>18.579999999999998</c:v>
                </c:pt>
                <c:pt idx="17">
                  <c:v>3.9</c:v>
                </c:pt>
                <c:pt idx="18">
                  <c:v>8.7899999999999991</c:v>
                </c:pt>
                <c:pt idx="19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5F-4D3D-8BC5-11C78D32EBB3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'9.03'!$D$3:$D$27</c:f>
              <c:numCache>
                <c:formatCode>General</c:formatCode>
                <c:ptCount val="25"/>
                <c:pt idx="0">
                  <c:v>0</c:v>
                </c:pt>
                <c:pt idx="1">
                  <c:v>1.2000000000000002</c:v>
                </c:pt>
                <c:pt idx="2">
                  <c:v>2.2000000000000002</c:v>
                </c:pt>
                <c:pt idx="3">
                  <c:v>1.04</c:v>
                </c:pt>
                <c:pt idx="4">
                  <c:v>0.67999999999999972</c:v>
                </c:pt>
                <c:pt idx="5">
                  <c:v>3.4000000000000004</c:v>
                </c:pt>
                <c:pt idx="6">
                  <c:v>0.87999999999999901</c:v>
                </c:pt>
                <c:pt idx="7">
                  <c:v>4.2000000000000011</c:v>
                </c:pt>
                <c:pt idx="8">
                  <c:v>5</c:v>
                </c:pt>
                <c:pt idx="9">
                  <c:v>1.9199999999999982</c:v>
                </c:pt>
                <c:pt idx="10">
                  <c:v>1.120000000000001</c:v>
                </c:pt>
                <c:pt idx="11">
                  <c:v>0.60000000000000142</c:v>
                </c:pt>
                <c:pt idx="12">
                  <c:v>2.1999999999999993</c:v>
                </c:pt>
                <c:pt idx="13">
                  <c:v>2</c:v>
                </c:pt>
                <c:pt idx="14">
                  <c:v>1.3599999999999994</c:v>
                </c:pt>
                <c:pt idx="15">
                  <c:v>2.240000000000002</c:v>
                </c:pt>
                <c:pt idx="16">
                  <c:v>3.7999999999999972</c:v>
                </c:pt>
                <c:pt idx="17">
                  <c:v>0.67999999999999972</c:v>
                </c:pt>
                <c:pt idx="18">
                  <c:v>1.5200000000000031</c:v>
                </c:pt>
                <c:pt idx="19">
                  <c:v>0.35999999999999943</c:v>
                </c:pt>
              </c:numCache>
            </c:numRef>
          </c:xVal>
          <c:yVal>
            <c:numRef>
              <c:f>'9.03'!$F$3:$F$27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11.300000000000002</c:v>
                </c:pt>
                <c:pt idx="2">
                  <c:v>12.405555555555557</c:v>
                </c:pt>
                <c:pt idx="3">
                  <c:v>5.7200000000000006</c:v>
                </c:pt>
                <c:pt idx="4">
                  <c:v>4.0988888888888866</c:v>
                </c:pt>
                <c:pt idx="5">
                  <c:v>20.211111111111112</c:v>
                </c:pt>
                <c:pt idx="6">
                  <c:v>5.3533333333333273</c:v>
                </c:pt>
                <c:pt idx="7">
                  <c:v>27.300000000000004</c:v>
                </c:pt>
                <c:pt idx="8">
                  <c:v>25</c:v>
                </c:pt>
                <c:pt idx="9">
                  <c:v>9.2266666666666595</c:v>
                </c:pt>
                <c:pt idx="10">
                  <c:v>7.093333333333339</c:v>
                </c:pt>
                <c:pt idx="11">
                  <c:v>3.4000000000000079</c:v>
                </c:pt>
                <c:pt idx="12">
                  <c:v>11.061111111111108</c:v>
                </c:pt>
                <c:pt idx="13">
                  <c:v>9.3333333333333339</c:v>
                </c:pt>
                <c:pt idx="14">
                  <c:v>6.8377777777777755</c:v>
                </c:pt>
                <c:pt idx="15">
                  <c:v>11.635555555555564</c:v>
                </c:pt>
                <c:pt idx="16">
                  <c:v>23.53888888888887</c:v>
                </c:pt>
                <c:pt idx="17">
                  <c:v>3.9855555555555542</c:v>
                </c:pt>
                <c:pt idx="18">
                  <c:v>7.1777777777777922</c:v>
                </c:pt>
                <c:pt idx="19">
                  <c:v>2.3899999999999961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5F-4D3D-8BC5-11C78D32E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'9.03'!$D$35:$D$56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0.99999999999999989</c:v>
                </c:pt>
                <c:pt idx="2">
                  <c:v>0.12000000000000011</c:v>
                </c:pt>
                <c:pt idx="3">
                  <c:v>0.2799999999999998</c:v>
                </c:pt>
                <c:pt idx="6">
                  <c:v>0.20000000000000018</c:v>
                </c:pt>
                <c:pt idx="7">
                  <c:v>0.48</c:v>
                </c:pt>
                <c:pt idx="8">
                  <c:v>1.0000000000000004</c:v>
                </c:pt>
                <c:pt idx="11">
                  <c:v>0.83999999999999986</c:v>
                </c:pt>
                <c:pt idx="12">
                  <c:v>2.7999999999999989</c:v>
                </c:pt>
                <c:pt idx="13">
                  <c:v>1.2000000000000011</c:v>
                </c:pt>
                <c:pt idx="14">
                  <c:v>1.1600000000000001</c:v>
                </c:pt>
                <c:pt idx="15">
                  <c:v>1.4000000000000004</c:v>
                </c:pt>
                <c:pt idx="16">
                  <c:v>1.7999999999999989</c:v>
                </c:pt>
                <c:pt idx="17">
                  <c:v>0.92000000000000171</c:v>
                </c:pt>
                <c:pt idx="18">
                  <c:v>2.1999999999999993</c:v>
                </c:pt>
                <c:pt idx="19">
                  <c:v>1.120000000000001</c:v>
                </c:pt>
                <c:pt idx="20">
                  <c:v>2.1599999999999966</c:v>
                </c:pt>
                <c:pt idx="21">
                  <c:v>1.7200000000000024</c:v>
                </c:pt>
              </c:numCache>
            </c:numRef>
          </c:xVal>
          <c:yVal>
            <c:numRef>
              <c:f>'9.03'!$E$35:$E$55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5.4499998092651296</c:v>
                </c:pt>
                <c:pt idx="2">
                  <c:v>-1.5900000333786</c:v>
                </c:pt>
                <c:pt idx="3">
                  <c:v>-0.140000000596046</c:v>
                </c:pt>
                <c:pt idx="5">
                  <c:v>3.17000007629394</c:v>
                </c:pt>
                <c:pt idx="6">
                  <c:v>1.7699999809265099</c:v>
                </c:pt>
                <c:pt idx="7">
                  <c:v>3.1900000572204501</c:v>
                </c:pt>
                <c:pt idx="8">
                  <c:v>7.21000003814697</c:v>
                </c:pt>
                <c:pt idx="10">
                  <c:v>-0.94999998807907104</c:v>
                </c:pt>
                <c:pt idx="11">
                  <c:v>2.9900000095367401</c:v>
                </c:pt>
                <c:pt idx="12">
                  <c:v>16.309999465942301</c:v>
                </c:pt>
                <c:pt idx="13">
                  <c:v>8.6999998092651296</c:v>
                </c:pt>
                <c:pt idx="14">
                  <c:v>8.9499998092651296</c:v>
                </c:pt>
                <c:pt idx="15">
                  <c:v>9.8900003433227504</c:v>
                </c:pt>
                <c:pt idx="16">
                  <c:v>14.789999961853001</c:v>
                </c:pt>
                <c:pt idx="17">
                  <c:v>6.0700001716613698</c:v>
                </c:pt>
                <c:pt idx="18">
                  <c:v>12.550000190734799</c:v>
                </c:pt>
                <c:pt idx="19">
                  <c:v>1.9900000095367401</c:v>
                </c:pt>
                <c:pt idx="20">
                  <c:v>10.7200002670288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5-4962-8C6B-48DA53DC3ACF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'9.03'!$D$35:$D$56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0.99999999999999989</c:v>
                </c:pt>
                <c:pt idx="2">
                  <c:v>0.12000000000000011</c:v>
                </c:pt>
                <c:pt idx="3">
                  <c:v>0.2799999999999998</c:v>
                </c:pt>
                <c:pt idx="6">
                  <c:v>0.20000000000000018</c:v>
                </c:pt>
                <c:pt idx="7">
                  <c:v>0.48</c:v>
                </c:pt>
                <c:pt idx="8">
                  <c:v>1.0000000000000004</c:v>
                </c:pt>
                <c:pt idx="11">
                  <c:v>0.83999999999999986</c:v>
                </c:pt>
                <c:pt idx="12">
                  <c:v>2.7999999999999989</c:v>
                </c:pt>
                <c:pt idx="13">
                  <c:v>1.2000000000000011</c:v>
                </c:pt>
                <c:pt idx="14">
                  <c:v>1.1600000000000001</c:v>
                </c:pt>
                <c:pt idx="15">
                  <c:v>1.4000000000000004</c:v>
                </c:pt>
                <c:pt idx="16">
                  <c:v>1.7999999999999989</c:v>
                </c:pt>
                <c:pt idx="17">
                  <c:v>0.92000000000000171</c:v>
                </c:pt>
                <c:pt idx="18">
                  <c:v>2.1999999999999993</c:v>
                </c:pt>
                <c:pt idx="19">
                  <c:v>1.120000000000001</c:v>
                </c:pt>
                <c:pt idx="20">
                  <c:v>2.1599999999999966</c:v>
                </c:pt>
                <c:pt idx="21">
                  <c:v>1.7200000000000024</c:v>
                </c:pt>
              </c:numCache>
            </c:numRef>
          </c:xVal>
          <c:yVal>
            <c:numRef>
              <c:f>'9.03'!$F$35:$F$56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1.9444444444444442</c:v>
                </c:pt>
                <c:pt idx="2">
                  <c:v>0.72666664123535063</c:v>
                </c:pt>
                <c:pt idx="3">
                  <c:v>2.1777777777777763</c:v>
                </c:pt>
                <c:pt idx="4">
                  <c:v>0</c:v>
                </c:pt>
                <c:pt idx="5">
                  <c:v>0</c:v>
                </c:pt>
                <c:pt idx="6">
                  <c:v>1.1944444444444455</c:v>
                </c:pt>
                <c:pt idx="7">
                  <c:v>2.9733332316080667</c:v>
                </c:pt>
                <c:pt idx="8">
                  <c:v>5.7777775658501422</c:v>
                </c:pt>
                <c:pt idx="9">
                  <c:v>0</c:v>
                </c:pt>
                <c:pt idx="10">
                  <c:v>0</c:v>
                </c:pt>
                <c:pt idx="11">
                  <c:v>6.5800001780191923</c:v>
                </c:pt>
                <c:pt idx="12">
                  <c:v>20.999999999999989</c:v>
                </c:pt>
                <c:pt idx="13">
                  <c:v>8.7666664123535085</c:v>
                </c:pt>
                <c:pt idx="14">
                  <c:v>12.083333333333336</c:v>
                </c:pt>
                <c:pt idx="15">
                  <c:v>10.694444444444446</c:v>
                </c:pt>
                <c:pt idx="16">
                  <c:v>10.800000190734844</c:v>
                </c:pt>
                <c:pt idx="17">
                  <c:v>6.1333333333333444</c:v>
                </c:pt>
                <c:pt idx="18">
                  <c:v>4.3388888306087852</c:v>
                </c:pt>
                <c:pt idx="19">
                  <c:v>5.0711108737521595</c:v>
                </c:pt>
                <c:pt idx="20">
                  <c:v>10.260000228881804</c:v>
                </c:pt>
                <c:pt idx="21">
                  <c:v>9.2688887066311079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25-4962-8C6B-48DA53DC3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'12.07'!$D$3:$D$27</c:f>
              <c:numCache>
                <c:formatCode>General</c:formatCode>
                <c:ptCount val="25"/>
                <c:pt idx="0">
                  <c:v>0</c:v>
                </c:pt>
                <c:pt idx="1">
                  <c:v>2.9600000000000004</c:v>
                </c:pt>
                <c:pt idx="2">
                  <c:v>1.4399999999999995</c:v>
                </c:pt>
                <c:pt idx="3">
                  <c:v>2.1999999999999993</c:v>
                </c:pt>
                <c:pt idx="4">
                  <c:v>0.40000000000000036</c:v>
                </c:pt>
                <c:pt idx="5">
                  <c:v>2.08</c:v>
                </c:pt>
                <c:pt idx="6">
                  <c:v>0.67999999999999972</c:v>
                </c:pt>
                <c:pt idx="7">
                  <c:v>5.1999999999999993</c:v>
                </c:pt>
                <c:pt idx="8">
                  <c:v>2.0400000000000027</c:v>
                </c:pt>
                <c:pt idx="9">
                  <c:v>0.87999999999999901</c:v>
                </c:pt>
                <c:pt idx="10">
                  <c:v>1.879999999999999</c:v>
                </c:pt>
                <c:pt idx="11">
                  <c:v>2.120000000000001</c:v>
                </c:pt>
                <c:pt idx="12">
                  <c:v>2.1999999999999993</c:v>
                </c:pt>
                <c:pt idx="13">
                  <c:v>5.120000000000001</c:v>
                </c:pt>
                <c:pt idx="14">
                  <c:v>4.6000000000000014</c:v>
                </c:pt>
              </c:numCache>
            </c:numRef>
          </c:xVal>
          <c:yVal>
            <c:numRef>
              <c:f>'12.07'!$E$3:$E$27</c:f>
              <c:numCache>
                <c:formatCode>General</c:formatCode>
                <c:ptCount val="25"/>
                <c:pt idx="0">
                  <c:v>0</c:v>
                </c:pt>
                <c:pt idx="1">
                  <c:v>17.739999999999998</c:v>
                </c:pt>
                <c:pt idx="2">
                  <c:v>7.73</c:v>
                </c:pt>
                <c:pt idx="3">
                  <c:v>11.79</c:v>
                </c:pt>
                <c:pt idx="4">
                  <c:v>3.04</c:v>
                </c:pt>
                <c:pt idx="5">
                  <c:v>9.49</c:v>
                </c:pt>
                <c:pt idx="6">
                  <c:v>4.62</c:v>
                </c:pt>
                <c:pt idx="7">
                  <c:v>18.010000000000002</c:v>
                </c:pt>
                <c:pt idx="8">
                  <c:v>9.99</c:v>
                </c:pt>
                <c:pt idx="9">
                  <c:v>4.16</c:v>
                </c:pt>
                <c:pt idx="10">
                  <c:v>8.82</c:v>
                </c:pt>
                <c:pt idx="11">
                  <c:v>9.2100000000000009</c:v>
                </c:pt>
                <c:pt idx="12">
                  <c:v>12.6</c:v>
                </c:pt>
                <c:pt idx="13">
                  <c:v>17.170000000000002</c:v>
                </c:pt>
                <c:pt idx="14">
                  <c:v>12.96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F-430D-AE9E-EDF8DEE18244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'12.07'!$D$3:$D$27</c:f>
              <c:numCache>
                <c:formatCode>General</c:formatCode>
                <c:ptCount val="25"/>
                <c:pt idx="0">
                  <c:v>0</c:v>
                </c:pt>
                <c:pt idx="1">
                  <c:v>2.9600000000000004</c:v>
                </c:pt>
                <c:pt idx="2">
                  <c:v>1.4399999999999995</c:v>
                </c:pt>
                <c:pt idx="3">
                  <c:v>2.1999999999999993</c:v>
                </c:pt>
                <c:pt idx="4">
                  <c:v>0.40000000000000036</c:v>
                </c:pt>
                <c:pt idx="5">
                  <c:v>2.08</c:v>
                </c:pt>
                <c:pt idx="6">
                  <c:v>0.67999999999999972</c:v>
                </c:pt>
                <c:pt idx="7">
                  <c:v>5.1999999999999993</c:v>
                </c:pt>
                <c:pt idx="8">
                  <c:v>2.0400000000000027</c:v>
                </c:pt>
                <c:pt idx="9">
                  <c:v>0.87999999999999901</c:v>
                </c:pt>
                <c:pt idx="10">
                  <c:v>1.879999999999999</c:v>
                </c:pt>
                <c:pt idx="11">
                  <c:v>2.120000000000001</c:v>
                </c:pt>
                <c:pt idx="12">
                  <c:v>2.1999999999999993</c:v>
                </c:pt>
                <c:pt idx="13">
                  <c:v>5.120000000000001</c:v>
                </c:pt>
                <c:pt idx="14">
                  <c:v>4.6000000000000014</c:v>
                </c:pt>
              </c:numCache>
            </c:numRef>
          </c:xVal>
          <c:yVal>
            <c:numRef>
              <c:f>'12.07'!$F$3:$F$27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17.595555555555556</c:v>
                </c:pt>
                <c:pt idx="2">
                  <c:v>8.2399999999999967</c:v>
                </c:pt>
                <c:pt idx="3">
                  <c:v>12.89444444444444</c:v>
                </c:pt>
                <c:pt idx="4">
                  <c:v>2.1222222222222245</c:v>
                </c:pt>
                <c:pt idx="5">
                  <c:v>9.8800000000000008</c:v>
                </c:pt>
                <c:pt idx="6">
                  <c:v>2.4933333333333318</c:v>
                </c:pt>
                <c:pt idx="7">
                  <c:v>24.844444444444438</c:v>
                </c:pt>
                <c:pt idx="8">
                  <c:v>8.1600000000000108</c:v>
                </c:pt>
                <c:pt idx="9">
                  <c:v>4.4244444444444397</c:v>
                </c:pt>
                <c:pt idx="10">
                  <c:v>10.96666666666666</c:v>
                </c:pt>
                <c:pt idx="11">
                  <c:v>12.425555555555562</c:v>
                </c:pt>
                <c:pt idx="12">
                  <c:v>13.749999999999996</c:v>
                </c:pt>
                <c:pt idx="13">
                  <c:v>27.164444444444452</c:v>
                </c:pt>
                <c:pt idx="14">
                  <c:v>23.000000000000007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5F-430D-AE9E-EDF8DEE1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'12.07'!$D$35:$D$56</c:f>
              <c:numCache>
                <c:formatCode>General</c:formatCode>
                <c:ptCount val="22"/>
                <c:pt idx="0">
                  <c:v>0</c:v>
                </c:pt>
                <c:pt idx="1">
                  <c:v>4.12</c:v>
                </c:pt>
                <c:pt idx="2">
                  <c:v>0.35999999999999943</c:v>
                </c:pt>
                <c:pt idx="3">
                  <c:v>2.4400000000000004</c:v>
                </c:pt>
                <c:pt idx="4">
                  <c:v>1.96</c:v>
                </c:pt>
                <c:pt idx="5">
                  <c:v>2.1999999999999993</c:v>
                </c:pt>
                <c:pt idx="6">
                  <c:v>3.4000000000000004</c:v>
                </c:pt>
                <c:pt idx="9">
                  <c:v>2.5199999999999996</c:v>
                </c:pt>
                <c:pt idx="10">
                  <c:v>1.3599999999999994</c:v>
                </c:pt>
                <c:pt idx="13">
                  <c:v>0.64000000000000057</c:v>
                </c:pt>
                <c:pt idx="14">
                  <c:v>6.8000000000000007</c:v>
                </c:pt>
                <c:pt idx="15">
                  <c:v>1.8000000000000007</c:v>
                </c:pt>
                <c:pt idx="16">
                  <c:v>3</c:v>
                </c:pt>
              </c:numCache>
            </c:numRef>
          </c:xVal>
          <c:yVal>
            <c:numRef>
              <c:f>'12.07'!$E$35:$E$55</c:f>
              <c:numCache>
                <c:formatCode>General</c:formatCode>
                <c:ptCount val="21"/>
                <c:pt idx="0">
                  <c:v>0</c:v>
                </c:pt>
                <c:pt idx="1">
                  <c:v>10.19</c:v>
                </c:pt>
                <c:pt idx="2">
                  <c:v>0.5</c:v>
                </c:pt>
                <c:pt idx="3">
                  <c:v>12.37</c:v>
                </c:pt>
                <c:pt idx="4">
                  <c:v>6.99</c:v>
                </c:pt>
                <c:pt idx="5">
                  <c:v>8.2200000000000006</c:v>
                </c:pt>
                <c:pt idx="6">
                  <c:v>12.2</c:v>
                </c:pt>
                <c:pt idx="8">
                  <c:v>2.46</c:v>
                </c:pt>
                <c:pt idx="9">
                  <c:v>10.93</c:v>
                </c:pt>
                <c:pt idx="10">
                  <c:v>1.94</c:v>
                </c:pt>
                <c:pt idx="12">
                  <c:v>7.02</c:v>
                </c:pt>
                <c:pt idx="13">
                  <c:v>4.21</c:v>
                </c:pt>
                <c:pt idx="14">
                  <c:v>12.09</c:v>
                </c:pt>
                <c:pt idx="15">
                  <c:v>7.5</c:v>
                </c:pt>
                <c:pt idx="16">
                  <c:v>5.95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6C-4559-BBA9-B7800A529234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'12.07'!$D$35:$D$56</c:f>
              <c:numCache>
                <c:formatCode>General</c:formatCode>
                <c:ptCount val="22"/>
                <c:pt idx="0">
                  <c:v>0</c:v>
                </c:pt>
                <c:pt idx="1">
                  <c:v>4.12</c:v>
                </c:pt>
                <c:pt idx="2">
                  <c:v>0.35999999999999943</c:v>
                </c:pt>
                <c:pt idx="3">
                  <c:v>2.4400000000000004</c:v>
                </c:pt>
                <c:pt idx="4">
                  <c:v>1.96</c:v>
                </c:pt>
                <c:pt idx="5">
                  <c:v>2.1999999999999993</c:v>
                </c:pt>
                <c:pt idx="6">
                  <c:v>3.4000000000000004</c:v>
                </c:pt>
                <c:pt idx="9">
                  <c:v>2.5199999999999996</c:v>
                </c:pt>
                <c:pt idx="10">
                  <c:v>1.3599999999999994</c:v>
                </c:pt>
                <c:pt idx="13">
                  <c:v>0.64000000000000057</c:v>
                </c:pt>
                <c:pt idx="14">
                  <c:v>6.8000000000000007</c:v>
                </c:pt>
                <c:pt idx="15">
                  <c:v>1.8000000000000007</c:v>
                </c:pt>
                <c:pt idx="16">
                  <c:v>3</c:v>
                </c:pt>
              </c:numCache>
            </c:numRef>
          </c:xVal>
          <c:yVal>
            <c:numRef>
              <c:f>'12.07'!$F$35:$F$56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12.703333333333333</c:v>
                </c:pt>
                <c:pt idx="2">
                  <c:v>1.7699999999999971</c:v>
                </c:pt>
                <c:pt idx="3">
                  <c:v>12.403333333333336</c:v>
                </c:pt>
                <c:pt idx="4">
                  <c:v>9.8544444444444448</c:v>
                </c:pt>
                <c:pt idx="5">
                  <c:v>11.24444444444444</c:v>
                </c:pt>
                <c:pt idx="6">
                  <c:v>18.133333333333333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6.2711111111111091</c:v>
                </c:pt>
                <c:pt idx="11">
                  <c:v>0</c:v>
                </c:pt>
                <c:pt idx="12">
                  <c:v>0</c:v>
                </c:pt>
                <c:pt idx="13">
                  <c:v>3.7688888888888923</c:v>
                </c:pt>
                <c:pt idx="14">
                  <c:v>23.422222222222224</c:v>
                </c:pt>
                <c:pt idx="15">
                  <c:v>7.8500000000000023</c:v>
                </c:pt>
                <c:pt idx="16">
                  <c:v>15.666666666666668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6C-4559-BBA9-B7800A529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'12.16'!$D$3:$D$27</c:f>
              <c:numCache>
                <c:formatCode>General</c:formatCode>
                <c:ptCount val="25"/>
                <c:pt idx="0">
                  <c:v>0</c:v>
                </c:pt>
                <c:pt idx="1">
                  <c:v>1.8000000000000003</c:v>
                </c:pt>
                <c:pt idx="2">
                  <c:v>3.8399999999999994</c:v>
                </c:pt>
                <c:pt idx="3">
                  <c:v>0.96000000000000085</c:v>
                </c:pt>
                <c:pt idx="4">
                  <c:v>1.6399999999999988</c:v>
                </c:pt>
                <c:pt idx="5">
                  <c:v>2.2800000000000011</c:v>
                </c:pt>
                <c:pt idx="6">
                  <c:v>2.08</c:v>
                </c:pt>
                <c:pt idx="7">
                  <c:v>3.0399999999999991</c:v>
                </c:pt>
                <c:pt idx="8">
                  <c:v>3.879999999999999</c:v>
                </c:pt>
                <c:pt idx="9">
                  <c:v>2.0800000000000018</c:v>
                </c:pt>
                <c:pt idx="10">
                  <c:v>3.120000000000001</c:v>
                </c:pt>
                <c:pt idx="11">
                  <c:v>1.3200000000000003</c:v>
                </c:pt>
                <c:pt idx="12">
                  <c:v>1.879999999999999</c:v>
                </c:pt>
                <c:pt idx="13">
                  <c:v>1</c:v>
                </c:pt>
                <c:pt idx="14">
                  <c:v>0.87999999999999901</c:v>
                </c:pt>
                <c:pt idx="15">
                  <c:v>1.3200000000000003</c:v>
                </c:pt>
                <c:pt idx="16">
                  <c:v>1.1199999999999974</c:v>
                </c:pt>
                <c:pt idx="17">
                  <c:v>1.1600000000000037</c:v>
                </c:pt>
                <c:pt idx="18">
                  <c:v>1.6400000000000006</c:v>
                </c:pt>
                <c:pt idx="19">
                  <c:v>1.1599999999999966</c:v>
                </c:pt>
                <c:pt idx="20">
                  <c:v>0.64000000000000057</c:v>
                </c:pt>
              </c:numCache>
            </c:numRef>
          </c:xVal>
          <c:yVal>
            <c:numRef>
              <c:f>'12.16'!$E$3:$E$27</c:f>
              <c:numCache>
                <c:formatCode>General</c:formatCode>
                <c:ptCount val="25"/>
                <c:pt idx="0">
                  <c:v>0</c:v>
                </c:pt>
                <c:pt idx="1">
                  <c:v>12.88</c:v>
                </c:pt>
                <c:pt idx="2">
                  <c:v>17.489999999999998</c:v>
                </c:pt>
                <c:pt idx="3">
                  <c:v>5.27</c:v>
                </c:pt>
                <c:pt idx="4">
                  <c:v>7</c:v>
                </c:pt>
                <c:pt idx="5">
                  <c:v>14.07</c:v>
                </c:pt>
                <c:pt idx="6">
                  <c:v>13.23</c:v>
                </c:pt>
                <c:pt idx="7">
                  <c:v>17.82</c:v>
                </c:pt>
                <c:pt idx="8">
                  <c:v>16</c:v>
                </c:pt>
                <c:pt idx="9">
                  <c:v>9.6300000000000008</c:v>
                </c:pt>
                <c:pt idx="10">
                  <c:v>14.21</c:v>
                </c:pt>
                <c:pt idx="11">
                  <c:v>8.1300000000000008</c:v>
                </c:pt>
                <c:pt idx="12">
                  <c:v>10.38</c:v>
                </c:pt>
                <c:pt idx="13">
                  <c:v>4.72</c:v>
                </c:pt>
                <c:pt idx="14">
                  <c:v>5.84</c:v>
                </c:pt>
                <c:pt idx="15">
                  <c:v>7.06</c:v>
                </c:pt>
                <c:pt idx="16">
                  <c:v>6.54</c:v>
                </c:pt>
                <c:pt idx="17">
                  <c:v>7.74</c:v>
                </c:pt>
                <c:pt idx="18">
                  <c:v>8.01</c:v>
                </c:pt>
                <c:pt idx="19">
                  <c:v>7.64</c:v>
                </c:pt>
                <c:pt idx="20">
                  <c:v>3.43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49-4C26-8DF7-D7F96AA869AD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'12.16'!$D$3:$D$27</c:f>
              <c:numCache>
                <c:formatCode>General</c:formatCode>
                <c:ptCount val="25"/>
                <c:pt idx="0">
                  <c:v>0</c:v>
                </c:pt>
                <c:pt idx="1">
                  <c:v>1.8000000000000003</c:v>
                </c:pt>
                <c:pt idx="2">
                  <c:v>3.8399999999999994</c:v>
                </c:pt>
                <c:pt idx="3">
                  <c:v>0.96000000000000085</c:v>
                </c:pt>
                <c:pt idx="4">
                  <c:v>1.6399999999999988</c:v>
                </c:pt>
                <c:pt idx="5">
                  <c:v>2.2800000000000011</c:v>
                </c:pt>
                <c:pt idx="6">
                  <c:v>2.08</c:v>
                </c:pt>
                <c:pt idx="7">
                  <c:v>3.0399999999999991</c:v>
                </c:pt>
                <c:pt idx="8">
                  <c:v>3.879999999999999</c:v>
                </c:pt>
                <c:pt idx="9">
                  <c:v>2.0800000000000018</c:v>
                </c:pt>
                <c:pt idx="10">
                  <c:v>3.120000000000001</c:v>
                </c:pt>
                <c:pt idx="11">
                  <c:v>1.3200000000000003</c:v>
                </c:pt>
                <c:pt idx="12">
                  <c:v>1.879999999999999</c:v>
                </c:pt>
                <c:pt idx="13">
                  <c:v>1</c:v>
                </c:pt>
                <c:pt idx="14">
                  <c:v>0.87999999999999901</c:v>
                </c:pt>
                <c:pt idx="15">
                  <c:v>1.3200000000000003</c:v>
                </c:pt>
                <c:pt idx="16">
                  <c:v>1.1199999999999974</c:v>
                </c:pt>
                <c:pt idx="17">
                  <c:v>1.1600000000000037</c:v>
                </c:pt>
                <c:pt idx="18">
                  <c:v>1.6400000000000006</c:v>
                </c:pt>
                <c:pt idx="19">
                  <c:v>1.1599999999999966</c:v>
                </c:pt>
                <c:pt idx="20">
                  <c:v>0.64000000000000057</c:v>
                </c:pt>
              </c:numCache>
            </c:numRef>
          </c:xVal>
          <c:yVal>
            <c:numRef>
              <c:f>'12.16'!$F$3:$F$27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15.200000000000001</c:v>
                </c:pt>
                <c:pt idx="2">
                  <c:v>18.45333333333333</c:v>
                </c:pt>
                <c:pt idx="3">
                  <c:v>3.9466666666666699</c:v>
                </c:pt>
                <c:pt idx="4">
                  <c:v>6.3777777777777729</c:v>
                </c:pt>
                <c:pt idx="5">
                  <c:v>10.133333333333338</c:v>
                </c:pt>
                <c:pt idx="6">
                  <c:v>11.208888888888888</c:v>
                </c:pt>
                <c:pt idx="7">
                  <c:v>12.159999999999997</c:v>
                </c:pt>
                <c:pt idx="8">
                  <c:v>17.675555555555547</c:v>
                </c:pt>
                <c:pt idx="9">
                  <c:v>10.862222222222231</c:v>
                </c:pt>
                <c:pt idx="10">
                  <c:v>17.420000000000005</c:v>
                </c:pt>
                <c:pt idx="11">
                  <c:v>5.7200000000000006</c:v>
                </c:pt>
                <c:pt idx="12">
                  <c:v>8.9299999999999962</c:v>
                </c:pt>
                <c:pt idx="13">
                  <c:v>5.5555555555555554</c:v>
                </c:pt>
                <c:pt idx="14">
                  <c:v>4.5711111111111062</c:v>
                </c:pt>
                <c:pt idx="15">
                  <c:v>7.5533333333333355</c:v>
                </c:pt>
                <c:pt idx="16">
                  <c:v>7.5599999999999827</c:v>
                </c:pt>
                <c:pt idx="17">
                  <c:v>7.5722222222222459</c:v>
                </c:pt>
                <c:pt idx="18">
                  <c:v>9.7488888888888923</c:v>
                </c:pt>
                <c:pt idx="19">
                  <c:v>5.3488888888888733</c:v>
                </c:pt>
                <c:pt idx="20">
                  <c:v>2.7911111111111135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49-4C26-8DF7-D7F96AA86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'12.16'!$D$35:$D$56</c:f>
              <c:numCache>
                <c:formatCode>General</c:formatCode>
                <c:ptCount val="22"/>
                <c:pt idx="0">
                  <c:v>0</c:v>
                </c:pt>
                <c:pt idx="1">
                  <c:v>2.48</c:v>
                </c:pt>
                <c:pt idx="2">
                  <c:v>0.91999999999999993</c:v>
                </c:pt>
                <c:pt idx="3">
                  <c:v>1.4799999999999995</c:v>
                </c:pt>
                <c:pt idx="4">
                  <c:v>3.92</c:v>
                </c:pt>
                <c:pt idx="5">
                  <c:v>2.5600000000000005</c:v>
                </c:pt>
                <c:pt idx="6">
                  <c:v>1.7999999999999989</c:v>
                </c:pt>
                <c:pt idx="7">
                  <c:v>2.9200000000000017</c:v>
                </c:pt>
                <c:pt idx="8">
                  <c:v>2.5199999999999996</c:v>
                </c:pt>
                <c:pt idx="9">
                  <c:v>4.5599999999999987</c:v>
                </c:pt>
                <c:pt idx="10">
                  <c:v>0.60000000000000142</c:v>
                </c:pt>
                <c:pt idx="11">
                  <c:v>1.5199999999999996</c:v>
                </c:pt>
                <c:pt idx="12">
                  <c:v>5.3999999999999986</c:v>
                </c:pt>
                <c:pt idx="13">
                  <c:v>2.2000000000000028</c:v>
                </c:pt>
              </c:numCache>
            </c:numRef>
          </c:xVal>
          <c:yVal>
            <c:numRef>
              <c:f>'12.16'!$E$35:$E$55</c:f>
              <c:numCache>
                <c:formatCode>General</c:formatCode>
                <c:ptCount val="21"/>
                <c:pt idx="0">
                  <c:v>0</c:v>
                </c:pt>
                <c:pt idx="1">
                  <c:v>9.77</c:v>
                </c:pt>
                <c:pt idx="2">
                  <c:v>4.01</c:v>
                </c:pt>
                <c:pt idx="3">
                  <c:v>8.3699999999999992</c:v>
                </c:pt>
                <c:pt idx="4">
                  <c:v>12.76</c:v>
                </c:pt>
                <c:pt idx="5">
                  <c:v>10.02</c:v>
                </c:pt>
                <c:pt idx="6">
                  <c:v>7.94</c:v>
                </c:pt>
                <c:pt idx="7">
                  <c:v>14.54</c:v>
                </c:pt>
                <c:pt idx="8">
                  <c:v>12.67</c:v>
                </c:pt>
                <c:pt idx="9">
                  <c:v>8.75</c:v>
                </c:pt>
                <c:pt idx="10">
                  <c:v>4.9800000000000004</c:v>
                </c:pt>
                <c:pt idx="11">
                  <c:v>8.52</c:v>
                </c:pt>
                <c:pt idx="12">
                  <c:v>11.95</c:v>
                </c:pt>
                <c:pt idx="13">
                  <c:v>6.93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BB-4A0B-ACCF-B227A3F963FD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'12.16'!$D$35:$D$56</c:f>
              <c:numCache>
                <c:formatCode>General</c:formatCode>
                <c:ptCount val="22"/>
                <c:pt idx="0">
                  <c:v>0</c:v>
                </c:pt>
                <c:pt idx="1">
                  <c:v>2.48</c:v>
                </c:pt>
                <c:pt idx="2">
                  <c:v>0.91999999999999993</c:v>
                </c:pt>
                <c:pt idx="3">
                  <c:v>1.4799999999999995</c:v>
                </c:pt>
                <c:pt idx="4">
                  <c:v>3.92</c:v>
                </c:pt>
                <c:pt idx="5">
                  <c:v>2.5600000000000005</c:v>
                </c:pt>
                <c:pt idx="6">
                  <c:v>1.7999999999999989</c:v>
                </c:pt>
                <c:pt idx="7">
                  <c:v>2.9200000000000017</c:v>
                </c:pt>
                <c:pt idx="8">
                  <c:v>2.5199999999999996</c:v>
                </c:pt>
                <c:pt idx="9">
                  <c:v>4.5599999999999987</c:v>
                </c:pt>
                <c:pt idx="10">
                  <c:v>0.60000000000000142</c:v>
                </c:pt>
                <c:pt idx="11">
                  <c:v>1.5199999999999996</c:v>
                </c:pt>
                <c:pt idx="12">
                  <c:v>5.3999999999999986</c:v>
                </c:pt>
                <c:pt idx="13">
                  <c:v>2.2000000000000028</c:v>
                </c:pt>
              </c:numCache>
            </c:numRef>
          </c:xVal>
          <c:yVal>
            <c:numRef>
              <c:f>'12.16'!$F$35:$F$56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13.157777777777778</c:v>
                </c:pt>
                <c:pt idx="2">
                  <c:v>4.2422222222222219</c:v>
                </c:pt>
                <c:pt idx="3">
                  <c:v>6.7833333333333306</c:v>
                </c:pt>
                <c:pt idx="4">
                  <c:v>14.917777777777776</c:v>
                </c:pt>
                <c:pt idx="5">
                  <c:v>9.2444444444444471</c:v>
                </c:pt>
                <c:pt idx="6">
                  <c:v>7.3499999999999952</c:v>
                </c:pt>
                <c:pt idx="7">
                  <c:v>15.330000000000009</c:v>
                </c:pt>
                <c:pt idx="8">
                  <c:v>10.219999999999999</c:v>
                </c:pt>
                <c:pt idx="9">
                  <c:v>28.879999999999992</c:v>
                </c:pt>
                <c:pt idx="10">
                  <c:v>3.1500000000000075</c:v>
                </c:pt>
                <c:pt idx="11">
                  <c:v>7.6844444444444413</c:v>
                </c:pt>
                <c:pt idx="12">
                  <c:v>26.54999999999999</c:v>
                </c:pt>
                <c:pt idx="13">
                  <c:v>12.711111111111128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BB-4A0B-ACCF-B227A3F96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'13.00'!$D$3:$D$27</c:f>
              <c:numCache>
                <c:formatCode>General</c:formatCode>
                <c:ptCount val="25"/>
                <c:pt idx="0">
                  <c:v>0</c:v>
                </c:pt>
                <c:pt idx="1">
                  <c:v>2.04</c:v>
                </c:pt>
                <c:pt idx="2">
                  <c:v>2.4800000000000004</c:v>
                </c:pt>
                <c:pt idx="3">
                  <c:v>1.5999999999999996</c:v>
                </c:pt>
                <c:pt idx="4">
                  <c:v>2.4000000000000004</c:v>
                </c:pt>
                <c:pt idx="5">
                  <c:v>2.2799999999999994</c:v>
                </c:pt>
                <c:pt idx="6">
                  <c:v>3.8000000000000007</c:v>
                </c:pt>
                <c:pt idx="7">
                  <c:v>3.120000000000001</c:v>
                </c:pt>
                <c:pt idx="8">
                  <c:v>0.47999999999999687</c:v>
                </c:pt>
                <c:pt idx="9">
                  <c:v>1.7200000000000024</c:v>
                </c:pt>
                <c:pt idx="10">
                  <c:v>1.3999999999999986</c:v>
                </c:pt>
                <c:pt idx="11">
                  <c:v>2</c:v>
                </c:pt>
                <c:pt idx="12">
                  <c:v>8.0000000000001847E-2</c:v>
                </c:pt>
                <c:pt idx="13">
                  <c:v>1.7199999999999989</c:v>
                </c:pt>
                <c:pt idx="14">
                  <c:v>0.48000000000000043</c:v>
                </c:pt>
                <c:pt idx="15">
                  <c:v>2.3199999999999967</c:v>
                </c:pt>
                <c:pt idx="16">
                  <c:v>2.1200000000000045</c:v>
                </c:pt>
                <c:pt idx="17">
                  <c:v>1.8799999999999955</c:v>
                </c:pt>
              </c:numCache>
            </c:numRef>
          </c:xVal>
          <c:yVal>
            <c:numRef>
              <c:f>'13.00'!$E$3:$E$27</c:f>
              <c:numCache>
                <c:formatCode>General</c:formatCode>
                <c:ptCount val="25"/>
                <c:pt idx="0">
                  <c:v>0</c:v>
                </c:pt>
                <c:pt idx="1">
                  <c:v>13.93</c:v>
                </c:pt>
                <c:pt idx="2">
                  <c:v>13.25</c:v>
                </c:pt>
                <c:pt idx="3">
                  <c:v>9.4499999999999993</c:v>
                </c:pt>
                <c:pt idx="4">
                  <c:v>13.1</c:v>
                </c:pt>
                <c:pt idx="5">
                  <c:v>9.7799999999999994</c:v>
                </c:pt>
                <c:pt idx="6">
                  <c:v>17.48</c:v>
                </c:pt>
                <c:pt idx="7">
                  <c:v>16.010000000000002</c:v>
                </c:pt>
                <c:pt idx="8">
                  <c:v>3.97</c:v>
                </c:pt>
                <c:pt idx="9">
                  <c:v>9.49</c:v>
                </c:pt>
                <c:pt idx="10">
                  <c:v>9.74</c:v>
                </c:pt>
                <c:pt idx="11">
                  <c:v>12.79</c:v>
                </c:pt>
                <c:pt idx="12">
                  <c:v>1.33</c:v>
                </c:pt>
                <c:pt idx="13">
                  <c:v>9.07</c:v>
                </c:pt>
                <c:pt idx="14">
                  <c:v>3.02</c:v>
                </c:pt>
                <c:pt idx="15">
                  <c:v>11.95</c:v>
                </c:pt>
                <c:pt idx="16">
                  <c:v>15.89</c:v>
                </c:pt>
                <c:pt idx="17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59-4155-9D4C-0D1C9EDDCF2A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'13.00'!$D$3:$D$27</c:f>
              <c:numCache>
                <c:formatCode>General</c:formatCode>
                <c:ptCount val="25"/>
                <c:pt idx="0">
                  <c:v>0</c:v>
                </c:pt>
                <c:pt idx="1">
                  <c:v>2.04</c:v>
                </c:pt>
                <c:pt idx="2">
                  <c:v>2.4800000000000004</c:v>
                </c:pt>
                <c:pt idx="3">
                  <c:v>1.5999999999999996</c:v>
                </c:pt>
                <c:pt idx="4">
                  <c:v>2.4000000000000004</c:v>
                </c:pt>
                <c:pt idx="5">
                  <c:v>2.2799999999999994</c:v>
                </c:pt>
                <c:pt idx="6">
                  <c:v>3.8000000000000007</c:v>
                </c:pt>
                <c:pt idx="7">
                  <c:v>3.120000000000001</c:v>
                </c:pt>
                <c:pt idx="8">
                  <c:v>0.47999999999999687</c:v>
                </c:pt>
                <c:pt idx="9">
                  <c:v>1.7200000000000024</c:v>
                </c:pt>
                <c:pt idx="10">
                  <c:v>1.3999999999999986</c:v>
                </c:pt>
                <c:pt idx="11">
                  <c:v>2</c:v>
                </c:pt>
                <c:pt idx="12">
                  <c:v>8.0000000000001847E-2</c:v>
                </c:pt>
                <c:pt idx="13">
                  <c:v>1.7199999999999989</c:v>
                </c:pt>
                <c:pt idx="14">
                  <c:v>0.48000000000000043</c:v>
                </c:pt>
                <c:pt idx="15">
                  <c:v>2.3199999999999967</c:v>
                </c:pt>
                <c:pt idx="16">
                  <c:v>2.1200000000000045</c:v>
                </c:pt>
                <c:pt idx="17">
                  <c:v>1.8799999999999955</c:v>
                </c:pt>
              </c:numCache>
            </c:numRef>
          </c:xVal>
          <c:yVal>
            <c:numRef>
              <c:f>'13.00'!$F$3:$F$27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14.166666666666666</c:v>
                </c:pt>
                <c:pt idx="2">
                  <c:v>15.775555555555558</c:v>
                </c:pt>
                <c:pt idx="3">
                  <c:v>9.1999999999999975</c:v>
                </c:pt>
                <c:pt idx="4">
                  <c:v>11.600000000000001</c:v>
                </c:pt>
                <c:pt idx="5">
                  <c:v>13.996666666666664</c:v>
                </c:pt>
                <c:pt idx="6">
                  <c:v>34.200000000000003</c:v>
                </c:pt>
                <c:pt idx="7">
                  <c:v>19.933333333333337</c:v>
                </c:pt>
                <c:pt idx="8">
                  <c:v>2.6266666666666492</c:v>
                </c:pt>
                <c:pt idx="9">
                  <c:v>13.043333333333351</c:v>
                </c:pt>
                <c:pt idx="10">
                  <c:v>11.005555555555544</c:v>
                </c:pt>
                <c:pt idx="11">
                  <c:v>13.5</c:v>
                </c:pt>
                <c:pt idx="12">
                  <c:v>0.52000000000001201</c:v>
                </c:pt>
                <c:pt idx="13">
                  <c:v>10.224444444444437</c:v>
                </c:pt>
                <c:pt idx="14">
                  <c:v>2.5600000000000023</c:v>
                </c:pt>
                <c:pt idx="15">
                  <c:v>17.593333333333309</c:v>
                </c:pt>
                <c:pt idx="16">
                  <c:v>9.2455555555555744</c:v>
                </c:pt>
                <c:pt idx="17">
                  <c:v>8.146666666666647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59-4155-9D4C-0D1C9EDDC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'13.00'!$D$35:$D$56</c:f>
              <c:numCache>
                <c:formatCode>General</c:formatCode>
                <c:ptCount val="22"/>
                <c:pt idx="0">
                  <c:v>0</c:v>
                </c:pt>
                <c:pt idx="1">
                  <c:v>1.7200000000000002</c:v>
                </c:pt>
                <c:pt idx="2">
                  <c:v>2</c:v>
                </c:pt>
                <c:pt idx="3">
                  <c:v>7.9999999999999183E-2</c:v>
                </c:pt>
                <c:pt idx="4">
                  <c:v>2.4000000000000004</c:v>
                </c:pt>
                <c:pt idx="5">
                  <c:v>1.4800000000000004</c:v>
                </c:pt>
                <c:pt idx="6">
                  <c:v>2.0399999999999991</c:v>
                </c:pt>
                <c:pt idx="7">
                  <c:v>1.2000000000000011</c:v>
                </c:pt>
                <c:pt idx="8">
                  <c:v>0.27999999999999936</c:v>
                </c:pt>
                <c:pt idx="9">
                  <c:v>1.1199999999999992</c:v>
                </c:pt>
                <c:pt idx="10">
                  <c:v>1.2800000000000011</c:v>
                </c:pt>
                <c:pt idx="11">
                  <c:v>1.2800000000000011</c:v>
                </c:pt>
                <c:pt idx="12">
                  <c:v>1.5199999999999996</c:v>
                </c:pt>
                <c:pt idx="13">
                  <c:v>1</c:v>
                </c:pt>
                <c:pt idx="14">
                  <c:v>3.3200000000000003</c:v>
                </c:pt>
                <c:pt idx="15">
                  <c:v>2.2799999999999976</c:v>
                </c:pt>
                <c:pt idx="16">
                  <c:v>3.4000000000000021</c:v>
                </c:pt>
                <c:pt idx="17">
                  <c:v>0.67999999999999972</c:v>
                </c:pt>
                <c:pt idx="18">
                  <c:v>0.19999999999999929</c:v>
                </c:pt>
              </c:numCache>
            </c:numRef>
          </c:xVal>
          <c:yVal>
            <c:numRef>
              <c:f>'13.00'!$E$35:$E$55</c:f>
              <c:numCache>
                <c:formatCode>General</c:formatCode>
                <c:ptCount val="21"/>
                <c:pt idx="0">
                  <c:v>0</c:v>
                </c:pt>
                <c:pt idx="1">
                  <c:v>3.93</c:v>
                </c:pt>
                <c:pt idx="2">
                  <c:v>13.48</c:v>
                </c:pt>
                <c:pt idx="3">
                  <c:v>1.58</c:v>
                </c:pt>
                <c:pt idx="4">
                  <c:v>10.51</c:v>
                </c:pt>
                <c:pt idx="5">
                  <c:v>9.99</c:v>
                </c:pt>
                <c:pt idx="6">
                  <c:v>12.84</c:v>
                </c:pt>
                <c:pt idx="7">
                  <c:v>8.3699999999999992</c:v>
                </c:pt>
                <c:pt idx="8">
                  <c:v>1.08</c:v>
                </c:pt>
                <c:pt idx="9">
                  <c:v>9.02</c:v>
                </c:pt>
                <c:pt idx="10">
                  <c:v>7.91</c:v>
                </c:pt>
                <c:pt idx="11">
                  <c:v>7.66</c:v>
                </c:pt>
                <c:pt idx="12">
                  <c:v>10.08</c:v>
                </c:pt>
                <c:pt idx="13">
                  <c:v>5.8</c:v>
                </c:pt>
                <c:pt idx="14">
                  <c:v>12.88</c:v>
                </c:pt>
                <c:pt idx="15">
                  <c:v>11.84</c:v>
                </c:pt>
                <c:pt idx="16">
                  <c:v>14.54</c:v>
                </c:pt>
                <c:pt idx="17">
                  <c:v>4.8099999999999996</c:v>
                </c:pt>
                <c:pt idx="18">
                  <c:v>0.51</c:v>
                </c:pt>
                <c:pt idx="20">
                  <c:v>-1.88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76-441D-8266-0B8AB7232CA2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'13.00'!$D$35:$D$56</c:f>
              <c:numCache>
                <c:formatCode>General</c:formatCode>
                <c:ptCount val="22"/>
                <c:pt idx="0">
                  <c:v>0</c:v>
                </c:pt>
                <c:pt idx="1">
                  <c:v>1.7200000000000002</c:v>
                </c:pt>
                <c:pt idx="2">
                  <c:v>2</c:v>
                </c:pt>
                <c:pt idx="3">
                  <c:v>7.9999999999999183E-2</c:v>
                </c:pt>
                <c:pt idx="4">
                  <c:v>2.4000000000000004</c:v>
                </c:pt>
                <c:pt idx="5">
                  <c:v>1.4800000000000004</c:v>
                </c:pt>
                <c:pt idx="6">
                  <c:v>2.0399999999999991</c:v>
                </c:pt>
                <c:pt idx="7">
                  <c:v>1.2000000000000011</c:v>
                </c:pt>
                <c:pt idx="8">
                  <c:v>0.27999999999999936</c:v>
                </c:pt>
                <c:pt idx="9">
                  <c:v>1.1199999999999992</c:v>
                </c:pt>
                <c:pt idx="10">
                  <c:v>1.2800000000000011</c:v>
                </c:pt>
                <c:pt idx="11">
                  <c:v>1.2800000000000011</c:v>
                </c:pt>
                <c:pt idx="12">
                  <c:v>1.5199999999999996</c:v>
                </c:pt>
                <c:pt idx="13">
                  <c:v>1</c:v>
                </c:pt>
                <c:pt idx="14">
                  <c:v>3.3200000000000003</c:v>
                </c:pt>
                <c:pt idx="15">
                  <c:v>2.2799999999999976</c:v>
                </c:pt>
                <c:pt idx="16">
                  <c:v>3.4000000000000021</c:v>
                </c:pt>
                <c:pt idx="17">
                  <c:v>0.67999999999999972</c:v>
                </c:pt>
                <c:pt idx="18">
                  <c:v>0.19999999999999929</c:v>
                </c:pt>
              </c:numCache>
            </c:numRef>
          </c:xVal>
          <c:yVal>
            <c:numRef>
              <c:f>'13.00'!$F$35:$F$56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8.8388888888888903</c:v>
                </c:pt>
                <c:pt idx="2">
                  <c:v>14.722222222222221</c:v>
                </c:pt>
                <c:pt idx="3">
                  <c:v>0.36888888888888516</c:v>
                </c:pt>
                <c:pt idx="4">
                  <c:v>14.200000000000003</c:v>
                </c:pt>
                <c:pt idx="5">
                  <c:v>9.7844444444444481</c:v>
                </c:pt>
                <c:pt idx="6">
                  <c:v>13.939999999999994</c:v>
                </c:pt>
                <c:pt idx="7">
                  <c:v>10.366666666666676</c:v>
                </c:pt>
                <c:pt idx="8">
                  <c:v>2.8077777777777713</c:v>
                </c:pt>
                <c:pt idx="9">
                  <c:v>7.0622222222222168</c:v>
                </c:pt>
                <c:pt idx="10">
                  <c:v>11.626666666666679</c:v>
                </c:pt>
                <c:pt idx="11">
                  <c:v>7.4311111111111163</c:v>
                </c:pt>
                <c:pt idx="12">
                  <c:v>8.9933333333333305</c:v>
                </c:pt>
                <c:pt idx="13">
                  <c:v>7.333333333333333</c:v>
                </c:pt>
                <c:pt idx="14">
                  <c:v>21.580000000000002</c:v>
                </c:pt>
                <c:pt idx="15">
                  <c:v>17.543333333333315</c:v>
                </c:pt>
                <c:pt idx="16">
                  <c:v>20.494444444444458</c:v>
                </c:pt>
                <c:pt idx="17">
                  <c:v>3.0222222222222208</c:v>
                </c:pt>
                <c:pt idx="18">
                  <c:v>1.2277777777777736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76-441D-8266-0B8AB7232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'13.04'!$D$3:$D$27</c:f>
              <c:numCache>
                <c:formatCode>General</c:formatCode>
                <c:ptCount val="25"/>
                <c:pt idx="0">
                  <c:v>0</c:v>
                </c:pt>
                <c:pt idx="1">
                  <c:v>2.3199999999999998</c:v>
                </c:pt>
                <c:pt idx="2">
                  <c:v>2</c:v>
                </c:pt>
                <c:pt idx="3">
                  <c:v>1.2800000000000002</c:v>
                </c:pt>
                <c:pt idx="4">
                  <c:v>3.6000000000000005</c:v>
                </c:pt>
                <c:pt idx="5">
                  <c:v>2.08</c:v>
                </c:pt>
                <c:pt idx="6">
                  <c:v>2.1199999999999992</c:v>
                </c:pt>
                <c:pt idx="7">
                  <c:v>1.08</c:v>
                </c:pt>
                <c:pt idx="8">
                  <c:v>3.1999999999999993</c:v>
                </c:pt>
                <c:pt idx="9">
                  <c:v>2.240000000000002</c:v>
                </c:pt>
                <c:pt idx="10">
                  <c:v>1.5999999999999979</c:v>
                </c:pt>
                <c:pt idx="11">
                  <c:v>1.6799999999999997</c:v>
                </c:pt>
                <c:pt idx="12">
                  <c:v>2</c:v>
                </c:pt>
                <c:pt idx="13">
                  <c:v>1.4000000000000021</c:v>
                </c:pt>
              </c:numCache>
            </c:numRef>
          </c:xVal>
          <c:yVal>
            <c:numRef>
              <c:f>'13.04'!$E$3:$E$27</c:f>
              <c:numCache>
                <c:formatCode>General</c:formatCode>
                <c:ptCount val="25"/>
                <c:pt idx="0">
                  <c:v>0</c:v>
                </c:pt>
                <c:pt idx="1">
                  <c:v>13.52</c:v>
                </c:pt>
                <c:pt idx="2">
                  <c:v>11.45</c:v>
                </c:pt>
                <c:pt idx="3">
                  <c:v>7.14</c:v>
                </c:pt>
                <c:pt idx="4">
                  <c:v>17.43</c:v>
                </c:pt>
                <c:pt idx="5">
                  <c:v>10.81</c:v>
                </c:pt>
                <c:pt idx="6">
                  <c:v>9.74</c:v>
                </c:pt>
                <c:pt idx="7">
                  <c:v>3.23</c:v>
                </c:pt>
                <c:pt idx="8">
                  <c:v>15.32</c:v>
                </c:pt>
                <c:pt idx="9">
                  <c:v>10.55</c:v>
                </c:pt>
                <c:pt idx="10">
                  <c:v>8.68</c:v>
                </c:pt>
                <c:pt idx="11">
                  <c:v>10.74</c:v>
                </c:pt>
                <c:pt idx="12">
                  <c:v>11.23</c:v>
                </c:pt>
                <c:pt idx="13">
                  <c:v>10.47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DC-446E-9EC3-A1243177F15A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'13.04'!$D$3:$D$27</c:f>
              <c:numCache>
                <c:formatCode>General</c:formatCode>
                <c:ptCount val="25"/>
                <c:pt idx="0">
                  <c:v>0</c:v>
                </c:pt>
                <c:pt idx="1">
                  <c:v>2.3199999999999998</c:v>
                </c:pt>
                <c:pt idx="2">
                  <c:v>2</c:v>
                </c:pt>
                <c:pt idx="3">
                  <c:v>1.2800000000000002</c:v>
                </c:pt>
                <c:pt idx="4">
                  <c:v>3.6000000000000005</c:v>
                </c:pt>
                <c:pt idx="5">
                  <c:v>2.08</c:v>
                </c:pt>
                <c:pt idx="6">
                  <c:v>2.1199999999999992</c:v>
                </c:pt>
                <c:pt idx="7">
                  <c:v>1.08</c:v>
                </c:pt>
                <c:pt idx="8">
                  <c:v>3.1999999999999993</c:v>
                </c:pt>
                <c:pt idx="9">
                  <c:v>2.240000000000002</c:v>
                </c:pt>
                <c:pt idx="10">
                  <c:v>1.5999999999999979</c:v>
                </c:pt>
                <c:pt idx="11">
                  <c:v>1.6799999999999997</c:v>
                </c:pt>
                <c:pt idx="12">
                  <c:v>2</c:v>
                </c:pt>
                <c:pt idx="13">
                  <c:v>1.4000000000000021</c:v>
                </c:pt>
              </c:numCache>
            </c:numRef>
          </c:xVal>
          <c:yVal>
            <c:numRef>
              <c:f>'13.04'!$F$3:$F$27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13.726666666666665</c:v>
                </c:pt>
                <c:pt idx="2">
                  <c:v>9.5555555555555554</c:v>
                </c:pt>
                <c:pt idx="3">
                  <c:v>8.8533333333333335</c:v>
                </c:pt>
                <c:pt idx="4">
                  <c:v>17.899999999999999</c:v>
                </c:pt>
                <c:pt idx="5">
                  <c:v>11.671111111111111</c:v>
                </c:pt>
                <c:pt idx="6">
                  <c:v>8.8333333333333304</c:v>
                </c:pt>
                <c:pt idx="7">
                  <c:v>4.26</c:v>
                </c:pt>
                <c:pt idx="8">
                  <c:v>18.222222222222218</c:v>
                </c:pt>
                <c:pt idx="9">
                  <c:v>12.008888888888901</c:v>
                </c:pt>
                <c:pt idx="10">
                  <c:v>9.8666666666666529</c:v>
                </c:pt>
                <c:pt idx="11">
                  <c:v>10.686666666666666</c:v>
                </c:pt>
                <c:pt idx="12">
                  <c:v>11.222222222222221</c:v>
                </c:pt>
                <c:pt idx="13">
                  <c:v>8.088888888888901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DC-446E-9EC3-A1243177F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'13.04'!$D$35:$D$56</c:f>
              <c:numCache>
                <c:formatCode>General</c:formatCode>
                <c:ptCount val="22"/>
                <c:pt idx="0">
                  <c:v>0</c:v>
                </c:pt>
                <c:pt idx="1">
                  <c:v>2.3200000000000003</c:v>
                </c:pt>
                <c:pt idx="2">
                  <c:v>1.1600000000000001</c:v>
                </c:pt>
                <c:pt idx="3">
                  <c:v>1</c:v>
                </c:pt>
                <c:pt idx="4">
                  <c:v>2</c:v>
                </c:pt>
                <c:pt idx="5">
                  <c:v>1.7999999999999998</c:v>
                </c:pt>
                <c:pt idx="6">
                  <c:v>1.8000000000000007</c:v>
                </c:pt>
                <c:pt idx="7">
                  <c:v>2.0399999999999991</c:v>
                </c:pt>
                <c:pt idx="8">
                  <c:v>3.6799999999999997</c:v>
                </c:pt>
                <c:pt idx="9">
                  <c:v>1.6799999999999997</c:v>
                </c:pt>
                <c:pt idx="10">
                  <c:v>3.9200000000000017</c:v>
                </c:pt>
                <c:pt idx="13">
                  <c:v>1.879999999999999</c:v>
                </c:pt>
                <c:pt idx="14">
                  <c:v>1.120000000000001</c:v>
                </c:pt>
                <c:pt idx="15">
                  <c:v>7.120000000000001</c:v>
                </c:pt>
              </c:numCache>
            </c:numRef>
          </c:xVal>
          <c:yVal>
            <c:numRef>
              <c:f>'13.04'!$E$35:$E$55</c:f>
              <c:numCache>
                <c:formatCode>General</c:formatCode>
                <c:ptCount val="21"/>
                <c:pt idx="0">
                  <c:v>0</c:v>
                </c:pt>
                <c:pt idx="1">
                  <c:v>13.53</c:v>
                </c:pt>
                <c:pt idx="2">
                  <c:v>9.92</c:v>
                </c:pt>
                <c:pt idx="3">
                  <c:v>2.99</c:v>
                </c:pt>
                <c:pt idx="4">
                  <c:v>11.8</c:v>
                </c:pt>
                <c:pt idx="5">
                  <c:v>10.47</c:v>
                </c:pt>
                <c:pt idx="6">
                  <c:v>9.3000000000000007</c:v>
                </c:pt>
                <c:pt idx="7">
                  <c:v>11.75</c:v>
                </c:pt>
                <c:pt idx="8">
                  <c:v>15.47</c:v>
                </c:pt>
                <c:pt idx="9">
                  <c:v>8.01</c:v>
                </c:pt>
                <c:pt idx="10">
                  <c:v>13.97</c:v>
                </c:pt>
                <c:pt idx="12">
                  <c:v>4.9000000000000004</c:v>
                </c:pt>
                <c:pt idx="13">
                  <c:v>9.16</c:v>
                </c:pt>
                <c:pt idx="14">
                  <c:v>6.39</c:v>
                </c:pt>
                <c:pt idx="15">
                  <c:v>8.61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6-4061-9347-7A9F149A8B85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'13.04'!$D$35:$D$56</c:f>
              <c:numCache>
                <c:formatCode>General</c:formatCode>
                <c:ptCount val="22"/>
                <c:pt idx="0">
                  <c:v>0</c:v>
                </c:pt>
                <c:pt idx="1">
                  <c:v>2.3200000000000003</c:v>
                </c:pt>
                <c:pt idx="2">
                  <c:v>1.1600000000000001</c:v>
                </c:pt>
                <c:pt idx="3">
                  <c:v>1</c:v>
                </c:pt>
                <c:pt idx="4">
                  <c:v>2</c:v>
                </c:pt>
                <c:pt idx="5">
                  <c:v>1.7999999999999998</c:v>
                </c:pt>
                <c:pt idx="6">
                  <c:v>1.8000000000000007</c:v>
                </c:pt>
                <c:pt idx="7">
                  <c:v>2.0399999999999991</c:v>
                </c:pt>
                <c:pt idx="8">
                  <c:v>3.6799999999999997</c:v>
                </c:pt>
                <c:pt idx="9">
                  <c:v>1.6799999999999997</c:v>
                </c:pt>
                <c:pt idx="10">
                  <c:v>3.9200000000000017</c:v>
                </c:pt>
                <c:pt idx="13">
                  <c:v>1.879999999999999</c:v>
                </c:pt>
                <c:pt idx="14">
                  <c:v>1.120000000000001</c:v>
                </c:pt>
                <c:pt idx="15">
                  <c:v>7.120000000000001</c:v>
                </c:pt>
              </c:numCache>
            </c:numRef>
          </c:xVal>
          <c:yVal>
            <c:numRef>
              <c:f>'13.04'!$F$35:$F$56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12.695555555555556</c:v>
                </c:pt>
                <c:pt idx="2">
                  <c:v>6.5733333333333333</c:v>
                </c:pt>
                <c:pt idx="3">
                  <c:v>4.9444444444444446</c:v>
                </c:pt>
                <c:pt idx="4">
                  <c:v>10.722222222222223</c:v>
                </c:pt>
                <c:pt idx="5">
                  <c:v>8.7999999999999989</c:v>
                </c:pt>
                <c:pt idx="6">
                  <c:v>8.8000000000000043</c:v>
                </c:pt>
                <c:pt idx="7">
                  <c:v>8.5566666666666631</c:v>
                </c:pt>
                <c:pt idx="8">
                  <c:v>23.715555555555554</c:v>
                </c:pt>
                <c:pt idx="9">
                  <c:v>7.839999999999999</c:v>
                </c:pt>
                <c:pt idx="10">
                  <c:v>20.362222222222229</c:v>
                </c:pt>
                <c:pt idx="12">
                  <c:v>0</c:v>
                </c:pt>
                <c:pt idx="13">
                  <c:v>9.6088888888888828</c:v>
                </c:pt>
                <c:pt idx="14">
                  <c:v>6.2222222222222276</c:v>
                </c:pt>
                <c:pt idx="15">
                  <c:v>17.602222222222224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B6-4061-9347-7A9F149A8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'17.02'!$D$3:$D$27</c:f>
              <c:numCache>
                <c:formatCode>General</c:formatCode>
                <c:ptCount val="25"/>
                <c:pt idx="0">
                  <c:v>0</c:v>
                </c:pt>
                <c:pt idx="1">
                  <c:v>1.72</c:v>
                </c:pt>
                <c:pt idx="2">
                  <c:v>1.7199999999999998</c:v>
                </c:pt>
                <c:pt idx="3">
                  <c:v>1.96</c:v>
                </c:pt>
                <c:pt idx="4">
                  <c:v>1.2400000000000002</c:v>
                </c:pt>
                <c:pt idx="5">
                  <c:v>1.1999999999999993</c:v>
                </c:pt>
                <c:pt idx="6">
                  <c:v>4.5600000000000005</c:v>
                </c:pt>
                <c:pt idx="7">
                  <c:v>0.80000000000000071</c:v>
                </c:pt>
                <c:pt idx="8">
                  <c:v>0.24000000000000021</c:v>
                </c:pt>
                <c:pt idx="9">
                  <c:v>1.1999999999999993</c:v>
                </c:pt>
                <c:pt idx="10">
                  <c:v>6.8800000000000008</c:v>
                </c:pt>
                <c:pt idx="11">
                  <c:v>4.32</c:v>
                </c:pt>
                <c:pt idx="12">
                  <c:v>1.3999999999999986</c:v>
                </c:pt>
                <c:pt idx="13">
                  <c:v>1.8000000000000007</c:v>
                </c:pt>
                <c:pt idx="14">
                  <c:v>3.6799999999999997</c:v>
                </c:pt>
              </c:numCache>
            </c:numRef>
          </c:xVal>
          <c:yVal>
            <c:numRef>
              <c:f>'17.02'!$E$3:$E$27</c:f>
              <c:numCache>
                <c:formatCode>General</c:formatCode>
                <c:ptCount val="25"/>
                <c:pt idx="0">
                  <c:v>0</c:v>
                </c:pt>
                <c:pt idx="1">
                  <c:v>11.84</c:v>
                </c:pt>
                <c:pt idx="2">
                  <c:v>10.9</c:v>
                </c:pt>
                <c:pt idx="3">
                  <c:v>7.47</c:v>
                </c:pt>
                <c:pt idx="4">
                  <c:v>8.75</c:v>
                </c:pt>
                <c:pt idx="5">
                  <c:v>4.05</c:v>
                </c:pt>
                <c:pt idx="6">
                  <c:v>16.53</c:v>
                </c:pt>
                <c:pt idx="7">
                  <c:v>7.41</c:v>
                </c:pt>
                <c:pt idx="8">
                  <c:v>1.05</c:v>
                </c:pt>
                <c:pt idx="9">
                  <c:v>9.8800000000000008</c:v>
                </c:pt>
                <c:pt idx="10">
                  <c:v>18.8</c:v>
                </c:pt>
                <c:pt idx="11">
                  <c:v>16.350000000000001</c:v>
                </c:pt>
                <c:pt idx="12">
                  <c:v>9.75</c:v>
                </c:pt>
                <c:pt idx="13">
                  <c:v>9.0299999999999994</c:v>
                </c:pt>
                <c:pt idx="14">
                  <c:v>15.13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3D-4AC3-B92C-2EB0C85CDA74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'17.02'!$D$3:$D$27</c:f>
              <c:numCache>
                <c:formatCode>General</c:formatCode>
                <c:ptCount val="25"/>
                <c:pt idx="0">
                  <c:v>0</c:v>
                </c:pt>
                <c:pt idx="1">
                  <c:v>1.72</c:v>
                </c:pt>
                <c:pt idx="2">
                  <c:v>1.7199999999999998</c:v>
                </c:pt>
                <c:pt idx="3">
                  <c:v>1.96</c:v>
                </c:pt>
                <c:pt idx="4">
                  <c:v>1.2400000000000002</c:v>
                </c:pt>
                <c:pt idx="5">
                  <c:v>1.1999999999999993</c:v>
                </c:pt>
                <c:pt idx="6">
                  <c:v>4.5600000000000005</c:v>
                </c:pt>
                <c:pt idx="7">
                  <c:v>0.80000000000000071</c:v>
                </c:pt>
                <c:pt idx="8">
                  <c:v>0.24000000000000021</c:v>
                </c:pt>
                <c:pt idx="9">
                  <c:v>1.1999999999999993</c:v>
                </c:pt>
                <c:pt idx="10">
                  <c:v>6.8800000000000008</c:v>
                </c:pt>
                <c:pt idx="11">
                  <c:v>4.32</c:v>
                </c:pt>
                <c:pt idx="12">
                  <c:v>1.3999999999999986</c:v>
                </c:pt>
                <c:pt idx="13">
                  <c:v>1.8000000000000007</c:v>
                </c:pt>
                <c:pt idx="14">
                  <c:v>3.6799999999999997</c:v>
                </c:pt>
              </c:numCache>
            </c:numRef>
          </c:xVal>
          <c:yVal>
            <c:numRef>
              <c:f>'17.02'!$F$3:$F$27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11.896666666666665</c:v>
                </c:pt>
                <c:pt idx="2">
                  <c:v>8.8388888888888886</c:v>
                </c:pt>
                <c:pt idx="3">
                  <c:v>8.1666666666666661</c:v>
                </c:pt>
                <c:pt idx="4">
                  <c:v>6.6822222222222223</c:v>
                </c:pt>
                <c:pt idx="5">
                  <c:v>5.9999999999999964</c:v>
                </c:pt>
                <c:pt idx="6">
                  <c:v>32.173333333333339</c:v>
                </c:pt>
                <c:pt idx="7">
                  <c:v>4.4666666666666712</c:v>
                </c:pt>
                <c:pt idx="8">
                  <c:v>1.8333333333333348</c:v>
                </c:pt>
                <c:pt idx="9">
                  <c:v>7.1333333333333284</c:v>
                </c:pt>
                <c:pt idx="10">
                  <c:v>43.19111111111112</c:v>
                </c:pt>
                <c:pt idx="11">
                  <c:v>25.92</c:v>
                </c:pt>
                <c:pt idx="12">
                  <c:v>9.099999999999989</c:v>
                </c:pt>
                <c:pt idx="13">
                  <c:v>10.200000000000003</c:v>
                </c:pt>
                <c:pt idx="14">
                  <c:v>21.671111111111109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3D-4AC3-B92C-2EB0C85C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'17.02'!$D$35:$D$56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1.7999999999999998</c:v>
                </c:pt>
                <c:pt idx="3">
                  <c:v>1.88</c:v>
                </c:pt>
                <c:pt idx="4">
                  <c:v>1.4799999999999995</c:v>
                </c:pt>
                <c:pt idx="5">
                  <c:v>1.92</c:v>
                </c:pt>
                <c:pt idx="6">
                  <c:v>1.92</c:v>
                </c:pt>
                <c:pt idx="7">
                  <c:v>2.8000000000000007</c:v>
                </c:pt>
                <c:pt idx="8">
                  <c:v>2.9599999999999991</c:v>
                </c:pt>
                <c:pt idx="9">
                  <c:v>4.84</c:v>
                </c:pt>
                <c:pt idx="10">
                  <c:v>3.6000000000000014</c:v>
                </c:pt>
                <c:pt idx="11">
                  <c:v>2.3599999999999994</c:v>
                </c:pt>
                <c:pt idx="12">
                  <c:v>2.3200000000000003</c:v>
                </c:pt>
                <c:pt idx="13">
                  <c:v>1.4799999999999969</c:v>
                </c:pt>
                <c:pt idx="14">
                  <c:v>1.6400000000000006</c:v>
                </c:pt>
                <c:pt idx="15">
                  <c:v>1.1600000000000037</c:v>
                </c:pt>
              </c:numCache>
            </c:numRef>
          </c:xVal>
          <c:yVal>
            <c:numRef>
              <c:f>'17.02'!$E$35:$E$55</c:f>
              <c:numCache>
                <c:formatCode>General</c:formatCode>
                <c:ptCount val="21"/>
                <c:pt idx="0">
                  <c:v>0</c:v>
                </c:pt>
                <c:pt idx="1">
                  <c:v>0.24</c:v>
                </c:pt>
                <c:pt idx="2">
                  <c:v>8.6999999999999993</c:v>
                </c:pt>
                <c:pt idx="3">
                  <c:v>9.8000000000000007</c:v>
                </c:pt>
                <c:pt idx="4">
                  <c:v>7.88</c:v>
                </c:pt>
                <c:pt idx="5">
                  <c:v>10.58</c:v>
                </c:pt>
                <c:pt idx="6">
                  <c:v>9.0500000000000007</c:v>
                </c:pt>
                <c:pt idx="7">
                  <c:v>9.83</c:v>
                </c:pt>
                <c:pt idx="8">
                  <c:v>9.5299999999999994</c:v>
                </c:pt>
                <c:pt idx="9">
                  <c:v>12.48</c:v>
                </c:pt>
                <c:pt idx="10">
                  <c:v>15.29</c:v>
                </c:pt>
                <c:pt idx="11">
                  <c:v>12.61</c:v>
                </c:pt>
                <c:pt idx="12">
                  <c:v>12.22</c:v>
                </c:pt>
                <c:pt idx="13">
                  <c:v>9.58</c:v>
                </c:pt>
                <c:pt idx="14">
                  <c:v>8.1999999999999993</c:v>
                </c:pt>
                <c:pt idx="15">
                  <c:v>7.73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A-4C88-8CF0-1C2C271591D8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'17.02'!$D$35:$D$56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1.7999999999999998</c:v>
                </c:pt>
                <c:pt idx="3">
                  <c:v>1.88</c:v>
                </c:pt>
                <c:pt idx="4">
                  <c:v>1.4799999999999995</c:v>
                </c:pt>
                <c:pt idx="5">
                  <c:v>1.92</c:v>
                </c:pt>
                <c:pt idx="6">
                  <c:v>1.92</c:v>
                </c:pt>
                <c:pt idx="7">
                  <c:v>2.8000000000000007</c:v>
                </c:pt>
                <c:pt idx="8">
                  <c:v>2.9599999999999991</c:v>
                </c:pt>
                <c:pt idx="9">
                  <c:v>4.84</c:v>
                </c:pt>
                <c:pt idx="10">
                  <c:v>3.6000000000000014</c:v>
                </c:pt>
                <c:pt idx="11">
                  <c:v>2.3599999999999994</c:v>
                </c:pt>
                <c:pt idx="12">
                  <c:v>2.3200000000000003</c:v>
                </c:pt>
                <c:pt idx="13">
                  <c:v>1.4799999999999969</c:v>
                </c:pt>
                <c:pt idx="14">
                  <c:v>1.6400000000000006</c:v>
                </c:pt>
                <c:pt idx="15">
                  <c:v>1.1600000000000037</c:v>
                </c:pt>
              </c:numCache>
            </c:numRef>
          </c:xVal>
          <c:yVal>
            <c:numRef>
              <c:f>'17.02'!$F$35:$F$56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0</c:v>
                </c:pt>
                <c:pt idx="2">
                  <c:v>8.3499999999999979</c:v>
                </c:pt>
                <c:pt idx="3">
                  <c:v>9.8699999999999992</c:v>
                </c:pt>
                <c:pt idx="4">
                  <c:v>9.1266666666666634</c:v>
                </c:pt>
                <c:pt idx="5">
                  <c:v>11.306666666666667</c:v>
                </c:pt>
                <c:pt idx="6">
                  <c:v>10.719999999999999</c:v>
                </c:pt>
                <c:pt idx="7">
                  <c:v>16.177777777777781</c:v>
                </c:pt>
                <c:pt idx="8">
                  <c:v>19.322222222222216</c:v>
                </c:pt>
                <c:pt idx="9">
                  <c:v>28.367777777777778</c:v>
                </c:pt>
                <c:pt idx="10">
                  <c:v>20.300000000000008</c:v>
                </c:pt>
                <c:pt idx="11">
                  <c:v>14.618888888888884</c:v>
                </c:pt>
                <c:pt idx="12">
                  <c:v>13.72666666666667</c:v>
                </c:pt>
                <c:pt idx="13">
                  <c:v>8.9622222222222039</c:v>
                </c:pt>
                <c:pt idx="14">
                  <c:v>0</c:v>
                </c:pt>
                <c:pt idx="15">
                  <c:v>7.5077777777778021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8A-4C88-8CF0-1C2C27159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'17.11'!$D$3:$D$27</c:f>
              <c:numCache>
                <c:formatCode>General</c:formatCode>
                <c:ptCount val="25"/>
                <c:pt idx="0">
                  <c:v>0</c:v>
                </c:pt>
                <c:pt idx="1">
                  <c:v>0.48</c:v>
                </c:pt>
                <c:pt idx="2">
                  <c:v>1</c:v>
                </c:pt>
                <c:pt idx="3">
                  <c:v>0.40000000000000036</c:v>
                </c:pt>
                <c:pt idx="4">
                  <c:v>1.3199999999999994</c:v>
                </c:pt>
                <c:pt idx="5">
                  <c:v>1.8000000000000007</c:v>
                </c:pt>
                <c:pt idx="6">
                  <c:v>1.4000000000000004</c:v>
                </c:pt>
                <c:pt idx="7">
                  <c:v>1.6799999999999997</c:v>
                </c:pt>
                <c:pt idx="8">
                  <c:v>0.40000000000000036</c:v>
                </c:pt>
                <c:pt idx="9">
                  <c:v>2.1999999999999993</c:v>
                </c:pt>
                <c:pt idx="10">
                  <c:v>0.24000000000000021</c:v>
                </c:pt>
                <c:pt idx="11">
                  <c:v>4.879999999999999</c:v>
                </c:pt>
                <c:pt idx="12">
                  <c:v>7.4000000000000021</c:v>
                </c:pt>
                <c:pt idx="13">
                  <c:v>3.4799999999999969</c:v>
                </c:pt>
                <c:pt idx="14">
                  <c:v>0.20000000000000284</c:v>
                </c:pt>
                <c:pt idx="15">
                  <c:v>1.3999999999999986</c:v>
                </c:pt>
                <c:pt idx="16">
                  <c:v>1.6400000000000006</c:v>
                </c:pt>
                <c:pt idx="17">
                  <c:v>2.4799999999999969</c:v>
                </c:pt>
                <c:pt idx="18">
                  <c:v>0.40000000000000568</c:v>
                </c:pt>
                <c:pt idx="19">
                  <c:v>1.8799999999999955</c:v>
                </c:pt>
                <c:pt idx="20">
                  <c:v>1.7199999999999989</c:v>
                </c:pt>
                <c:pt idx="21">
                  <c:v>3</c:v>
                </c:pt>
                <c:pt idx="22">
                  <c:v>0.80000000000000426</c:v>
                </c:pt>
              </c:numCache>
            </c:numRef>
          </c:xVal>
          <c:yVal>
            <c:numRef>
              <c:f>'17.11'!$E$3:$E$27</c:f>
              <c:numCache>
                <c:formatCode>General</c:formatCode>
                <c:ptCount val="25"/>
                <c:pt idx="0">
                  <c:v>0</c:v>
                </c:pt>
                <c:pt idx="1">
                  <c:v>2.75</c:v>
                </c:pt>
                <c:pt idx="2">
                  <c:v>5.13</c:v>
                </c:pt>
                <c:pt idx="3">
                  <c:v>2.31</c:v>
                </c:pt>
                <c:pt idx="4">
                  <c:v>7.61</c:v>
                </c:pt>
                <c:pt idx="5">
                  <c:v>9.4499999999999993</c:v>
                </c:pt>
                <c:pt idx="6">
                  <c:v>6.32</c:v>
                </c:pt>
                <c:pt idx="7">
                  <c:v>9.7200000000000006</c:v>
                </c:pt>
                <c:pt idx="8">
                  <c:v>1.93</c:v>
                </c:pt>
                <c:pt idx="9">
                  <c:v>2.0499999999999998</c:v>
                </c:pt>
                <c:pt idx="10">
                  <c:v>0.56000000000000005</c:v>
                </c:pt>
                <c:pt idx="11">
                  <c:v>17.2</c:v>
                </c:pt>
                <c:pt idx="12">
                  <c:v>16.670000000000002</c:v>
                </c:pt>
                <c:pt idx="13">
                  <c:v>17.04</c:v>
                </c:pt>
                <c:pt idx="14">
                  <c:v>0.23</c:v>
                </c:pt>
                <c:pt idx="15">
                  <c:v>9.6999999999999993</c:v>
                </c:pt>
                <c:pt idx="16">
                  <c:v>11.11</c:v>
                </c:pt>
                <c:pt idx="17">
                  <c:v>17.23</c:v>
                </c:pt>
                <c:pt idx="18">
                  <c:v>1.4</c:v>
                </c:pt>
                <c:pt idx="19">
                  <c:v>13.42</c:v>
                </c:pt>
                <c:pt idx="20">
                  <c:v>12.09</c:v>
                </c:pt>
                <c:pt idx="21">
                  <c:v>6.62</c:v>
                </c:pt>
                <c:pt idx="22">
                  <c:v>5.83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63-437F-9426-D80A887FFCCC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'17.11'!$D$3:$D$27</c:f>
              <c:numCache>
                <c:formatCode>General</c:formatCode>
                <c:ptCount val="25"/>
                <c:pt idx="0">
                  <c:v>0</c:v>
                </c:pt>
                <c:pt idx="1">
                  <c:v>0.48</c:v>
                </c:pt>
                <c:pt idx="2">
                  <c:v>1</c:v>
                </c:pt>
                <c:pt idx="3">
                  <c:v>0.40000000000000036</c:v>
                </c:pt>
                <c:pt idx="4">
                  <c:v>1.3199999999999994</c:v>
                </c:pt>
                <c:pt idx="5">
                  <c:v>1.8000000000000007</c:v>
                </c:pt>
                <c:pt idx="6">
                  <c:v>1.4000000000000004</c:v>
                </c:pt>
                <c:pt idx="7">
                  <c:v>1.6799999999999997</c:v>
                </c:pt>
                <c:pt idx="8">
                  <c:v>0.40000000000000036</c:v>
                </c:pt>
                <c:pt idx="9">
                  <c:v>2.1999999999999993</c:v>
                </c:pt>
                <c:pt idx="10">
                  <c:v>0.24000000000000021</c:v>
                </c:pt>
                <c:pt idx="11">
                  <c:v>4.879999999999999</c:v>
                </c:pt>
                <c:pt idx="12">
                  <c:v>7.4000000000000021</c:v>
                </c:pt>
                <c:pt idx="13">
                  <c:v>3.4799999999999969</c:v>
                </c:pt>
                <c:pt idx="14">
                  <c:v>0.20000000000000284</c:v>
                </c:pt>
                <c:pt idx="15">
                  <c:v>1.3999999999999986</c:v>
                </c:pt>
                <c:pt idx="16">
                  <c:v>1.6400000000000006</c:v>
                </c:pt>
                <c:pt idx="17">
                  <c:v>2.4799999999999969</c:v>
                </c:pt>
                <c:pt idx="18">
                  <c:v>0.40000000000000568</c:v>
                </c:pt>
                <c:pt idx="19">
                  <c:v>1.8799999999999955</c:v>
                </c:pt>
                <c:pt idx="20">
                  <c:v>1.7199999999999989</c:v>
                </c:pt>
                <c:pt idx="21">
                  <c:v>3</c:v>
                </c:pt>
                <c:pt idx="22">
                  <c:v>0.80000000000000426</c:v>
                </c:pt>
              </c:numCache>
            </c:numRef>
          </c:xVal>
          <c:yVal>
            <c:numRef>
              <c:f>'17.11'!$F$3:$F$27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2.4933333333333332</c:v>
                </c:pt>
                <c:pt idx="2">
                  <c:v>5.6944444444444446</c:v>
                </c:pt>
                <c:pt idx="3">
                  <c:v>2.7333333333333356</c:v>
                </c:pt>
                <c:pt idx="4">
                  <c:v>7.6633333333333296</c:v>
                </c:pt>
                <c:pt idx="5">
                  <c:v>11.350000000000003</c:v>
                </c:pt>
                <c:pt idx="6">
                  <c:v>5.522222222222223</c:v>
                </c:pt>
                <c:pt idx="7">
                  <c:v>7.7933333333333312</c:v>
                </c:pt>
                <c:pt idx="8">
                  <c:v>0</c:v>
                </c:pt>
                <c:pt idx="9">
                  <c:v>7.2111111111111095</c:v>
                </c:pt>
                <c:pt idx="10">
                  <c:v>0.82000000000000073</c:v>
                </c:pt>
                <c:pt idx="11">
                  <c:v>20.468888888888884</c:v>
                </c:pt>
                <c:pt idx="12">
                  <c:v>33.711111111111116</c:v>
                </c:pt>
                <c:pt idx="13">
                  <c:v>19.043333333333315</c:v>
                </c:pt>
                <c:pt idx="14">
                  <c:v>1.288888888888907</c:v>
                </c:pt>
                <c:pt idx="15">
                  <c:v>11.161111111111099</c:v>
                </c:pt>
                <c:pt idx="16">
                  <c:v>11.662222222222226</c:v>
                </c:pt>
                <c:pt idx="17">
                  <c:v>16.671111111111088</c:v>
                </c:pt>
                <c:pt idx="18">
                  <c:v>2.9444444444444864</c:v>
                </c:pt>
                <c:pt idx="19">
                  <c:v>13.264444444444411</c:v>
                </c:pt>
                <c:pt idx="20">
                  <c:v>5.8288888888888843</c:v>
                </c:pt>
                <c:pt idx="21">
                  <c:v>20.583333333333332</c:v>
                </c:pt>
                <c:pt idx="22">
                  <c:v>7.3777777777778173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63-437F-9426-D80A887F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'17.11'!$D$35:$D$56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0.7200000000000002</c:v>
                </c:pt>
                <c:pt idx="2">
                  <c:v>0.60000000000000009</c:v>
                </c:pt>
                <c:pt idx="3">
                  <c:v>1.1599999999999997</c:v>
                </c:pt>
                <c:pt idx="4">
                  <c:v>0.71999999999999975</c:v>
                </c:pt>
                <c:pt idx="5">
                  <c:v>1.1200000000000001</c:v>
                </c:pt>
                <c:pt idx="6">
                  <c:v>8.0000000000000071E-2</c:v>
                </c:pt>
                <c:pt idx="7">
                  <c:v>0.60000000000000053</c:v>
                </c:pt>
                <c:pt idx="8">
                  <c:v>0.87999999999999989</c:v>
                </c:pt>
                <c:pt idx="9">
                  <c:v>4.0000000000000036E-2</c:v>
                </c:pt>
                <c:pt idx="10">
                  <c:v>2.1999999999999993</c:v>
                </c:pt>
                <c:pt idx="11">
                  <c:v>1.1600000000000001</c:v>
                </c:pt>
                <c:pt idx="12">
                  <c:v>0.12000000000000099</c:v>
                </c:pt>
                <c:pt idx="13">
                  <c:v>0.71999999999999886</c:v>
                </c:pt>
                <c:pt idx="14">
                  <c:v>0.88000000000000078</c:v>
                </c:pt>
                <c:pt idx="15">
                  <c:v>1.1199999999999992</c:v>
                </c:pt>
                <c:pt idx="16">
                  <c:v>8.0000000000000071E-2</c:v>
                </c:pt>
                <c:pt idx="17">
                  <c:v>1.120000000000001</c:v>
                </c:pt>
                <c:pt idx="18">
                  <c:v>0.39999999999999858</c:v>
                </c:pt>
                <c:pt idx="19">
                  <c:v>1.5999999999999996</c:v>
                </c:pt>
                <c:pt idx="20">
                  <c:v>2.0800000000000018</c:v>
                </c:pt>
                <c:pt idx="21">
                  <c:v>5.1999999999999993</c:v>
                </c:pt>
              </c:numCache>
            </c:numRef>
          </c:xVal>
          <c:yVal>
            <c:numRef>
              <c:f>'17.11'!$E$35:$E$55</c:f>
              <c:numCache>
                <c:formatCode>General</c:formatCode>
                <c:ptCount val="21"/>
                <c:pt idx="0">
                  <c:v>0</c:v>
                </c:pt>
                <c:pt idx="1">
                  <c:v>4.62</c:v>
                </c:pt>
                <c:pt idx="2">
                  <c:v>0.42</c:v>
                </c:pt>
                <c:pt idx="3">
                  <c:v>10.11</c:v>
                </c:pt>
                <c:pt idx="4">
                  <c:v>3.39</c:v>
                </c:pt>
                <c:pt idx="5">
                  <c:v>6.89</c:v>
                </c:pt>
                <c:pt idx="6">
                  <c:v>-1.1200000000000001</c:v>
                </c:pt>
                <c:pt idx="7">
                  <c:v>4.22</c:v>
                </c:pt>
                <c:pt idx="8">
                  <c:v>1.17</c:v>
                </c:pt>
                <c:pt idx="9">
                  <c:v>0.35</c:v>
                </c:pt>
                <c:pt idx="10">
                  <c:v>-0.1</c:v>
                </c:pt>
                <c:pt idx="11">
                  <c:v>6.39</c:v>
                </c:pt>
                <c:pt idx="12">
                  <c:v>2.82</c:v>
                </c:pt>
                <c:pt idx="13">
                  <c:v>1.96</c:v>
                </c:pt>
                <c:pt idx="14">
                  <c:v>6.12</c:v>
                </c:pt>
                <c:pt idx="15">
                  <c:v>4.97</c:v>
                </c:pt>
                <c:pt idx="16">
                  <c:v>2.69</c:v>
                </c:pt>
                <c:pt idx="17">
                  <c:v>7.59</c:v>
                </c:pt>
                <c:pt idx="18">
                  <c:v>2.7</c:v>
                </c:pt>
                <c:pt idx="19">
                  <c:v>7.24</c:v>
                </c:pt>
                <c:pt idx="20">
                  <c:v>8.0399999999999991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26-41E7-8FD6-054364011036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'17.11'!$D$35:$D$56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0.7200000000000002</c:v>
                </c:pt>
                <c:pt idx="2">
                  <c:v>0.60000000000000009</c:v>
                </c:pt>
                <c:pt idx="3">
                  <c:v>1.1599999999999997</c:v>
                </c:pt>
                <c:pt idx="4">
                  <c:v>0.71999999999999975</c:v>
                </c:pt>
                <c:pt idx="5">
                  <c:v>1.1200000000000001</c:v>
                </c:pt>
                <c:pt idx="6">
                  <c:v>8.0000000000000071E-2</c:v>
                </c:pt>
                <c:pt idx="7">
                  <c:v>0.60000000000000053</c:v>
                </c:pt>
                <c:pt idx="8">
                  <c:v>0.87999999999999989</c:v>
                </c:pt>
                <c:pt idx="9">
                  <c:v>4.0000000000000036E-2</c:v>
                </c:pt>
                <c:pt idx="10">
                  <c:v>2.1999999999999993</c:v>
                </c:pt>
                <c:pt idx="11">
                  <c:v>1.1600000000000001</c:v>
                </c:pt>
                <c:pt idx="12">
                  <c:v>0.12000000000000099</c:v>
                </c:pt>
                <c:pt idx="13">
                  <c:v>0.71999999999999886</c:v>
                </c:pt>
                <c:pt idx="14">
                  <c:v>0.88000000000000078</c:v>
                </c:pt>
                <c:pt idx="15">
                  <c:v>1.1199999999999992</c:v>
                </c:pt>
                <c:pt idx="16">
                  <c:v>8.0000000000000071E-2</c:v>
                </c:pt>
                <c:pt idx="17">
                  <c:v>1.120000000000001</c:v>
                </c:pt>
                <c:pt idx="18">
                  <c:v>0.39999999999999858</c:v>
                </c:pt>
                <c:pt idx="19">
                  <c:v>1.5999999999999996</c:v>
                </c:pt>
                <c:pt idx="20">
                  <c:v>2.0800000000000018</c:v>
                </c:pt>
                <c:pt idx="21">
                  <c:v>5.1999999999999993</c:v>
                </c:pt>
              </c:numCache>
            </c:numRef>
          </c:xVal>
          <c:yVal>
            <c:numRef>
              <c:f>'17.11'!$F$35:$F$56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3.9800000000000009</c:v>
                </c:pt>
                <c:pt idx="2">
                  <c:v>3.3666666666666667</c:v>
                </c:pt>
                <c:pt idx="3">
                  <c:v>8.5711111111111098</c:v>
                </c:pt>
                <c:pt idx="4">
                  <c:v>4.1799999999999979</c:v>
                </c:pt>
                <c:pt idx="5">
                  <c:v>6.6577777777777776</c:v>
                </c:pt>
                <c:pt idx="6">
                  <c:v>0.36000000000000032</c:v>
                </c:pt>
                <c:pt idx="7">
                  <c:v>3.8666666666666698</c:v>
                </c:pt>
                <c:pt idx="8">
                  <c:v>5.0599999999999996</c:v>
                </c:pt>
                <c:pt idx="9">
                  <c:v>0.23777777777777795</c:v>
                </c:pt>
                <c:pt idx="10">
                  <c:v>9.777777777777775</c:v>
                </c:pt>
                <c:pt idx="11">
                  <c:v>7.3144444444444447</c:v>
                </c:pt>
                <c:pt idx="12">
                  <c:v>0</c:v>
                </c:pt>
                <c:pt idx="13">
                  <c:v>4.7599999999999927</c:v>
                </c:pt>
                <c:pt idx="14">
                  <c:v>6.1111111111111169</c:v>
                </c:pt>
                <c:pt idx="15">
                  <c:v>4.0755555555555523</c:v>
                </c:pt>
                <c:pt idx="16">
                  <c:v>0.56222222222222273</c:v>
                </c:pt>
                <c:pt idx="17">
                  <c:v>8.368888888888895</c:v>
                </c:pt>
                <c:pt idx="18">
                  <c:v>1.7888888888888825</c:v>
                </c:pt>
                <c:pt idx="19">
                  <c:v>8.8888888888888875</c:v>
                </c:pt>
                <c:pt idx="20">
                  <c:v>13.52000000000001</c:v>
                </c:pt>
                <c:pt idx="21">
                  <c:v>27.011111111111106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26-41E7-8FD6-054364011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'17.21'!$D$3:$D$27</c:f>
              <c:numCache>
                <c:formatCode>General</c:formatCode>
                <c:ptCount val="25"/>
                <c:pt idx="0">
                  <c:v>0</c:v>
                </c:pt>
                <c:pt idx="1">
                  <c:v>2.16</c:v>
                </c:pt>
                <c:pt idx="2">
                  <c:v>1.92</c:v>
                </c:pt>
                <c:pt idx="3">
                  <c:v>1.88</c:v>
                </c:pt>
                <c:pt idx="4">
                  <c:v>3.8400000000000007</c:v>
                </c:pt>
                <c:pt idx="5">
                  <c:v>1.4799999999999986</c:v>
                </c:pt>
                <c:pt idx="6">
                  <c:v>1.7200000000000006</c:v>
                </c:pt>
                <c:pt idx="7">
                  <c:v>1.2000000000000011</c:v>
                </c:pt>
                <c:pt idx="8">
                  <c:v>0.35999999999999943</c:v>
                </c:pt>
                <c:pt idx="9">
                  <c:v>4.32</c:v>
                </c:pt>
                <c:pt idx="10">
                  <c:v>1.3200000000000003</c:v>
                </c:pt>
                <c:pt idx="11">
                  <c:v>4.8000000000000007</c:v>
                </c:pt>
                <c:pt idx="12">
                  <c:v>5.8799999999999955</c:v>
                </c:pt>
                <c:pt idx="13">
                  <c:v>2.0800000000000054</c:v>
                </c:pt>
                <c:pt idx="14">
                  <c:v>2.9199999999999946</c:v>
                </c:pt>
                <c:pt idx="15">
                  <c:v>1.2800000000000011</c:v>
                </c:pt>
              </c:numCache>
            </c:numRef>
          </c:xVal>
          <c:yVal>
            <c:numRef>
              <c:f>'17.21'!$E$3:$E$27</c:f>
              <c:numCache>
                <c:formatCode>General</c:formatCode>
                <c:ptCount val="25"/>
                <c:pt idx="0">
                  <c:v>0</c:v>
                </c:pt>
                <c:pt idx="1">
                  <c:v>10.54</c:v>
                </c:pt>
                <c:pt idx="2">
                  <c:v>11.88</c:v>
                </c:pt>
                <c:pt idx="3">
                  <c:v>10.32</c:v>
                </c:pt>
                <c:pt idx="4">
                  <c:v>16.62</c:v>
                </c:pt>
                <c:pt idx="5">
                  <c:v>5.21</c:v>
                </c:pt>
                <c:pt idx="6">
                  <c:v>6.55</c:v>
                </c:pt>
                <c:pt idx="7">
                  <c:v>7.33</c:v>
                </c:pt>
                <c:pt idx="8">
                  <c:v>1.93</c:v>
                </c:pt>
                <c:pt idx="9">
                  <c:v>15.7</c:v>
                </c:pt>
                <c:pt idx="10">
                  <c:v>8.1999999999999993</c:v>
                </c:pt>
                <c:pt idx="11">
                  <c:v>18.13</c:v>
                </c:pt>
                <c:pt idx="12">
                  <c:v>11.74</c:v>
                </c:pt>
                <c:pt idx="13">
                  <c:v>12.1</c:v>
                </c:pt>
                <c:pt idx="14">
                  <c:v>12.15</c:v>
                </c:pt>
                <c:pt idx="15">
                  <c:v>8.85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5B-4B59-9E28-8894D8E20E76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'17.21'!$D$3:$D$27</c:f>
              <c:numCache>
                <c:formatCode>General</c:formatCode>
                <c:ptCount val="25"/>
                <c:pt idx="0">
                  <c:v>0</c:v>
                </c:pt>
                <c:pt idx="1">
                  <c:v>2.16</c:v>
                </c:pt>
                <c:pt idx="2">
                  <c:v>1.92</c:v>
                </c:pt>
                <c:pt idx="3">
                  <c:v>1.88</c:v>
                </c:pt>
                <c:pt idx="4">
                  <c:v>3.8400000000000007</c:v>
                </c:pt>
                <c:pt idx="5">
                  <c:v>1.4799999999999986</c:v>
                </c:pt>
                <c:pt idx="6">
                  <c:v>1.7200000000000006</c:v>
                </c:pt>
                <c:pt idx="7">
                  <c:v>1.2000000000000011</c:v>
                </c:pt>
                <c:pt idx="8">
                  <c:v>0.35999999999999943</c:v>
                </c:pt>
                <c:pt idx="9">
                  <c:v>4.32</c:v>
                </c:pt>
                <c:pt idx="10">
                  <c:v>1.3200000000000003</c:v>
                </c:pt>
                <c:pt idx="11">
                  <c:v>4.8000000000000007</c:v>
                </c:pt>
                <c:pt idx="12">
                  <c:v>5.8799999999999955</c:v>
                </c:pt>
                <c:pt idx="13">
                  <c:v>2.0800000000000054</c:v>
                </c:pt>
                <c:pt idx="14">
                  <c:v>2.9199999999999946</c:v>
                </c:pt>
                <c:pt idx="15">
                  <c:v>1.2800000000000011</c:v>
                </c:pt>
              </c:numCache>
            </c:numRef>
          </c:xVal>
          <c:yVal>
            <c:numRef>
              <c:f>'17.21'!$F$3:$F$27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10.680000000000001</c:v>
                </c:pt>
                <c:pt idx="2">
                  <c:v>12.213333333333331</c:v>
                </c:pt>
                <c:pt idx="3">
                  <c:v>11.802222222222222</c:v>
                </c:pt>
                <c:pt idx="4">
                  <c:v>18.026666666666667</c:v>
                </c:pt>
                <c:pt idx="5">
                  <c:v>6.2488888888888825</c:v>
                </c:pt>
                <c:pt idx="6">
                  <c:v>11.275555555555561</c:v>
                </c:pt>
                <c:pt idx="7">
                  <c:v>6.8666666666666734</c:v>
                </c:pt>
                <c:pt idx="8">
                  <c:v>2.3599999999999963</c:v>
                </c:pt>
                <c:pt idx="9">
                  <c:v>24.48</c:v>
                </c:pt>
                <c:pt idx="10">
                  <c:v>7.7366666666666681</c:v>
                </c:pt>
                <c:pt idx="11">
                  <c:v>35.600000000000009</c:v>
                </c:pt>
                <c:pt idx="12">
                  <c:v>45.243333333333297</c:v>
                </c:pt>
                <c:pt idx="13">
                  <c:v>9.9955555555555815</c:v>
                </c:pt>
                <c:pt idx="14">
                  <c:v>24.171111111111063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5B-4B59-9E28-8894D8E20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Gap (Projection)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'17.21'!$D$35:$D$56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0.60000000000000009</c:v>
                </c:pt>
                <c:pt idx="2">
                  <c:v>0.75999999999999979</c:v>
                </c:pt>
                <c:pt idx="3">
                  <c:v>0.79999999999999982</c:v>
                </c:pt>
                <c:pt idx="4">
                  <c:v>1</c:v>
                </c:pt>
                <c:pt idx="5">
                  <c:v>1.3200000000000003</c:v>
                </c:pt>
                <c:pt idx="6">
                  <c:v>1.5199999999999996</c:v>
                </c:pt>
                <c:pt idx="7">
                  <c:v>0.16000000000000014</c:v>
                </c:pt>
                <c:pt idx="8">
                  <c:v>1.6400000000000006</c:v>
                </c:pt>
                <c:pt idx="9">
                  <c:v>1.5999999999999996</c:v>
                </c:pt>
                <c:pt idx="10">
                  <c:v>0.16000000000000014</c:v>
                </c:pt>
                <c:pt idx="11">
                  <c:v>2.1199999999999992</c:v>
                </c:pt>
                <c:pt idx="12">
                  <c:v>0</c:v>
                </c:pt>
                <c:pt idx="13">
                  <c:v>1.4800000000000004</c:v>
                </c:pt>
                <c:pt idx="14">
                  <c:v>2.8000000000000007</c:v>
                </c:pt>
                <c:pt idx="15">
                  <c:v>0.64000000000000057</c:v>
                </c:pt>
                <c:pt idx="16">
                  <c:v>0.27999999999999758</c:v>
                </c:pt>
                <c:pt idx="17">
                  <c:v>1.8000000000000007</c:v>
                </c:pt>
                <c:pt idx="18">
                  <c:v>8.0000000000001847E-2</c:v>
                </c:pt>
                <c:pt idx="19">
                  <c:v>1.4399999999999977</c:v>
                </c:pt>
                <c:pt idx="20">
                  <c:v>0.28000000000000114</c:v>
                </c:pt>
                <c:pt idx="21">
                  <c:v>3.9200000000000017</c:v>
                </c:pt>
              </c:numCache>
            </c:numRef>
          </c:xVal>
          <c:yVal>
            <c:numRef>
              <c:f>'17.21'!$E$35:$E$55</c:f>
              <c:numCache>
                <c:formatCode>General</c:formatCode>
                <c:ptCount val="21"/>
                <c:pt idx="0">
                  <c:v>0</c:v>
                </c:pt>
                <c:pt idx="1">
                  <c:v>2.85</c:v>
                </c:pt>
                <c:pt idx="2">
                  <c:v>4.9400000000000004</c:v>
                </c:pt>
                <c:pt idx="3">
                  <c:v>4.34</c:v>
                </c:pt>
                <c:pt idx="4">
                  <c:v>6.51</c:v>
                </c:pt>
                <c:pt idx="5">
                  <c:v>6</c:v>
                </c:pt>
                <c:pt idx="6">
                  <c:v>10.42</c:v>
                </c:pt>
                <c:pt idx="7">
                  <c:v>0.77</c:v>
                </c:pt>
                <c:pt idx="8">
                  <c:v>9.58</c:v>
                </c:pt>
                <c:pt idx="9">
                  <c:v>6.97</c:v>
                </c:pt>
                <c:pt idx="10">
                  <c:v>-0.47</c:v>
                </c:pt>
                <c:pt idx="11">
                  <c:v>14.51</c:v>
                </c:pt>
                <c:pt idx="12">
                  <c:v>2.41</c:v>
                </c:pt>
                <c:pt idx="13">
                  <c:v>7.64</c:v>
                </c:pt>
                <c:pt idx="14">
                  <c:v>15.61</c:v>
                </c:pt>
                <c:pt idx="15">
                  <c:v>4.99</c:v>
                </c:pt>
                <c:pt idx="16">
                  <c:v>1.88</c:v>
                </c:pt>
                <c:pt idx="17">
                  <c:v>-0.53</c:v>
                </c:pt>
                <c:pt idx="18">
                  <c:v>0.87</c:v>
                </c:pt>
                <c:pt idx="19">
                  <c:v>1.1399999999999999</c:v>
                </c:pt>
                <c:pt idx="20">
                  <c:v>-1.65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B-4913-A9A8-910F068E3940}"/>
            </c:ext>
          </c:extLst>
        </c:ser>
        <c:ser>
          <c:idx val="1"/>
          <c:order val="1"/>
          <c:tx>
            <c:v>Gap (Deduced)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'17.21'!$D$35:$D$56</c:f>
              <c:numCache>
                <c:formatCode>General</c:formatCode>
                <c:ptCount val="22"/>
                <c:pt idx="0">
                  <c:v>0</c:v>
                </c:pt>
                <c:pt idx="1">
                  <c:v>0.60000000000000009</c:v>
                </c:pt>
                <c:pt idx="2">
                  <c:v>0.75999999999999979</c:v>
                </c:pt>
                <c:pt idx="3">
                  <c:v>0.79999999999999982</c:v>
                </c:pt>
                <c:pt idx="4">
                  <c:v>1</c:v>
                </c:pt>
                <c:pt idx="5">
                  <c:v>1.3200000000000003</c:v>
                </c:pt>
                <c:pt idx="6">
                  <c:v>1.5199999999999996</c:v>
                </c:pt>
                <c:pt idx="7">
                  <c:v>0.16000000000000014</c:v>
                </c:pt>
                <c:pt idx="8">
                  <c:v>1.6400000000000006</c:v>
                </c:pt>
                <c:pt idx="9">
                  <c:v>1.5999999999999996</c:v>
                </c:pt>
                <c:pt idx="10">
                  <c:v>0.16000000000000014</c:v>
                </c:pt>
                <c:pt idx="11">
                  <c:v>2.1199999999999992</c:v>
                </c:pt>
                <c:pt idx="12">
                  <c:v>0</c:v>
                </c:pt>
                <c:pt idx="13">
                  <c:v>1.4800000000000004</c:v>
                </c:pt>
                <c:pt idx="14">
                  <c:v>2.8000000000000007</c:v>
                </c:pt>
                <c:pt idx="15">
                  <c:v>0.64000000000000057</c:v>
                </c:pt>
                <c:pt idx="16">
                  <c:v>0.27999999999999758</c:v>
                </c:pt>
                <c:pt idx="17">
                  <c:v>1.8000000000000007</c:v>
                </c:pt>
                <c:pt idx="18">
                  <c:v>8.0000000000001847E-2</c:v>
                </c:pt>
                <c:pt idx="19">
                  <c:v>1.4399999999999977</c:v>
                </c:pt>
                <c:pt idx="20">
                  <c:v>0.28000000000000114</c:v>
                </c:pt>
                <c:pt idx="21">
                  <c:v>3.9200000000000017</c:v>
                </c:pt>
              </c:numCache>
            </c:numRef>
          </c:xVal>
          <c:yVal>
            <c:numRef>
              <c:f>'17.21'!$F$35:$F$56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3.683333333333334</c:v>
                </c:pt>
                <c:pt idx="2">
                  <c:v>0</c:v>
                </c:pt>
                <c:pt idx="3">
                  <c:v>5.3999999999999995</c:v>
                </c:pt>
                <c:pt idx="4">
                  <c:v>6.75</c:v>
                </c:pt>
                <c:pt idx="5">
                  <c:v>7.1133333333333342</c:v>
                </c:pt>
                <c:pt idx="6">
                  <c:v>7.6844444444444413</c:v>
                </c:pt>
                <c:pt idx="7">
                  <c:v>0.93333333333333413</c:v>
                </c:pt>
                <c:pt idx="8">
                  <c:v>9.3844444444444477</c:v>
                </c:pt>
                <c:pt idx="9">
                  <c:v>9.4222222222222207</c:v>
                </c:pt>
                <c:pt idx="10">
                  <c:v>0.9511111111111118</c:v>
                </c:pt>
                <c:pt idx="11">
                  <c:v>13.95666666666666</c:v>
                </c:pt>
                <c:pt idx="12">
                  <c:v>0</c:v>
                </c:pt>
                <c:pt idx="13">
                  <c:v>9.620000000000001</c:v>
                </c:pt>
                <c:pt idx="14">
                  <c:v>16.100000000000005</c:v>
                </c:pt>
                <c:pt idx="15">
                  <c:v>4.5333333333333377</c:v>
                </c:pt>
                <c:pt idx="16">
                  <c:v>0</c:v>
                </c:pt>
                <c:pt idx="17">
                  <c:v>13.100000000000005</c:v>
                </c:pt>
                <c:pt idx="18">
                  <c:v>0</c:v>
                </c:pt>
                <c:pt idx="19">
                  <c:v>0</c:v>
                </c:pt>
                <c:pt idx="20">
                  <c:v>2.3800000000000097</c:v>
                </c:pt>
                <c:pt idx="21">
                  <c:v>29.726666666666681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5B-4913-A9A8-910F068E3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790736"/>
        <c:axId val="795790256"/>
      </c:scatterChart>
      <c:valAx>
        <c:axId val="7957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Headway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256"/>
        <c:crosses val="autoZero"/>
        <c:crossBetween val="midCat"/>
      </c:valAx>
      <c:valAx>
        <c:axId val="795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'Cars L2'!$D$2:$D$101</c:f>
              <c:numCache>
                <c:formatCode>0.00</c:formatCode>
                <c:ptCount val="100"/>
                <c:pt idx="0" formatCode="General">
                  <c:v>0</c:v>
                </c:pt>
                <c:pt idx="1">
                  <c:v>2.16</c:v>
                </c:pt>
                <c:pt idx="2">
                  <c:v>2.6399999999999988</c:v>
                </c:pt>
                <c:pt idx="3">
                  <c:v>1.6799999999999997</c:v>
                </c:pt>
                <c:pt idx="4">
                  <c:v>2.6799999999999997</c:v>
                </c:pt>
                <c:pt idx="5">
                  <c:v>1.5999999999999979</c:v>
                </c:pt>
                <c:pt idx="6">
                  <c:v>1.6000000000000014</c:v>
                </c:pt>
                <c:pt idx="7">
                  <c:v>1.2000000000000028</c:v>
                </c:pt>
                <c:pt idx="8">
                  <c:v>0.79999999999999716</c:v>
                </c:pt>
                <c:pt idx="9">
                  <c:v>1.4799999999999969</c:v>
                </c:pt>
                <c:pt idx="10" formatCode="General">
                  <c:v>1.2400000000000002</c:v>
                </c:pt>
                <c:pt idx="11" formatCode="General">
                  <c:v>1.3599999999999994</c:v>
                </c:pt>
                <c:pt idx="12" formatCode="General">
                  <c:v>1.6000000000000014</c:v>
                </c:pt>
                <c:pt idx="13" formatCode="General">
                  <c:v>3.9999999999999147E-2</c:v>
                </c:pt>
                <c:pt idx="14" formatCode="General">
                  <c:v>2.0799999999999983</c:v>
                </c:pt>
                <c:pt idx="15" formatCode="General">
                  <c:v>2.8800000000000026</c:v>
                </c:pt>
                <c:pt idx="16" formatCode="General">
                  <c:v>1.8000000000000007</c:v>
                </c:pt>
                <c:pt idx="17" formatCode="General">
                  <c:v>2</c:v>
                </c:pt>
                <c:pt idx="18" formatCode="General">
                  <c:v>1.9600000000000004</c:v>
                </c:pt>
                <c:pt idx="19" formatCode="General">
                  <c:v>0.59999999999999964</c:v>
                </c:pt>
                <c:pt idx="20" formatCode="General">
                  <c:v>0.91999999999999993</c:v>
                </c:pt>
                <c:pt idx="21" formatCode="General">
                  <c:v>1.08</c:v>
                </c:pt>
                <c:pt idx="22" formatCode="General">
                  <c:v>1.879999999999999</c:v>
                </c:pt>
                <c:pt idx="23" formatCode="General">
                  <c:v>3.120000000000001</c:v>
                </c:pt>
                <c:pt idx="24" formatCode="General">
                  <c:v>2.3200000000000003</c:v>
                </c:pt>
                <c:pt idx="25" formatCode="General">
                  <c:v>2.759999999999998</c:v>
                </c:pt>
                <c:pt idx="26" formatCode="General">
                  <c:v>2.0400000000000027</c:v>
                </c:pt>
                <c:pt idx="27" formatCode="General">
                  <c:v>2.8800000000000003</c:v>
                </c:pt>
                <c:pt idx="28" formatCode="General">
                  <c:v>0.20000000000000018</c:v>
                </c:pt>
                <c:pt idx="29" formatCode="General">
                  <c:v>3.0399999999999991</c:v>
                </c:pt>
                <c:pt idx="30" formatCode="General">
                  <c:v>1.3599999999999994</c:v>
                </c:pt>
                <c:pt idx="31" formatCode="General">
                  <c:v>1.4400000000000013</c:v>
                </c:pt>
                <c:pt idx="32" formatCode="General">
                  <c:v>2.2799999999999976</c:v>
                </c:pt>
                <c:pt idx="33" formatCode="General">
                  <c:v>2</c:v>
                </c:pt>
                <c:pt idx="34" formatCode="General">
                  <c:v>1.04</c:v>
                </c:pt>
                <c:pt idx="35" formatCode="General">
                  <c:v>0.67999999999999972</c:v>
                </c:pt>
                <c:pt idx="36" formatCode="General">
                  <c:v>0.87999999999999901</c:v>
                </c:pt>
                <c:pt idx="37" formatCode="General">
                  <c:v>1.9199999999999982</c:v>
                </c:pt>
                <c:pt idx="38" formatCode="General">
                  <c:v>1.120000000000001</c:v>
                </c:pt>
                <c:pt idx="39" formatCode="General">
                  <c:v>0.60000000000000142</c:v>
                </c:pt>
                <c:pt idx="40" formatCode="General">
                  <c:v>2.240000000000002</c:v>
                </c:pt>
                <c:pt idx="41" formatCode="General">
                  <c:v>0.35999999999999943</c:v>
                </c:pt>
                <c:pt idx="42" formatCode="General">
                  <c:v>2.1999999999999993</c:v>
                </c:pt>
                <c:pt idx="43" formatCode="General">
                  <c:v>0.40000000000000036</c:v>
                </c:pt>
                <c:pt idx="44" formatCode="General">
                  <c:v>2.08</c:v>
                </c:pt>
                <c:pt idx="45" formatCode="General">
                  <c:v>0.67999999999999972</c:v>
                </c:pt>
                <c:pt idx="46" formatCode="General">
                  <c:v>2.120000000000001</c:v>
                </c:pt>
                <c:pt idx="47" formatCode="General">
                  <c:v>2.1999999999999993</c:v>
                </c:pt>
                <c:pt idx="48" formatCode="General">
                  <c:v>1.6399999999999988</c:v>
                </c:pt>
                <c:pt idx="49" formatCode="General">
                  <c:v>2.08</c:v>
                </c:pt>
                <c:pt idx="50" formatCode="General">
                  <c:v>3.879999999999999</c:v>
                </c:pt>
                <c:pt idx="51" formatCode="General">
                  <c:v>2.0800000000000018</c:v>
                </c:pt>
                <c:pt idx="52" formatCode="General">
                  <c:v>1.879999999999999</c:v>
                </c:pt>
                <c:pt idx="53" formatCode="General">
                  <c:v>1</c:v>
                </c:pt>
                <c:pt idx="54" formatCode="General">
                  <c:v>0.87999999999999901</c:v>
                </c:pt>
                <c:pt idx="55" formatCode="General">
                  <c:v>1.3200000000000003</c:v>
                </c:pt>
                <c:pt idx="56" formatCode="General">
                  <c:v>1.5999999999999996</c:v>
                </c:pt>
                <c:pt idx="57" formatCode="General">
                  <c:v>2.4000000000000004</c:v>
                </c:pt>
                <c:pt idx="58" formatCode="General">
                  <c:v>0.47999999999999687</c:v>
                </c:pt>
                <c:pt idx="59" formatCode="General">
                  <c:v>1.7200000000000024</c:v>
                </c:pt>
                <c:pt idx="60" formatCode="General">
                  <c:v>1.3999999999999986</c:v>
                </c:pt>
                <c:pt idx="61" formatCode="General">
                  <c:v>2</c:v>
                </c:pt>
                <c:pt idx="62" formatCode="General">
                  <c:v>1.8799999999999955</c:v>
                </c:pt>
                <c:pt idx="63" formatCode="General">
                  <c:v>2.3199999999999998</c:v>
                </c:pt>
                <c:pt idx="64" formatCode="General">
                  <c:v>2</c:v>
                </c:pt>
                <c:pt idx="65" formatCode="General">
                  <c:v>1.2800000000000002</c:v>
                </c:pt>
                <c:pt idx="66" formatCode="General">
                  <c:v>2.08</c:v>
                </c:pt>
                <c:pt idx="67" formatCode="General">
                  <c:v>2.240000000000002</c:v>
                </c:pt>
                <c:pt idx="68" formatCode="General">
                  <c:v>1.5999999999999979</c:v>
                </c:pt>
                <c:pt idx="69" formatCode="General">
                  <c:v>1.6799999999999997</c:v>
                </c:pt>
                <c:pt idx="70" formatCode="General">
                  <c:v>2</c:v>
                </c:pt>
                <c:pt idx="71" formatCode="General">
                  <c:v>1.72</c:v>
                </c:pt>
                <c:pt idx="72" formatCode="General">
                  <c:v>1.7199999999999998</c:v>
                </c:pt>
                <c:pt idx="73" formatCode="General">
                  <c:v>1.96</c:v>
                </c:pt>
                <c:pt idx="74" formatCode="General">
                  <c:v>1.2400000000000002</c:v>
                </c:pt>
                <c:pt idx="75" formatCode="General">
                  <c:v>1.1999999999999993</c:v>
                </c:pt>
                <c:pt idx="76" formatCode="General">
                  <c:v>0.80000000000000071</c:v>
                </c:pt>
                <c:pt idx="77" formatCode="General">
                  <c:v>0.24000000000000021</c:v>
                </c:pt>
                <c:pt idx="78" formatCode="General">
                  <c:v>1.1999999999999993</c:v>
                </c:pt>
                <c:pt idx="79" formatCode="General">
                  <c:v>1.3999999999999986</c:v>
                </c:pt>
                <c:pt idx="80" formatCode="General">
                  <c:v>1.8000000000000007</c:v>
                </c:pt>
                <c:pt idx="81" formatCode="General">
                  <c:v>1</c:v>
                </c:pt>
                <c:pt idx="82" formatCode="General">
                  <c:v>1.8000000000000007</c:v>
                </c:pt>
                <c:pt idx="83" formatCode="General">
                  <c:v>1.4000000000000004</c:v>
                </c:pt>
                <c:pt idx="84" formatCode="General">
                  <c:v>1.6799999999999997</c:v>
                </c:pt>
                <c:pt idx="85" formatCode="General">
                  <c:v>0.24000000000000021</c:v>
                </c:pt>
                <c:pt idx="86" formatCode="General">
                  <c:v>3.4799999999999969</c:v>
                </c:pt>
                <c:pt idx="87" formatCode="General">
                  <c:v>0.20000000000000284</c:v>
                </c:pt>
                <c:pt idx="88" formatCode="General">
                  <c:v>1.3999999999999986</c:v>
                </c:pt>
                <c:pt idx="89" formatCode="General">
                  <c:v>1.6400000000000006</c:v>
                </c:pt>
                <c:pt idx="90" formatCode="General">
                  <c:v>2.4799999999999969</c:v>
                </c:pt>
                <c:pt idx="91" formatCode="General">
                  <c:v>0.40000000000000568</c:v>
                </c:pt>
                <c:pt idx="92" formatCode="General">
                  <c:v>1.8799999999999955</c:v>
                </c:pt>
                <c:pt idx="93" formatCode="General">
                  <c:v>2.16</c:v>
                </c:pt>
                <c:pt idx="94" formatCode="General">
                  <c:v>1.92</c:v>
                </c:pt>
                <c:pt idx="95" formatCode="General">
                  <c:v>1.7200000000000006</c:v>
                </c:pt>
                <c:pt idx="96" formatCode="General">
                  <c:v>1.2000000000000011</c:v>
                </c:pt>
                <c:pt idx="97" formatCode="General">
                  <c:v>0.35999999999999943</c:v>
                </c:pt>
                <c:pt idx="98" formatCode="General">
                  <c:v>1.3200000000000003</c:v>
                </c:pt>
                <c:pt idx="99" formatCode="General">
                  <c:v>2.9199999999999946</c:v>
                </c:pt>
              </c:numCache>
            </c:numRef>
          </c:xVal>
          <c:yVal>
            <c:numRef>
              <c:f>'Cars L2'!$E$2:$E$101</c:f>
              <c:numCache>
                <c:formatCode>General</c:formatCode>
                <c:ptCount val="100"/>
                <c:pt idx="0">
                  <c:v>0</c:v>
                </c:pt>
                <c:pt idx="1">
                  <c:v>9.4</c:v>
                </c:pt>
                <c:pt idx="2">
                  <c:v>10.42</c:v>
                </c:pt>
                <c:pt idx="3">
                  <c:v>8.8800000000000008</c:v>
                </c:pt>
                <c:pt idx="4">
                  <c:v>11.16</c:v>
                </c:pt>
                <c:pt idx="5">
                  <c:v>7.12</c:v>
                </c:pt>
                <c:pt idx="6">
                  <c:v>5.01</c:v>
                </c:pt>
                <c:pt idx="7">
                  <c:v>4.9000000000000004</c:v>
                </c:pt>
                <c:pt idx="8">
                  <c:v>3.62</c:v>
                </c:pt>
                <c:pt idx="9">
                  <c:v>4.8099999999999996</c:v>
                </c:pt>
                <c:pt idx="10">
                  <c:v>8.11</c:v>
                </c:pt>
                <c:pt idx="11">
                  <c:v>3.83</c:v>
                </c:pt>
                <c:pt idx="12">
                  <c:v>9.01</c:v>
                </c:pt>
                <c:pt idx="13">
                  <c:v>0.26</c:v>
                </c:pt>
                <c:pt idx="14">
                  <c:v>10.18</c:v>
                </c:pt>
                <c:pt idx="15" formatCode="0.00">
                  <c:v>13.04</c:v>
                </c:pt>
                <c:pt idx="16">
                  <c:v>7.9</c:v>
                </c:pt>
                <c:pt idx="17">
                  <c:v>11.64</c:v>
                </c:pt>
                <c:pt idx="18">
                  <c:v>11.34</c:v>
                </c:pt>
                <c:pt idx="19">
                  <c:v>4.5199999999999996</c:v>
                </c:pt>
                <c:pt idx="20">
                  <c:v>1.5</c:v>
                </c:pt>
                <c:pt idx="21">
                  <c:v>9.11</c:v>
                </c:pt>
                <c:pt idx="22">
                  <c:v>11.21</c:v>
                </c:pt>
                <c:pt idx="23">
                  <c:v>16.72</c:v>
                </c:pt>
                <c:pt idx="24">
                  <c:v>16.59</c:v>
                </c:pt>
                <c:pt idx="25">
                  <c:v>17.5</c:v>
                </c:pt>
                <c:pt idx="26">
                  <c:v>13.26</c:v>
                </c:pt>
                <c:pt idx="27">
                  <c:v>16.64</c:v>
                </c:pt>
                <c:pt idx="28">
                  <c:v>1.67</c:v>
                </c:pt>
                <c:pt idx="29">
                  <c:v>12.69</c:v>
                </c:pt>
                <c:pt idx="30">
                  <c:v>8.36</c:v>
                </c:pt>
                <c:pt idx="31">
                  <c:v>11.96</c:v>
                </c:pt>
                <c:pt idx="32">
                  <c:v>13.82</c:v>
                </c:pt>
                <c:pt idx="33">
                  <c:v>11.4</c:v>
                </c:pt>
                <c:pt idx="34">
                  <c:v>9.0399999999999991</c:v>
                </c:pt>
                <c:pt idx="35">
                  <c:v>1.89</c:v>
                </c:pt>
                <c:pt idx="36">
                  <c:v>6.1</c:v>
                </c:pt>
                <c:pt idx="37">
                  <c:v>11.05</c:v>
                </c:pt>
                <c:pt idx="38">
                  <c:v>6.47</c:v>
                </c:pt>
                <c:pt idx="39">
                  <c:v>2.48</c:v>
                </c:pt>
                <c:pt idx="40">
                  <c:v>9.8000000000000007</c:v>
                </c:pt>
                <c:pt idx="41">
                  <c:v>2.46</c:v>
                </c:pt>
                <c:pt idx="42">
                  <c:v>11.79</c:v>
                </c:pt>
                <c:pt idx="43">
                  <c:v>3.04</c:v>
                </c:pt>
                <c:pt idx="44">
                  <c:v>9.49</c:v>
                </c:pt>
                <c:pt idx="45">
                  <c:v>4.62</c:v>
                </c:pt>
                <c:pt idx="46">
                  <c:v>9.2100000000000009</c:v>
                </c:pt>
                <c:pt idx="47">
                  <c:v>12.6</c:v>
                </c:pt>
                <c:pt idx="48">
                  <c:v>7</c:v>
                </c:pt>
                <c:pt idx="49">
                  <c:v>13.23</c:v>
                </c:pt>
                <c:pt idx="50">
                  <c:v>16</c:v>
                </c:pt>
                <c:pt idx="51">
                  <c:v>9.6300000000000008</c:v>
                </c:pt>
                <c:pt idx="52">
                  <c:v>10.38</c:v>
                </c:pt>
                <c:pt idx="53">
                  <c:v>4.72</c:v>
                </c:pt>
                <c:pt idx="54">
                  <c:v>5.84</c:v>
                </c:pt>
                <c:pt idx="55">
                  <c:v>7.06</c:v>
                </c:pt>
                <c:pt idx="56">
                  <c:v>9.4499999999999993</c:v>
                </c:pt>
                <c:pt idx="57">
                  <c:v>13.1</c:v>
                </c:pt>
                <c:pt idx="58">
                  <c:v>3.97</c:v>
                </c:pt>
                <c:pt idx="59">
                  <c:v>9.49</c:v>
                </c:pt>
                <c:pt idx="60">
                  <c:v>9.74</c:v>
                </c:pt>
                <c:pt idx="61">
                  <c:v>12.79</c:v>
                </c:pt>
                <c:pt idx="62">
                  <c:v>7.41</c:v>
                </c:pt>
                <c:pt idx="63">
                  <c:v>13.52</c:v>
                </c:pt>
                <c:pt idx="64">
                  <c:v>11.45</c:v>
                </c:pt>
                <c:pt idx="65">
                  <c:v>7.14</c:v>
                </c:pt>
                <c:pt idx="66">
                  <c:v>10.81</c:v>
                </c:pt>
                <c:pt idx="67">
                  <c:v>10.55</c:v>
                </c:pt>
                <c:pt idx="68">
                  <c:v>8.68</c:v>
                </c:pt>
                <c:pt idx="69">
                  <c:v>10.74</c:v>
                </c:pt>
                <c:pt idx="70">
                  <c:v>11.23</c:v>
                </c:pt>
                <c:pt idx="71">
                  <c:v>11.84</c:v>
                </c:pt>
                <c:pt idx="72">
                  <c:v>10.9</c:v>
                </c:pt>
                <c:pt idx="73">
                  <c:v>7.47</c:v>
                </c:pt>
                <c:pt idx="74">
                  <c:v>8.75</c:v>
                </c:pt>
                <c:pt idx="75">
                  <c:v>4.05</c:v>
                </c:pt>
                <c:pt idx="76">
                  <c:v>7.41</c:v>
                </c:pt>
                <c:pt idx="77">
                  <c:v>1.05</c:v>
                </c:pt>
                <c:pt idx="78">
                  <c:v>9.8800000000000008</c:v>
                </c:pt>
                <c:pt idx="79">
                  <c:v>9.75</c:v>
                </c:pt>
                <c:pt idx="80">
                  <c:v>9.0299999999999994</c:v>
                </c:pt>
                <c:pt idx="81">
                  <c:v>5.13</c:v>
                </c:pt>
                <c:pt idx="82">
                  <c:v>9.4499999999999993</c:v>
                </c:pt>
                <c:pt idx="83">
                  <c:v>6.32</c:v>
                </c:pt>
                <c:pt idx="84">
                  <c:v>9.7200000000000006</c:v>
                </c:pt>
                <c:pt idx="85">
                  <c:v>0.56000000000000005</c:v>
                </c:pt>
                <c:pt idx="86">
                  <c:v>17.04</c:v>
                </c:pt>
                <c:pt idx="87">
                  <c:v>0.23</c:v>
                </c:pt>
                <c:pt idx="88">
                  <c:v>9.6999999999999993</c:v>
                </c:pt>
                <c:pt idx="89">
                  <c:v>11.11</c:v>
                </c:pt>
                <c:pt idx="90">
                  <c:v>17.23</c:v>
                </c:pt>
                <c:pt idx="91">
                  <c:v>1.4</c:v>
                </c:pt>
                <c:pt idx="92">
                  <c:v>13.42</c:v>
                </c:pt>
                <c:pt idx="93">
                  <c:v>10.54</c:v>
                </c:pt>
                <c:pt idx="94">
                  <c:v>11.88</c:v>
                </c:pt>
                <c:pt idx="95">
                  <c:v>6.55</c:v>
                </c:pt>
                <c:pt idx="96">
                  <c:v>7.33</c:v>
                </c:pt>
                <c:pt idx="97">
                  <c:v>1.93</c:v>
                </c:pt>
                <c:pt idx="98">
                  <c:v>8.1999999999999993</c:v>
                </c:pt>
                <c:pt idx="99">
                  <c:v>12.15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6-41B7-8597-25B2D9D85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'Cars L2'!$D$2:$D$101</c:f>
              <c:numCache>
                <c:formatCode>0.00</c:formatCode>
                <c:ptCount val="100"/>
                <c:pt idx="0" formatCode="General">
                  <c:v>0</c:v>
                </c:pt>
                <c:pt idx="1">
                  <c:v>2.16</c:v>
                </c:pt>
                <c:pt idx="2">
                  <c:v>2.6399999999999988</c:v>
                </c:pt>
                <c:pt idx="3">
                  <c:v>1.6799999999999997</c:v>
                </c:pt>
                <c:pt idx="4">
                  <c:v>2.6799999999999997</c:v>
                </c:pt>
                <c:pt idx="5">
                  <c:v>1.5999999999999979</c:v>
                </c:pt>
                <c:pt idx="6">
                  <c:v>1.6000000000000014</c:v>
                </c:pt>
                <c:pt idx="7">
                  <c:v>1.2000000000000028</c:v>
                </c:pt>
                <c:pt idx="8">
                  <c:v>0.79999999999999716</c:v>
                </c:pt>
                <c:pt idx="9">
                  <c:v>1.4799999999999969</c:v>
                </c:pt>
                <c:pt idx="10" formatCode="General">
                  <c:v>1.2400000000000002</c:v>
                </c:pt>
                <c:pt idx="11" formatCode="General">
                  <c:v>1.3599999999999994</c:v>
                </c:pt>
                <c:pt idx="12" formatCode="General">
                  <c:v>1.6000000000000014</c:v>
                </c:pt>
                <c:pt idx="13" formatCode="General">
                  <c:v>3.9999999999999147E-2</c:v>
                </c:pt>
                <c:pt idx="14" formatCode="General">
                  <c:v>2.0799999999999983</c:v>
                </c:pt>
                <c:pt idx="15" formatCode="General">
                  <c:v>2.8800000000000026</c:v>
                </c:pt>
                <c:pt idx="16" formatCode="General">
                  <c:v>1.8000000000000007</c:v>
                </c:pt>
                <c:pt idx="17" formatCode="General">
                  <c:v>2</c:v>
                </c:pt>
                <c:pt idx="18" formatCode="General">
                  <c:v>1.9600000000000004</c:v>
                </c:pt>
                <c:pt idx="19" formatCode="General">
                  <c:v>0.59999999999999964</c:v>
                </c:pt>
                <c:pt idx="20" formatCode="General">
                  <c:v>0.91999999999999993</c:v>
                </c:pt>
                <c:pt idx="21" formatCode="General">
                  <c:v>1.08</c:v>
                </c:pt>
                <c:pt idx="22" formatCode="General">
                  <c:v>1.879999999999999</c:v>
                </c:pt>
                <c:pt idx="23" formatCode="General">
                  <c:v>3.120000000000001</c:v>
                </c:pt>
                <c:pt idx="24" formatCode="General">
                  <c:v>2.3200000000000003</c:v>
                </c:pt>
                <c:pt idx="25" formatCode="General">
                  <c:v>2.759999999999998</c:v>
                </c:pt>
                <c:pt idx="26" formatCode="General">
                  <c:v>2.0400000000000027</c:v>
                </c:pt>
                <c:pt idx="27" formatCode="General">
                  <c:v>2.8800000000000003</c:v>
                </c:pt>
                <c:pt idx="28" formatCode="General">
                  <c:v>0.20000000000000018</c:v>
                </c:pt>
                <c:pt idx="29" formatCode="General">
                  <c:v>3.0399999999999991</c:v>
                </c:pt>
                <c:pt idx="30" formatCode="General">
                  <c:v>1.3599999999999994</c:v>
                </c:pt>
                <c:pt idx="31" formatCode="General">
                  <c:v>1.4400000000000013</c:v>
                </c:pt>
                <c:pt idx="32" formatCode="General">
                  <c:v>2.2799999999999976</c:v>
                </c:pt>
                <c:pt idx="33" formatCode="General">
                  <c:v>2</c:v>
                </c:pt>
                <c:pt idx="34" formatCode="General">
                  <c:v>1.04</c:v>
                </c:pt>
                <c:pt idx="35" formatCode="General">
                  <c:v>0.67999999999999972</c:v>
                </c:pt>
                <c:pt idx="36" formatCode="General">
                  <c:v>0.87999999999999901</c:v>
                </c:pt>
                <c:pt idx="37" formatCode="General">
                  <c:v>1.9199999999999982</c:v>
                </c:pt>
                <c:pt idx="38" formatCode="General">
                  <c:v>1.120000000000001</c:v>
                </c:pt>
                <c:pt idx="39" formatCode="General">
                  <c:v>0.60000000000000142</c:v>
                </c:pt>
                <c:pt idx="40" formatCode="General">
                  <c:v>2.240000000000002</c:v>
                </c:pt>
                <c:pt idx="41" formatCode="General">
                  <c:v>0.35999999999999943</c:v>
                </c:pt>
                <c:pt idx="42" formatCode="General">
                  <c:v>2.1999999999999993</c:v>
                </c:pt>
                <c:pt idx="43" formatCode="General">
                  <c:v>0.40000000000000036</c:v>
                </c:pt>
                <c:pt idx="44" formatCode="General">
                  <c:v>2.08</c:v>
                </c:pt>
                <c:pt idx="45" formatCode="General">
                  <c:v>0.67999999999999972</c:v>
                </c:pt>
                <c:pt idx="46" formatCode="General">
                  <c:v>2.120000000000001</c:v>
                </c:pt>
                <c:pt idx="47" formatCode="General">
                  <c:v>2.1999999999999993</c:v>
                </c:pt>
                <c:pt idx="48" formatCode="General">
                  <c:v>1.6399999999999988</c:v>
                </c:pt>
                <c:pt idx="49" formatCode="General">
                  <c:v>2.08</c:v>
                </c:pt>
                <c:pt idx="50" formatCode="General">
                  <c:v>3.879999999999999</c:v>
                </c:pt>
                <c:pt idx="51" formatCode="General">
                  <c:v>2.0800000000000018</c:v>
                </c:pt>
                <c:pt idx="52" formatCode="General">
                  <c:v>1.879999999999999</c:v>
                </c:pt>
                <c:pt idx="53" formatCode="General">
                  <c:v>1</c:v>
                </c:pt>
                <c:pt idx="54" formatCode="General">
                  <c:v>0.87999999999999901</c:v>
                </c:pt>
                <c:pt idx="55" formatCode="General">
                  <c:v>1.3200000000000003</c:v>
                </c:pt>
                <c:pt idx="56" formatCode="General">
                  <c:v>1.5999999999999996</c:v>
                </c:pt>
                <c:pt idx="57" formatCode="General">
                  <c:v>2.4000000000000004</c:v>
                </c:pt>
                <c:pt idx="58" formatCode="General">
                  <c:v>0.47999999999999687</c:v>
                </c:pt>
                <c:pt idx="59" formatCode="General">
                  <c:v>1.7200000000000024</c:v>
                </c:pt>
                <c:pt idx="60" formatCode="General">
                  <c:v>1.3999999999999986</c:v>
                </c:pt>
                <c:pt idx="61" formatCode="General">
                  <c:v>2</c:v>
                </c:pt>
                <c:pt idx="62" formatCode="General">
                  <c:v>1.8799999999999955</c:v>
                </c:pt>
                <c:pt idx="63" formatCode="General">
                  <c:v>2.3199999999999998</c:v>
                </c:pt>
                <c:pt idx="64" formatCode="General">
                  <c:v>2</c:v>
                </c:pt>
                <c:pt idx="65" formatCode="General">
                  <c:v>1.2800000000000002</c:v>
                </c:pt>
                <c:pt idx="66" formatCode="General">
                  <c:v>2.08</c:v>
                </c:pt>
                <c:pt idx="67" formatCode="General">
                  <c:v>2.240000000000002</c:v>
                </c:pt>
                <c:pt idx="68" formatCode="General">
                  <c:v>1.5999999999999979</c:v>
                </c:pt>
                <c:pt idx="69" formatCode="General">
                  <c:v>1.6799999999999997</c:v>
                </c:pt>
                <c:pt idx="70" formatCode="General">
                  <c:v>2</c:v>
                </c:pt>
                <c:pt idx="71" formatCode="General">
                  <c:v>1.72</c:v>
                </c:pt>
                <c:pt idx="72" formatCode="General">
                  <c:v>1.7199999999999998</c:v>
                </c:pt>
                <c:pt idx="73" formatCode="General">
                  <c:v>1.96</c:v>
                </c:pt>
                <c:pt idx="74" formatCode="General">
                  <c:v>1.2400000000000002</c:v>
                </c:pt>
                <c:pt idx="75" formatCode="General">
                  <c:v>1.1999999999999993</c:v>
                </c:pt>
                <c:pt idx="76" formatCode="General">
                  <c:v>0.80000000000000071</c:v>
                </c:pt>
                <c:pt idx="77" formatCode="General">
                  <c:v>0.24000000000000021</c:v>
                </c:pt>
                <c:pt idx="78" formatCode="General">
                  <c:v>1.1999999999999993</c:v>
                </c:pt>
                <c:pt idx="79" formatCode="General">
                  <c:v>1.3999999999999986</c:v>
                </c:pt>
                <c:pt idx="80" formatCode="General">
                  <c:v>1.8000000000000007</c:v>
                </c:pt>
                <c:pt idx="81" formatCode="General">
                  <c:v>1</c:v>
                </c:pt>
                <c:pt idx="82" formatCode="General">
                  <c:v>1.8000000000000007</c:v>
                </c:pt>
                <c:pt idx="83" formatCode="General">
                  <c:v>1.4000000000000004</c:v>
                </c:pt>
                <c:pt idx="84" formatCode="General">
                  <c:v>1.6799999999999997</c:v>
                </c:pt>
                <c:pt idx="85" formatCode="General">
                  <c:v>0.24000000000000021</c:v>
                </c:pt>
                <c:pt idx="86" formatCode="General">
                  <c:v>3.4799999999999969</c:v>
                </c:pt>
                <c:pt idx="87" formatCode="General">
                  <c:v>0.20000000000000284</c:v>
                </c:pt>
                <c:pt idx="88" formatCode="General">
                  <c:v>1.3999999999999986</c:v>
                </c:pt>
                <c:pt idx="89" formatCode="General">
                  <c:v>1.6400000000000006</c:v>
                </c:pt>
                <c:pt idx="90" formatCode="General">
                  <c:v>2.4799999999999969</c:v>
                </c:pt>
                <c:pt idx="91" formatCode="General">
                  <c:v>0.40000000000000568</c:v>
                </c:pt>
                <c:pt idx="92" formatCode="General">
                  <c:v>1.8799999999999955</c:v>
                </c:pt>
                <c:pt idx="93" formatCode="General">
                  <c:v>2.16</c:v>
                </c:pt>
                <c:pt idx="94" formatCode="General">
                  <c:v>1.92</c:v>
                </c:pt>
                <c:pt idx="95" formatCode="General">
                  <c:v>1.7200000000000006</c:v>
                </c:pt>
                <c:pt idx="96" formatCode="General">
                  <c:v>1.2000000000000011</c:v>
                </c:pt>
                <c:pt idx="97" formatCode="General">
                  <c:v>0.35999999999999943</c:v>
                </c:pt>
                <c:pt idx="98" formatCode="General">
                  <c:v>1.3200000000000003</c:v>
                </c:pt>
                <c:pt idx="99" formatCode="General">
                  <c:v>2.9199999999999946</c:v>
                </c:pt>
              </c:numCache>
            </c:numRef>
          </c:xVal>
          <c:yVal>
            <c:numRef>
              <c:f>'Cars L2'!$H$2:$H$101</c:f>
              <c:numCache>
                <c:formatCode>0.00</c:formatCode>
                <c:ptCount val="100"/>
                <c:pt idx="0" formatCode="General">
                  <c:v>0</c:v>
                </c:pt>
                <c:pt idx="1">
                  <c:v>0.56626506024096379</c:v>
                </c:pt>
                <c:pt idx="2">
                  <c:v>0.59204545454545454</c:v>
                </c:pt>
                <c:pt idx="3">
                  <c:v>0.37000000000000005</c:v>
                </c:pt>
                <c:pt idx="4">
                  <c:v>0.64137931034482765</c:v>
                </c:pt>
                <c:pt idx="5">
                  <c:v>0.45935483870967742</c:v>
                </c:pt>
                <c:pt idx="6">
                  <c:v>0.42100840336134449</c:v>
                </c:pt>
                <c:pt idx="7">
                  <c:v>0.28000000000000003</c:v>
                </c:pt>
                <c:pt idx="8">
                  <c:v>0.21046511627906977</c:v>
                </c:pt>
                <c:pt idx="9">
                  <c:v>0.31854304635761588</c:v>
                </c:pt>
                <c:pt idx="10">
                  <c:v>0.45055555555555554</c:v>
                </c:pt>
                <c:pt idx="11">
                  <c:v>0.22529411764705884</c:v>
                </c:pt>
                <c:pt idx="12">
                  <c:v>0.63450704225352117</c:v>
                </c:pt>
                <c:pt idx="13">
                  <c:v>1.3903743315508022E-2</c:v>
                </c:pt>
                <c:pt idx="14">
                  <c:v>0.68322147651006704</c:v>
                </c:pt>
                <c:pt idx="15">
                  <c:v>0.60370370370370363</c:v>
                </c:pt>
                <c:pt idx="16">
                  <c:v>0.40512820512820513</c:v>
                </c:pt>
                <c:pt idx="17">
                  <c:v>0.46190476190476193</c:v>
                </c:pt>
                <c:pt idx="18">
                  <c:v>0.48050847457627116</c:v>
                </c:pt>
                <c:pt idx="19">
                  <c:v>0.28074534161490677</c:v>
                </c:pt>
                <c:pt idx="20">
                  <c:v>4.7923322683706068E-2</c:v>
                </c:pt>
                <c:pt idx="21">
                  <c:v>0.46010101010101007</c:v>
                </c:pt>
                <c:pt idx="22">
                  <c:v>0.44133858267716541</c:v>
                </c:pt>
                <c:pt idx="23">
                  <c:v>0.73656387665198231</c:v>
                </c:pt>
                <c:pt idx="24">
                  <c:v>0.56237288135593222</c:v>
                </c:pt>
                <c:pt idx="25">
                  <c:v>0.62056737588652489</c:v>
                </c:pt>
                <c:pt idx="26">
                  <c:v>0.50804597701149423</c:v>
                </c:pt>
                <c:pt idx="27">
                  <c:v>0.87120418848167536</c:v>
                </c:pt>
                <c:pt idx="28">
                  <c:v>0.11283783783783782</c:v>
                </c:pt>
                <c:pt idx="29">
                  <c:v>0.62821782178217822</c:v>
                </c:pt>
                <c:pt idx="30">
                  <c:v>0.37828054298642527</c:v>
                </c:pt>
                <c:pt idx="31">
                  <c:v>0.4068027210884354</c:v>
                </c:pt>
                <c:pt idx="32">
                  <c:v>0.50254545454545452</c:v>
                </c:pt>
                <c:pt idx="33">
                  <c:v>0.74509803921568629</c:v>
                </c:pt>
                <c:pt idx="34">
                  <c:v>0.45656565656565651</c:v>
                </c:pt>
                <c:pt idx="35">
                  <c:v>8.7096774193548387E-2</c:v>
                </c:pt>
                <c:pt idx="36">
                  <c:v>0.27853881278538811</c:v>
                </c:pt>
                <c:pt idx="37">
                  <c:v>0.63872832369942201</c:v>
                </c:pt>
                <c:pt idx="38">
                  <c:v>0.2837719298245614</c:v>
                </c:pt>
                <c:pt idx="39">
                  <c:v>0.1215686274509804</c:v>
                </c:pt>
                <c:pt idx="40">
                  <c:v>0.52406417112299475</c:v>
                </c:pt>
                <c:pt idx="41">
                  <c:v>0.10292887029288704</c:v>
                </c:pt>
                <c:pt idx="42">
                  <c:v>0.55876777251184828</c:v>
                </c:pt>
                <c:pt idx="43">
                  <c:v>0.15916230366492146</c:v>
                </c:pt>
                <c:pt idx="44">
                  <c:v>0.55497076023391811</c:v>
                </c:pt>
                <c:pt idx="45">
                  <c:v>0.35000000000000003</c:v>
                </c:pt>
                <c:pt idx="46">
                  <c:v>0.43649289099526067</c:v>
                </c:pt>
                <c:pt idx="47">
                  <c:v>0.55999999999999994</c:v>
                </c:pt>
                <c:pt idx="48">
                  <c:v>0.5</c:v>
                </c:pt>
                <c:pt idx="49">
                  <c:v>0.68195876288659796</c:v>
                </c:pt>
                <c:pt idx="50">
                  <c:v>0.97560975609756106</c:v>
                </c:pt>
                <c:pt idx="51">
                  <c:v>0.51223404255319149</c:v>
                </c:pt>
                <c:pt idx="52">
                  <c:v>0.60701754385964912</c:v>
                </c:pt>
                <c:pt idx="53">
                  <c:v>0.23599999999999999</c:v>
                </c:pt>
                <c:pt idx="54">
                  <c:v>0.31229946524064173</c:v>
                </c:pt>
                <c:pt idx="55">
                  <c:v>0.34271844660194173</c:v>
                </c:pt>
                <c:pt idx="56">
                  <c:v>0.45652173913043476</c:v>
                </c:pt>
                <c:pt idx="57">
                  <c:v>0.75287356321839083</c:v>
                </c:pt>
                <c:pt idx="58">
                  <c:v>0.20152284263959391</c:v>
                </c:pt>
                <c:pt idx="59">
                  <c:v>0.34761904761904761</c:v>
                </c:pt>
                <c:pt idx="60">
                  <c:v>0.34416961130742052</c:v>
                </c:pt>
                <c:pt idx="61">
                  <c:v>0.52633744855967068</c:v>
                </c:pt>
                <c:pt idx="62">
                  <c:v>0.47500000000000003</c:v>
                </c:pt>
                <c:pt idx="63">
                  <c:v>0.63474178403755865</c:v>
                </c:pt>
                <c:pt idx="64">
                  <c:v>0.66569767441860461</c:v>
                </c:pt>
                <c:pt idx="65">
                  <c:v>0.28674698795180725</c:v>
                </c:pt>
                <c:pt idx="66">
                  <c:v>0.53514851485148518</c:v>
                </c:pt>
                <c:pt idx="67">
                  <c:v>0.54663212435233166</c:v>
                </c:pt>
                <c:pt idx="68">
                  <c:v>0.39099099099099099</c:v>
                </c:pt>
                <c:pt idx="69">
                  <c:v>0.46899563318777299</c:v>
                </c:pt>
                <c:pt idx="70">
                  <c:v>0.55594059405940599</c:v>
                </c:pt>
                <c:pt idx="71">
                  <c:v>0.47550200803212855</c:v>
                </c:pt>
                <c:pt idx="72">
                  <c:v>0.58918918918918917</c:v>
                </c:pt>
                <c:pt idx="73">
                  <c:v>0.498</c:v>
                </c:pt>
                <c:pt idx="74">
                  <c:v>0.45103092783505155</c:v>
                </c:pt>
                <c:pt idx="75">
                  <c:v>0.22499999999999998</c:v>
                </c:pt>
                <c:pt idx="76">
                  <c:v>0.36865671641791042</c:v>
                </c:pt>
                <c:pt idx="77">
                  <c:v>3.8181818181818185E-2</c:v>
                </c:pt>
                <c:pt idx="78">
                  <c:v>0.46168224299065425</c:v>
                </c:pt>
                <c:pt idx="79">
                  <c:v>0.41666666666666669</c:v>
                </c:pt>
                <c:pt idx="80">
                  <c:v>0.44264705882352939</c:v>
                </c:pt>
                <c:pt idx="81">
                  <c:v>0.25024390243902439</c:v>
                </c:pt>
                <c:pt idx="82">
                  <c:v>0.4162995594713656</c:v>
                </c:pt>
                <c:pt idx="83">
                  <c:v>0.44507042253521129</c:v>
                </c:pt>
                <c:pt idx="84">
                  <c:v>0.58203592814371263</c:v>
                </c:pt>
                <c:pt idx="85">
                  <c:v>4.5528455284552849E-2</c:v>
                </c:pt>
                <c:pt idx="86">
                  <c:v>0.86497461928934005</c:v>
                </c:pt>
                <c:pt idx="87">
                  <c:v>9.9137931034482766E-3</c:v>
                </c:pt>
                <c:pt idx="88">
                  <c:v>0.33797909407665505</c:v>
                </c:pt>
                <c:pt idx="89">
                  <c:v>0.43398437499999998</c:v>
                </c:pt>
                <c:pt idx="90">
                  <c:v>0.7119834710743802</c:v>
                </c:pt>
                <c:pt idx="91">
                  <c:v>5.2830188679245278E-2</c:v>
                </c:pt>
                <c:pt idx="92">
                  <c:v>0.52834645669291336</c:v>
                </c:pt>
                <c:pt idx="93">
                  <c:v>0.59213483146067414</c:v>
                </c:pt>
                <c:pt idx="94">
                  <c:v>0.51877729257641925</c:v>
                </c:pt>
                <c:pt idx="95">
                  <c:v>0.27754237288135591</c:v>
                </c:pt>
                <c:pt idx="96">
                  <c:v>0.35582524271844657</c:v>
                </c:pt>
                <c:pt idx="97">
                  <c:v>8.177966101694914E-2</c:v>
                </c:pt>
                <c:pt idx="98">
                  <c:v>0.38862559241706157</c:v>
                </c:pt>
                <c:pt idx="99">
                  <c:v>0.40771812080536912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A-41BD-86DE-CE4BB0B56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692576"/>
        <c:axId val="1786694016"/>
      </c:scatterChart>
      <c:valAx>
        <c:axId val="1786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4016"/>
        <c:crosses val="autoZero"/>
        <c:crossBetween val="midCat"/>
      </c:valAx>
      <c:valAx>
        <c:axId val="17866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Speed Distribution (All vehicle Types)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Speed Distribution (All vehicle Types)</a:t>
          </a:r>
        </a:p>
      </cx:txPr>
    </cx:title>
    <cx:plotArea>
      <cx:plotAreaRegion>
        <cx:series layoutId="clusteredColumn" uniqueId="{ADED881E-C1A2-40F1-839E-BB910723AB00}"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Time Headway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Time Headway Distribution</a:t>
          </a:r>
        </a:p>
      </cx:txPr>
    </cx:title>
    <cx:plotArea>
      <cx:plotAreaRegion>
        <cx:series layoutId="clusteredColumn" uniqueId="{1E5CCF1C-5E12-4864-AC5D-02D9173B67F9}"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0"/>
        <cx:tickLabels/>
        <cx:numFmt formatCode="#,##0.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Speed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(Cars only)</a:t>
            </a:r>
          </a:p>
        </cx:rich>
      </cx:tx>
    </cx:title>
    <cx:plotArea>
      <cx:plotAreaRegion>
        <cx:series layoutId="clusteredColumn" uniqueId="{91D99882-F07E-4DD6-A7C5-FA5E3CA6DE69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Speed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(Bikes only)</a:t>
            </a:r>
          </a:p>
        </cx:rich>
      </cx:tx>
    </cx:title>
    <cx:plotArea>
      <cx:plotAreaRegion>
        <cx:series layoutId="clusteredColumn" uniqueId="{5681A39C-8691-4671-95A7-DCFD93571EA8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Speed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(Motorbikes &amp; three-wheelers)</a:t>
            </a:r>
          </a:p>
        </cx:rich>
      </cx:tx>
    </cx:title>
    <cx:plotArea>
      <cx:plotAreaRegion>
        <cx:series layoutId="clusteredColumn" uniqueId="{1F4B9FD7-36CB-4748-BECE-FD59FCD145C4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Speed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(Cars only)</a:t>
            </a:r>
          </a:p>
        </cx:rich>
      </cx:tx>
    </cx:title>
    <cx:plotArea>
      <cx:plotAreaRegion>
        <cx:series layoutId="clusteredColumn" uniqueId="{91D99882-F07E-4DD6-A7C5-FA5E3CA6DE69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Speed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(Bikes only)</a:t>
            </a:r>
          </a:p>
        </cx:rich>
      </cx:tx>
    </cx:title>
    <cx:plotArea>
      <cx:plotAreaRegion>
        <cx:series layoutId="clusteredColumn" uniqueId="{5681A39C-8691-4671-95A7-DCFD93571EA8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Speed Distribution (Cars Lane2)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Speed Distribution (Cars Lane2)</a:t>
          </a:r>
        </a:p>
      </cx:txPr>
    </cx:title>
    <cx:plotArea>
      <cx:plotAreaRegion>
        <cx:series layoutId="clusteredColumn" uniqueId="{0A1A118D-2DB2-4881-BE62-C2A340E52B51}"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.119999997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1.xml"/><Relationship Id="rId7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microsoft.com/office/2014/relationships/chartEx" Target="../charts/chartEx3.xml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microsoft.com/office/2014/relationships/chartEx" Target="../charts/chartEx6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7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4</xdr:row>
      <xdr:rowOff>104775</xdr:rowOff>
    </xdr:from>
    <xdr:to>
      <xdr:col>18</xdr:col>
      <xdr:colOff>333375</xdr:colOff>
      <xdr:row>26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46D09CD-B535-4102-94B6-010A243479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1076325"/>
              <a:ext cx="8229600" cy="4219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713316</xdr:colOff>
      <xdr:row>107</xdr:row>
      <xdr:rowOff>118004</xdr:rowOff>
    </xdr:from>
    <xdr:to>
      <xdr:col>20</xdr:col>
      <xdr:colOff>484716</xdr:colOff>
      <xdr:row>125</xdr:row>
      <xdr:rowOff>113242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960E322-B572-4245-A7C5-DF238FC19C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8066" y="20711054"/>
              <a:ext cx="8886825" cy="3424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423862</xdr:colOff>
      <xdr:row>4</xdr:row>
      <xdr:rowOff>104775</xdr:rowOff>
    </xdr:from>
    <xdr:to>
      <xdr:col>23</xdr:col>
      <xdr:colOff>1009650</xdr:colOff>
      <xdr:row>26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22DEDD-9CF7-4DD9-AED1-5D325473F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1058</xdr:colOff>
      <xdr:row>27</xdr:row>
      <xdr:rowOff>180975</xdr:rowOff>
    </xdr:from>
    <xdr:to>
      <xdr:col>14</xdr:col>
      <xdr:colOff>360468</xdr:colOff>
      <xdr:row>51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FE568FC-0635-451C-93EC-A0E8F18FA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5808" y="5534025"/>
              <a:ext cx="5817235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39159</xdr:colOff>
      <xdr:row>52</xdr:row>
      <xdr:rowOff>43392</xdr:rowOff>
    </xdr:from>
    <xdr:to>
      <xdr:col>14</xdr:col>
      <xdr:colOff>398569</xdr:colOff>
      <xdr:row>76</xdr:row>
      <xdr:rowOff>43392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5A03AFA-1A0E-4FFC-8714-D60BD1D76C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3909" y="10158942"/>
              <a:ext cx="5817235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92074</xdr:colOff>
      <xdr:row>77</xdr:row>
      <xdr:rowOff>94193</xdr:rowOff>
    </xdr:from>
    <xdr:to>
      <xdr:col>14</xdr:col>
      <xdr:colOff>451484</xdr:colOff>
      <xdr:row>101</xdr:row>
      <xdr:rowOff>94193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7846AB8-5A8F-4E8D-A55B-213CBC9386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6824" y="14972243"/>
              <a:ext cx="5817235" cy="45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444500</xdr:colOff>
      <xdr:row>27</xdr:row>
      <xdr:rowOff>179917</xdr:rowOff>
    </xdr:from>
    <xdr:to>
      <xdr:col>20</xdr:col>
      <xdr:colOff>416454</xdr:colOff>
      <xdr:row>50</xdr:row>
      <xdr:rowOff>8467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D3D1D8-FC60-45F2-A2AF-A2CF694FA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448734</xdr:colOff>
      <xdr:row>52</xdr:row>
      <xdr:rowOff>35983</xdr:rowOff>
    </xdr:from>
    <xdr:to>
      <xdr:col>20</xdr:col>
      <xdr:colOff>424922</xdr:colOff>
      <xdr:row>74</xdr:row>
      <xdr:rowOff>55033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99D5781-17B8-47FE-B412-84C0C6470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495300</xdr:colOff>
      <xdr:row>77</xdr:row>
      <xdr:rowOff>131233</xdr:rowOff>
    </xdr:from>
    <xdr:to>
      <xdr:col>20</xdr:col>
      <xdr:colOff>465138</xdr:colOff>
      <xdr:row>99</xdr:row>
      <xdr:rowOff>150283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8051CF5-2562-4305-B8E4-91FE2D9B3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380998</xdr:rowOff>
    </xdr:from>
    <xdr:to>
      <xdr:col>23</xdr:col>
      <xdr:colOff>9525</xdr:colOff>
      <xdr:row>20</xdr:row>
      <xdr:rowOff>38098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93EDE-C250-472E-BD53-752EA5518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162314</xdr:colOff>
      <xdr:row>20</xdr:row>
      <xdr:rowOff>115078</xdr:rowOff>
    </xdr:from>
    <xdr:to>
      <xdr:col>23</xdr:col>
      <xdr:colOff>182530</xdr:colOff>
      <xdr:row>38</xdr:row>
      <xdr:rowOff>124602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216C7-BF3A-46C3-809D-D9D515F0E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476249</xdr:colOff>
      <xdr:row>1</xdr:row>
      <xdr:rowOff>90486</xdr:rowOff>
    </xdr:from>
    <xdr:to>
      <xdr:col>31</xdr:col>
      <xdr:colOff>390524</xdr:colOff>
      <xdr:row>21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E8CD4D-647F-6606-6D1E-040CA9349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126353</xdr:colOff>
      <xdr:row>46</xdr:row>
      <xdr:rowOff>9719</xdr:rowOff>
    </xdr:from>
    <xdr:to>
      <xdr:col>25</xdr:col>
      <xdr:colOff>1</xdr:colOff>
      <xdr:row>61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AE9BDE4-6E3D-455D-AD82-3F5811BD3F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37353" y="8963219"/>
              <a:ext cx="3531248" cy="2876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223545</xdr:colOff>
      <xdr:row>20</xdr:row>
      <xdr:rowOff>126352</xdr:rowOff>
    </xdr:from>
    <xdr:to>
      <xdr:col>32</xdr:col>
      <xdr:colOff>204884</xdr:colOff>
      <xdr:row>38</xdr:row>
      <xdr:rowOff>135876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79A80E-22A3-4A45-9B62-D1FC0748A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</xdr:row>
      <xdr:rowOff>0</xdr:rowOff>
    </xdr:from>
    <xdr:to>
      <xdr:col>22</xdr:col>
      <xdr:colOff>485775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E5E6C-5D82-4A6D-9535-5F75E001D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142874</xdr:colOff>
      <xdr:row>19</xdr:row>
      <xdr:rowOff>28575</xdr:rowOff>
    </xdr:from>
    <xdr:to>
      <xdr:col>22</xdr:col>
      <xdr:colOff>266699</xdr:colOff>
      <xdr:row>35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15E85-89BC-4F48-9242-B9528CFA2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123826</xdr:colOff>
      <xdr:row>37</xdr:row>
      <xdr:rowOff>0</xdr:rowOff>
    </xdr:from>
    <xdr:to>
      <xdr:col>27</xdr:col>
      <xdr:colOff>581026</xdr:colOff>
      <xdr:row>51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61F7D05-3D45-40D0-A94B-770B4A9EA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44601" y="7429500"/>
              <a:ext cx="3581400" cy="2876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228600</xdr:colOff>
      <xdr:row>19</xdr:row>
      <xdr:rowOff>0</xdr:rowOff>
    </xdr:from>
    <xdr:to>
      <xdr:col>30</xdr:col>
      <xdr:colOff>390525</xdr:colOff>
      <xdr:row>35</xdr:row>
      <xdr:rowOff>47626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957BBB-9606-45D6-9D5A-C6B1527E1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66674</xdr:colOff>
      <xdr:row>1</xdr:row>
      <xdr:rowOff>85724</xdr:rowOff>
    </xdr:from>
    <xdr:to>
      <xdr:col>23</xdr:col>
      <xdr:colOff>19050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079B1C-0364-6756-F16D-9AAE10783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23819-A367-41CE-BFBB-741BEB24B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05411-8ED7-4463-B008-4EA89C59B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6CFC6-4BE4-444E-8880-AE525187F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149A8-BD46-4F69-A863-0CE3F9DD6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0A8248-DE04-4893-B19D-C32A545AE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8810A-C205-423A-9EAD-61CA792BF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8E55C4-B5D6-45D1-BC80-6CE3EFF75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AA86B-CEC9-437B-B4F0-DF9A3ED55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B4F6B-3966-4876-BE01-D40C4EEFF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D9110-A156-4AAF-8DE8-36F249160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53A9E-CA81-4C95-9599-7F6765286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EE973-E20A-425C-A959-E42BA6573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D3BDB-6BD0-4DFA-A0CC-06871343F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D3C1F-B719-42D3-AFFA-D06553E48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3D915A-F410-4A67-815A-7F88FF9A6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6B5AC-C3F9-43C5-8B25-80F9EAAEA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E9CA0C-E3C0-4530-9FD9-127D6E05F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2797E-5545-4BBE-AF16-93C71C06D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9579C-F741-4ECC-A896-069E1034E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3E9DA-3890-4CB2-A339-ED1006EA4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A2258F-7016-4420-9609-4E45BCE58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6C491-D632-4928-AD8B-E6AE4D59A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3E877-A9EC-47D3-8286-D690C7C6E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180974</xdr:rowOff>
    </xdr:from>
    <xdr:to>
      <xdr:col>22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A137F-0501-43A2-8570-323E38B3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32</xdr:row>
      <xdr:rowOff>9525</xdr:rowOff>
    </xdr:from>
    <xdr:to>
      <xdr:col>22</xdr:col>
      <xdr:colOff>0</xdr:colOff>
      <xdr:row>55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1B91EB-1E64-4AF7-9136-623D86E3F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</xdr:row>
      <xdr:rowOff>0</xdr:rowOff>
    </xdr:from>
    <xdr:to>
      <xdr:col>22</xdr:col>
      <xdr:colOff>61913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274D6-3691-49AB-9E37-78143DF3E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17</xdr:row>
      <xdr:rowOff>133350</xdr:rowOff>
    </xdr:from>
    <xdr:to>
      <xdr:col>19</xdr:col>
      <xdr:colOff>71438</xdr:colOff>
      <xdr:row>35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8F23A-C5EB-42B0-A175-3D963D688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123824</xdr:colOff>
      <xdr:row>37</xdr:row>
      <xdr:rowOff>38100</xdr:rowOff>
    </xdr:from>
    <xdr:to>
      <xdr:col>26</xdr:col>
      <xdr:colOff>19050</xdr:colOff>
      <xdr:row>54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4B8788-C0A7-4641-BA10-8D0A42965E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0924" y="7467600"/>
              <a:ext cx="5591176" cy="3286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AE72-65F2-4267-9456-E1B3002D0FB9}">
  <dimension ref="A1:AA488"/>
  <sheetViews>
    <sheetView zoomScale="90" zoomScaleNormal="90" workbookViewId="0">
      <pane ySplit="1" topLeftCell="A113" activePane="bottomLeft" state="frozen"/>
      <selection pane="bottomLeft" activeCell="W57" sqref="W57"/>
    </sheetView>
  </sheetViews>
  <sheetFormatPr defaultRowHeight="15" x14ac:dyDescent="0.25"/>
  <cols>
    <col min="2" max="2" width="9.28515625" customWidth="1"/>
    <col min="6" max="6" width="9.85546875" customWidth="1"/>
    <col min="7" max="7" width="17.85546875" customWidth="1"/>
    <col min="24" max="24" width="16" customWidth="1"/>
    <col min="25" max="27" width="11.85546875" customWidth="1"/>
    <col min="29" max="30" width="9.28515625" bestFit="1" customWidth="1"/>
    <col min="31" max="31" width="9.42578125" bestFit="1" customWidth="1"/>
  </cols>
  <sheetData>
    <row r="1" spans="1:27" ht="31.5" customHeight="1" x14ac:dyDescent="0.25">
      <c r="A1" s="67" t="s">
        <v>70</v>
      </c>
      <c r="B1" s="67" t="s">
        <v>67</v>
      </c>
      <c r="C1" s="67" t="s">
        <v>71</v>
      </c>
      <c r="D1" s="67" t="s">
        <v>72</v>
      </c>
      <c r="E1" s="67" t="s">
        <v>74</v>
      </c>
      <c r="F1" s="67" t="s">
        <v>77</v>
      </c>
    </row>
    <row r="2" spans="1:27" x14ac:dyDescent="0.25">
      <c r="A2" cm="1">
        <f t="array" ref="A2:A488">_xlfn.LET(_xlpm.data, _xlfn.VSTACK('3.35:17.21'!G3:G32,'3.35:17.21'!G35:G65),_xlfn._xlws.FILTER(_xlpm.data, (_xlpm.data&lt;&gt;0)*(_xlpm.data&lt;&gt;"")))</f>
        <v>23.9</v>
      </c>
      <c r="B2" cm="1">
        <f t="array" ref="B2:B467">_xlfn.LET(_xlpm.data, _xlfn.VSTACK('3.35:17.21'!D3:D32,'3.35:17.21'!D35:D65),_xlfn._xlws.FILTER(_xlpm.data, (_xlpm.data&lt;&gt;0)*(_xlpm.data&lt;&gt;"")))</f>
        <v>0.39999999999999991</v>
      </c>
      <c r="C2" cm="1">
        <f t="array" ref="C2:C273">_xlfn.LET(_xlpm.data, _xlfn.VSTACK('3.35:17.21'!G3:G32,'3.35:17.21'!G35:G65),
    _xlpm.type, _xlfn.VSTACK('3.35:17.21'!B3:B32,'3.35:17.21'!B35:B65),
    _xlfn._xlws.FILTER(_xlpm.data,(_xlpm.data&lt;&gt;0)*(_xlpm.data&lt;&gt;"")*((_xlpm.type="Car"))))</f>
        <v>26.9</v>
      </c>
      <c r="D2" cm="1">
        <f t="array" ref="D2:D124">_xlfn.LET(_xlpm.data, _xlfn.VSTACK('3.35:17.21'!G3:G32,'3.35:17.21'!G35:G65),
    _xlpm.type, _xlfn.VSTACK('3.35:17.21'!B3:B32,'3.35:17.21'!B35:B65),
    _xlfn._xlws.FILTER(_xlpm.data,(_xlpm.data&lt;&gt;0)*(_xlpm.data&lt;&gt;"")*((_xlpm.type="Motorbike"))))</f>
        <v>23.9</v>
      </c>
      <c r="E2" cm="1">
        <f t="array" ref="E2:E80">_xlfn.LET(_xlpm.data, _xlfn.VSTACK('3.35:17.21'!G3:G32,'3.35:17.21'!G35:G65),
    _xlpm.type, _xlfn.VSTACK('3.35:17.21'!B3:B32,'3.35:17.21'!B35:B65),
    _xlfn._xlws.FILTER(_xlpm.data,(_xlpm.data&lt;&gt;0)*(_xlpm.data&lt;&gt;"")*((_xlpm.type="CNG"))))</f>
        <v>17.600000000000001</v>
      </c>
      <c r="F2" cm="1">
        <f t="array" ref="F2:F203">_xlfn.LET(_xlpm.data, _xlfn.VSTACK('3.35:17.21'!G3:G32,'3.35:17.21'!G35:G65),
    _xlpm.type, _xlfn.VSTACK('3.35:17.21'!B3:B32,'3.35:17.21'!B35:B65),
    _xlfn._xlws.FILTER(_xlpm.data,(_xlpm.data&lt;&gt;0)*(_xlpm.data&lt;&gt;"")*((_xlpm.type="CNG")+(_xlpm.type="Motorbike"))))</f>
        <v>23.9</v>
      </c>
    </row>
    <row r="3" spans="1:27" x14ac:dyDescent="0.25">
      <c r="A3">
        <v>21.1</v>
      </c>
      <c r="B3">
        <v>1.04</v>
      </c>
      <c r="C3">
        <v>19</v>
      </c>
      <c r="D3">
        <v>21.1</v>
      </c>
      <c r="E3">
        <v>20</v>
      </c>
      <c r="F3">
        <v>21.1</v>
      </c>
    </row>
    <row r="4" spans="1:27" x14ac:dyDescent="0.25">
      <c r="A4">
        <v>26.9</v>
      </c>
      <c r="B4">
        <v>1.1600000000000001</v>
      </c>
      <c r="C4">
        <v>16.600000000000001</v>
      </c>
      <c r="D4">
        <v>17.899999999999999</v>
      </c>
      <c r="E4">
        <v>16.600000000000001</v>
      </c>
      <c r="F4">
        <v>17.899999999999999</v>
      </c>
    </row>
    <row r="5" spans="1:27" x14ac:dyDescent="0.25">
      <c r="A5">
        <v>17.899999999999999</v>
      </c>
      <c r="B5">
        <v>1.2400000000000002</v>
      </c>
      <c r="C5">
        <v>17.600000000000001</v>
      </c>
      <c r="D5">
        <v>15</v>
      </c>
      <c r="E5">
        <v>14.3</v>
      </c>
      <c r="F5">
        <v>17.600000000000001</v>
      </c>
    </row>
    <row r="6" spans="1:27" x14ac:dyDescent="0.25">
      <c r="A6">
        <v>19</v>
      </c>
      <c r="B6">
        <v>2.16</v>
      </c>
      <c r="C6">
        <v>21.8</v>
      </c>
      <c r="D6">
        <v>21.7</v>
      </c>
      <c r="E6">
        <v>21.8</v>
      </c>
      <c r="F6">
        <v>20</v>
      </c>
      <c r="Y6" s="102" t="s">
        <v>62</v>
      </c>
      <c r="Z6" s="102" t="s">
        <v>68</v>
      </c>
      <c r="AA6" s="102" t="s">
        <v>69</v>
      </c>
    </row>
    <row r="7" spans="1:27" x14ac:dyDescent="0.25">
      <c r="A7">
        <v>16.600000000000001</v>
      </c>
      <c r="B7">
        <v>2.6399999999999988</v>
      </c>
      <c r="C7">
        <v>20.5</v>
      </c>
      <c r="D7">
        <v>30</v>
      </c>
      <c r="E7">
        <v>17.100000000000001</v>
      </c>
      <c r="F7">
        <v>16.600000000000001</v>
      </c>
      <c r="Y7" s="102"/>
      <c r="Z7" s="102"/>
      <c r="AA7" s="102"/>
    </row>
    <row r="8" spans="1:27" x14ac:dyDescent="0.25">
      <c r="A8">
        <v>17.600000000000001</v>
      </c>
      <c r="B8">
        <v>2.2000000000000011</v>
      </c>
      <c r="C8">
        <v>24</v>
      </c>
      <c r="D8">
        <v>21.7</v>
      </c>
      <c r="E8">
        <v>23.9</v>
      </c>
      <c r="F8">
        <v>15</v>
      </c>
      <c r="Y8" s="65">
        <v>0</v>
      </c>
      <c r="Z8" s="65">
        <f>COUNTIF(_xlfn.ANCHORARRAY($A$2),"&lt;="&amp;Y8)</f>
        <v>0</v>
      </c>
      <c r="AA8" s="66">
        <f t="shared" ref="AA8:AA15" si="0">Z8/$Z$15</f>
        <v>0</v>
      </c>
    </row>
    <row r="9" spans="1:27" x14ac:dyDescent="0.25">
      <c r="A9">
        <v>16.2</v>
      </c>
      <c r="B9">
        <v>2.6799999999999997</v>
      </c>
      <c r="C9">
        <v>19.8</v>
      </c>
      <c r="D9">
        <v>26.1</v>
      </c>
      <c r="E9">
        <v>19</v>
      </c>
      <c r="F9">
        <v>14.3</v>
      </c>
      <c r="Y9" s="65">
        <v>5</v>
      </c>
      <c r="Z9" s="65">
        <f>COUNTIF(_xlfn.ANCHORARRAY($A$2),"&lt;="&amp;Y9)</f>
        <v>2</v>
      </c>
      <c r="AA9" s="66">
        <f t="shared" si="0"/>
        <v>4.140786749482402E-3</v>
      </c>
    </row>
    <row r="10" spans="1:27" x14ac:dyDescent="0.25">
      <c r="A10">
        <v>21.8</v>
      </c>
      <c r="B10">
        <v>1.4800000000000004</v>
      </c>
      <c r="C10">
        <v>33</v>
      </c>
      <c r="D10">
        <v>26.6</v>
      </c>
      <c r="E10">
        <v>18.100000000000001</v>
      </c>
      <c r="F10">
        <v>21.7</v>
      </c>
      <c r="Y10" s="65">
        <v>10</v>
      </c>
      <c r="Z10" s="65">
        <f t="shared" ref="Z10:Z15" si="1">COUNTIF(_xlfn.ANCHORARRAY($A$2),"&lt;="&amp;Y10)</f>
        <v>10</v>
      </c>
      <c r="AA10" s="66">
        <f t="shared" si="0"/>
        <v>2.0703933747412008E-2</v>
      </c>
    </row>
    <row r="11" spans="1:27" x14ac:dyDescent="0.25">
      <c r="A11">
        <v>17.600000000000001</v>
      </c>
      <c r="B11">
        <v>1.6400000000000006</v>
      </c>
      <c r="C11">
        <v>17.399999999999999</v>
      </c>
      <c r="D11">
        <v>19.399999999999999</v>
      </c>
      <c r="E11">
        <v>16.8</v>
      </c>
      <c r="F11">
        <v>30</v>
      </c>
      <c r="Y11" s="65">
        <v>15</v>
      </c>
      <c r="Z11" s="65">
        <f t="shared" si="1"/>
        <v>51</v>
      </c>
      <c r="AA11" s="66">
        <f t="shared" si="0"/>
        <v>0.10559006211180125</v>
      </c>
    </row>
    <row r="12" spans="1:27" x14ac:dyDescent="0.25">
      <c r="A12">
        <v>20.5</v>
      </c>
      <c r="B12">
        <v>1.6799999999999997</v>
      </c>
      <c r="C12">
        <v>15.5</v>
      </c>
      <c r="D12">
        <v>31</v>
      </c>
      <c r="E12">
        <v>21.4</v>
      </c>
      <c r="F12">
        <v>21.8</v>
      </c>
      <c r="Y12" s="65">
        <v>20</v>
      </c>
      <c r="Z12" s="65">
        <f t="shared" si="1"/>
        <v>224</v>
      </c>
      <c r="AA12" s="66">
        <f t="shared" si="0"/>
        <v>0.46376811594202899</v>
      </c>
    </row>
    <row r="13" spans="1:27" x14ac:dyDescent="0.25">
      <c r="A13">
        <v>24</v>
      </c>
      <c r="B13">
        <v>1.6799999999999997</v>
      </c>
      <c r="C13">
        <v>11.9</v>
      </c>
      <c r="D13">
        <v>33.700000000000003</v>
      </c>
      <c r="E13">
        <v>17.3</v>
      </c>
      <c r="F13">
        <v>21.7</v>
      </c>
      <c r="Y13" s="65">
        <v>25</v>
      </c>
      <c r="Z13" s="65">
        <f t="shared" si="1"/>
        <v>408</v>
      </c>
      <c r="AA13" s="66">
        <f t="shared" si="0"/>
        <v>0.84472049689440998</v>
      </c>
    </row>
    <row r="14" spans="1:27" x14ac:dyDescent="0.25">
      <c r="A14">
        <v>20</v>
      </c>
      <c r="B14">
        <v>1</v>
      </c>
      <c r="C14">
        <v>17.5</v>
      </c>
      <c r="D14">
        <v>33.9</v>
      </c>
      <c r="E14">
        <v>24.3</v>
      </c>
      <c r="F14">
        <v>26.1</v>
      </c>
      <c r="Y14" s="65">
        <v>30</v>
      </c>
      <c r="Z14" s="65">
        <f t="shared" si="1"/>
        <v>465</v>
      </c>
      <c r="AA14" s="66">
        <f t="shared" si="0"/>
        <v>0.96273291925465843</v>
      </c>
    </row>
    <row r="15" spans="1:27" x14ac:dyDescent="0.25">
      <c r="A15">
        <v>19.8</v>
      </c>
      <c r="B15">
        <v>3.4400000000000013</v>
      </c>
      <c r="C15">
        <v>17.2</v>
      </c>
      <c r="D15">
        <v>21.1</v>
      </c>
      <c r="E15">
        <v>21.4</v>
      </c>
      <c r="F15">
        <v>17.100000000000001</v>
      </c>
      <c r="Y15" s="65">
        <v>35</v>
      </c>
      <c r="Z15" s="65">
        <f t="shared" si="1"/>
        <v>483</v>
      </c>
      <c r="AA15" s="66">
        <f t="shared" si="0"/>
        <v>1</v>
      </c>
    </row>
    <row r="16" spans="1:27" x14ac:dyDescent="0.25">
      <c r="A16">
        <v>16.600000000000001</v>
      </c>
      <c r="B16">
        <v>1.1999999999999993</v>
      </c>
      <c r="C16">
        <v>15.1</v>
      </c>
      <c r="D16">
        <v>14.4</v>
      </c>
      <c r="E16">
        <v>22.1</v>
      </c>
      <c r="F16">
        <v>26.6</v>
      </c>
    </row>
    <row r="17" spans="1:24" x14ac:dyDescent="0.25">
      <c r="A17">
        <v>33</v>
      </c>
      <c r="B17">
        <v>2.6799999999999997</v>
      </c>
      <c r="C17">
        <v>28.8</v>
      </c>
      <c r="D17">
        <v>18.100000000000001</v>
      </c>
      <c r="E17">
        <v>23.4</v>
      </c>
      <c r="F17">
        <v>23.9</v>
      </c>
    </row>
    <row r="18" spans="1:24" x14ac:dyDescent="0.25">
      <c r="A18">
        <v>17.399999999999999</v>
      </c>
      <c r="B18">
        <v>1.5999999999999979</v>
      </c>
      <c r="C18">
        <v>18</v>
      </c>
      <c r="D18">
        <v>19.100000000000001</v>
      </c>
      <c r="E18">
        <v>19.8</v>
      </c>
      <c r="F18">
        <v>19.399999999999999</v>
      </c>
    </row>
    <row r="19" spans="1:24" x14ac:dyDescent="0.25">
      <c r="A19">
        <v>15.5</v>
      </c>
      <c r="B19">
        <v>1.6000000000000014</v>
      </c>
      <c r="C19">
        <v>17</v>
      </c>
      <c r="D19">
        <v>20.100000000000001</v>
      </c>
      <c r="E19">
        <v>22.6</v>
      </c>
      <c r="F19">
        <v>19</v>
      </c>
    </row>
    <row r="20" spans="1:24" x14ac:dyDescent="0.25">
      <c r="A20">
        <v>11.9</v>
      </c>
      <c r="B20">
        <v>1.2000000000000028</v>
      </c>
      <c r="C20">
        <v>14.2</v>
      </c>
      <c r="D20">
        <v>23.5</v>
      </c>
      <c r="E20">
        <v>16.899999999999999</v>
      </c>
      <c r="F20">
        <v>31</v>
      </c>
    </row>
    <row r="21" spans="1:24" x14ac:dyDescent="0.25">
      <c r="A21">
        <v>17.5</v>
      </c>
      <c r="B21">
        <v>0.79999999999999716</v>
      </c>
      <c r="C21">
        <v>18.7</v>
      </c>
      <c r="D21">
        <v>16.600000000000001</v>
      </c>
      <c r="E21">
        <v>18.100000000000001</v>
      </c>
      <c r="F21">
        <v>33.700000000000003</v>
      </c>
    </row>
    <row r="22" spans="1:24" x14ac:dyDescent="0.25">
      <c r="A22">
        <v>17.2</v>
      </c>
      <c r="B22">
        <v>1.4799999999999969</v>
      </c>
      <c r="C22">
        <v>14.9</v>
      </c>
      <c r="D22">
        <v>15.7</v>
      </c>
      <c r="E22">
        <v>16.8</v>
      </c>
      <c r="F22">
        <v>33.9</v>
      </c>
    </row>
    <row r="23" spans="1:24" x14ac:dyDescent="0.25">
      <c r="A23">
        <v>15.1</v>
      </c>
      <c r="B23">
        <v>0.80000000000000426</v>
      </c>
      <c r="C23">
        <v>21.6</v>
      </c>
      <c r="D23">
        <v>25</v>
      </c>
      <c r="E23">
        <v>14.7</v>
      </c>
      <c r="F23">
        <v>18.100000000000001</v>
      </c>
    </row>
    <row r="24" spans="1:24" x14ac:dyDescent="0.25">
      <c r="A24">
        <v>15</v>
      </c>
      <c r="B24">
        <v>1.2400000000000002</v>
      </c>
      <c r="C24">
        <v>19.5</v>
      </c>
      <c r="D24">
        <v>19.2</v>
      </c>
      <c r="E24">
        <v>23.5</v>
      </c>
      <c r="F24">
        <v>16.8</v>
      </c>
    </row>
    <row r="25" spans="1:24" x14ac:dyDescent="0.25">
      <c r="A25">
        <v>28.8</v>
      </c>
      <c r="B25">
        <v>1.3599999999999994</v>
      </c>
      <c r="C25">
        <v>20</v>
      </c>
      <c r="D25">
        <v>24.6</v>
      </c>
      <c r="E25">
        <v>15.5</v>
      </c>
      <c r="F25">
        <v>21.1</v>
      </c>
    </row>
    <row r="26" spans="1:24" x14ac:dyDescent="0.25">
      <c r="A26">
        <v>18</v>
      </c>
      <c r="B26">
        <v>1.6000000000000014</v>
      </c>
      <c r="C26">
        <v>19.5</v>
      </c>
      <c r="D26">
        <v>27.7</v>
      </c>
      <c r="E26">
        <v>17.899999999999999</v>
      </c>
      <c r="F26">
        <v>21.4</v>
      </c>
    </row>
    <row r="27" spans="1:24" x14ac:dyDescent="0.25">
      <c r="A27">
        <v>17</v>
      </c>
      <c r="B27">
        <v>3.9999999999999147E-2</v>
      </c>
      <c r="C27">
        <v>18.2</v>
      </c>
      <c r="D27">
        <v>19.100000000000001</v>
      </c>
      <c r="E27">
        <v>23.6</v>
      </c>
      <c r="F27">
        <v>14.4</v>
      </c>
    </row>
    <row r="28" spans="1:24" x14ac:dyDescent="0.25">
      <c r="A28">
        <v>14.2</v>
      </c>
      <c r="B28">
        <v>2.0799999999999983</v>
      </c>
      <c r="C28">
        <v>12.6</v>
      </c>
      <c r="D28">
        <v>17.5</v>
      </c>
      <c r="E28">
        <v>23</v>
      </c>
      <c r="F28">
        <v>18.100000000000001</v>
      </c>
    </row>
    <row r="29" spans="1:24" x14ac:dyDescent="0.25">
      <c r="A29">
        <v>18.7</v>
      </c>
      <c r="B29">
        <v>2.8800000000000026</v>
      </c>
      <c r="C29">
        <v>22.6</v>
      </c>
      <c r="D29">
        <v>19</v>
      </c>
      <c r="E29">
        <v>17.2</v>
      </c>
      <c r="F29">
        <v>19.100000000000001</v>
      </c>
      <c r="V29" s="102" t="s">
        <v>26</v>
      </c>
      <c r="W29" s="102" t="s">
        <v>68</v>
      </c>
      <c r="X29" s="102" t="s">
        <v>69</v>
      </c>
    </row>
    <row r="30" spans="1:24" x14ac:dyDescent="0.25">
      <c r="A30">
        <v>14.9</v>
      </c>
      <c r="B30">
        <v>4.32</v>
      </c>
      <c r="C30">
        <v>25.2</v>
      </c>
      <c r="D30">
        <v>22</v>
      </c>
      <c r="E30">
        <v>14.3</v>
      </c>
      <c r="F30">
        <v>17.3</v>
      </c>
      <c r="V30" s="102"/>
      <c r="W30" s="102"/>
      <c r="X30" s="102"/>
    </row>
    <row r="31" spans="1:24" x14ac:dyDescent="0.25">
      <c r="A31">
        <v>21.6</v>
      </c>
      <c r="B31">
        <v>7.9999999999998295E-2</v>
      </c>
      <c r="C31">
        <v>25</v>
      </c>
      <c r="D31">
        <v>24.7</v>
      </c>
      <c r="E31">
        <v>19.3</v>
      </c>
      <c r="F31">
        <v>20.100000000000001</v>
      </c>
      <c r="V31" s="65">
        <v>0</v>
      </c>
      <c r="W31" s="65">
        <f>COUNTIF(_xlfn.ANCHORARRAY($C$2),"&lt;="&amp;V31)</f>
        <v>0</v>
      </c>
      <c r="X31" s="66">
        <f t="shared" ref="X31:X38" si="2">W31/$W$38</f>
        <v>0</v>
      </c>
    </row>
    <row r="32" spans="1:24" x14ac:dyDescent="0.25">
      <c r="A32">
        <v>19.5</v>
      </c>
      <c r="B32">
        <v>1.2399999999999984</v>
      </c>
      <c r="C32">
        <v>23.1</v>
      </c>
      <c r="D32">
        <v>25.8</v>
      </c>
      <c r="E32">
        <v>19.399999999999999</v>
      </c>
      <c r="F32">
        <v>24.3</v>
      </c>
      <c r="V32" s="65">
        <v>5</v>
      </c>
      <c r="W32" s="65">
        <f t="shared" ref="W32:W38" si="3">COUNTIF(_xlfn.ANCHORARRAY($C$2),"&lt;="&amp;V32)</f>
        <v>1</v>
      </c>
      <c r="X32" s="66">
        <f t="shared" si="2"/>
        <v>3.6764705882352941E-3</v>
      </c>
    </row>
    <row r="33" spans="1:24" x14ac:dyDescent="0.25">
      <c r="A33">
        <v>14.3</v>
      </c>
      <c r="B33">
        <v>0.96000000000000085</v>
      </c>
      <c r="C33">
        <v>21.5</v>
      </c>
      <c r="D33">
        <v>16.899999999999999</v>
      </c>
      <c r="E33">
        <v>21.1</v>
      </c>
      <c r="F33">
        <v>23.5</v>
      </c>
      <c r="V33" s="65">
        <v>10</v>
      </c>
      <c r="W33" s="65">
        <f t="shared" si="3"/>
        <v>4</v>
      </c>
      <c r="X33" s="66">
        <f t="shared" si="2"/>
        <v>1.4705882352941176E-2</v>
      </c>
    </row>
    <row r="34" spans="1:24" x14ac:dyDescent="0.25">
      <c r="A34">
        <v>21.7</v>
      </c>
      <c r="B34">
        <v>1.8000000000000007</v>
      </c>
      <c r="C34">
        <v>11.7</v>
      </c>
      <c r="D34">
        <v>24.3</v>
      </c>
      <c r="E34">
        <v>21.2000007629394</v>
      </c>
      <c r="F34">
        <v>21.4</v>
      </c>
      <c r="V34" s="65">
        <v>15</v>
      </c>
      <c r="W34" s="65">
        <f t="shared" si="3"/>
        <v>31</v>
      </c>
      <c r="X34" s="66">
        <f t="shared" si="2"/>
        <v>0.11397058823529412</v>
      </c>
    </row>
    <row r="35" spans="1:24" x14ac:dyDescent="0.25">
      <c r="A35">
        <v>20</v>
      </c>
      <c r="B35">
        <v>7.6400000000000006</v>
      </c>
      <c r="C35">
        <v>24.3</v>
      </c>
      <c r="D35">
        <v>20.3</v>
      </c>
      <c r="E35">
        <v>20.600000381469702</v>
      </c>
      <c r="F35">
        <v>16.600000000000001</v>
      </c>
      <c r="V35" s="65">
        <v>20</v>
      </c>
      <c r="W35" s="65">
        <f t="shared" si="3"/>
        <v>129</v>
      </c>
      <c r="X35" s="66">
        <f t="shared" si="2"/>
        <v>0.47426470588235292</v>
      </c>
    </row>
    <row r="36" spans="1:24" x14ac:dyDescent="0.25">
      <c r="A36">
        <v>19.5</v>
      </c>
      <c r="B36">
        <v>4.2000000000000028</v>
      </c>
      <c r="C36">
        <v>21.3</v>
      </c>
      <c r="D36">
        <v>16.899999999999999</v>
      </c>
      <c r="E36">
        <v>22.899999618530199</v>
      </c>
      <c r="F36">
        <v>15.7</v>
      </c>
      <c r="V36" s="65">
        <v>25</v>
      </c>
      <c r="W36" s="65">
        <f t="shared" si="3"/>
        <v>232</v>
      </c>
      <c r="X36" s="66">
        <f t="shared" si="2"/>
        <v>0.8529411764705882</v>
      </c>
    </row>
    <row r="37" spans="1:24" x14ac:dyDescent="0.25">
      <c r="A37">
        <v>18.2</v>
      </c>
      <c r="B37">
        <v>1.279999999999994</v>
      </c>
      <c r="C37">
        <v>23.5</v>
      </c>
      <c r="D37">
        <v>21.4</v>
      </c>
      <c r="E37">
        <v>18.799999237060501</v>
      </c>
      <c r="F37">
        <v>25</v>
      </c>
      <c r="V37" s="65">
        <v>30</v>
      </c>
      <c r="W37" s="65">
        <f t="shared" si="3"/>
        <v>265</v>
      </c>
      <c r="X37" s="66">
        <f t="shared" si="2"/>
        <v>0.97426470588235292</v>
      </c>
    </row>
    <row r="38" spans="1:24" x14ac:dyDescent="0.25">
      <c r="A38">
        <v>12.6</v>
      </c>
      <c r="B38">
        <v>2</v>
      </c>
      <c r="C38">
        <v>22.1</v>
      </c>
      <c r="D38">
        <v>27.9</v>
      </c>
      <c r="E38">
        <v>16.899999618530199</v>
      </c>
      <c r="F38">
        <v>22.1</v>
      </c>
      <c r="V38" s="65">
        <v>35</v>
      </c>
      <c r="W38" s="65">
        <f t="shared" si="3"/>
        <v>272</v>
      </c>
      <c r="X38" s="66">
        <f t="shared" si="2"/>
        <v>1</v>
      </c>
    </row>
    <row r="39" spans="1:24" x14ac:dyDescent="0.25">
      <c r="A39">
        <v>22.6</v>
      </c>
      <c r="B39">
        <v>1.6400000000000001</v>
      </c>
      <c r="C39">
        <v>22.2</v>
      </c>
      <c r="D39">
        <v>16.799999237060501</v>
      </c>
      <c r="E39">
        <v>24.2000007629394</v>
      </c>
      <c r="F39">
        <v>23.4</v>
      </c>
      <c r="V39" s="70" t="s">
        <v>75</v>
      </c>
    </row>
    <row r="40" spans="1:24" x14ac:dyDescent="0.25">
      <c r="A40">
        <v>25.2</v>
      </c>
      <c r="B40">
        <v>2.2800000000000002</v>
      </c>
      <c r="C40">
        <v>20.399999999999999</v>
      </c>
      <c r="D40">
        <v>33.599998474121001</v>
      </c>
      <c r="E40">
        <v>18.2000007629394</v>
      </c>
      <c r="F40">
        <v>19.2</v>
      </c>
    </row>
    <row r="41" spans="1:24" x14ac:dyDescent="0.25">
      <c r="A41">
        <v>25</v>
      </c>
      <c r="B41">
        <v>2.2799999999999994</v>
      </c>
      <c r="C41">
        <v>24.9</v>
      </c>
      <c r="D41">
        <v>34.299999237060497</v>
      </c>
      <c r="E41">
        <v>14.300000190734799</v>
      </c>
      <c r="F41">
        <v>19.8</v>
      </c>
    </row>
    <row r="42" spans="1:24" x14ac:dyDescent="0.25">
      <c r="A42">
        <v>23.1</v>
      </c>
      <c r="B42">
        <v>2.120000000000001</v>
      </c>
      <c r="C42">
        <v>18.600000000000001</v>
      </c>
      <c r="D42">
        <v>4.1999998092651296</v>
      </c>
      <c r="E42">
        <v>18</v>
      </c>
      <c r="F42">
        <v>24.6</v>
      </c>
    </row>
    <row r="43" spans="1:24" x14ac:dyDescent="0.25">
      <c r="A43">
        <v>30</v>
      </c>
      <c r="B43">
        <v>1.08</v>
      </c>
      <c r="C43">
        <v>18.399999999999999</v>
      </c>
      <c r="D43">
        <v>22.899999618530199</v>
      </c>
      <c r="E43">
        <v>22.7000007629394</v>
      </c>
      <c r="F43">
        <v>22.6</v>
      </c>
    </row>
    <row r="44" spans="1:24" x14ac:dyDescent="0.25">
      <c r="A44">
        <v>21.8</v>
      </c>
      <c r="B44">
        <v>4.3999999999999986</v>
      </c>
      <c r="C44">
        <v>23.6</v>
      </c>
      <c r="D44">
        <v>7.8000001907348597</v>
      </c>
      <c r="E44">
        <v>21.7000007629394</v>
      </c>
      <c r="F44">
        <v>16.899999999999999</v>
      </c>
    </row>
    <row r="45" spans="1:24" x14ac:dyDescent="0.25">
      <c r="A45">
        <v>21.5</v>
      </c>
      <c r="B45">
        <v>1.6000000000000014</v>
      </c>
      <c r="C45">
        <v>16.100000000000001</v>
      </c>
      <c r="D45">
        <v>25.100000381469702</v>
      </c>
      <c r="E45">
        <v>17.799999237060501</v>
      </c>
      <c r="F45">
        <v>27.7</v>
      </c>
    </row>
    <row r="46" spans="1:24" x14ac:dyDescent="0.25">
      <c r="A46">
        <v>11.7</v>
      </c>
      <c r="B46">
        <v>2.9199999999999982</v>
      </c>
      <c r="C46">
        <v>31.3</v>
      </c>
      <c r="D46">
        <v>38.400001525878899</v>
      </c>
      <c r="E46">
        <v>28.2000007629394</v>
      </c>
      <c r="F46">
        <v>18.100000000000001</v>
      </c>
    </row>
    <row r="47" spans="1:24" x14ac:dyDescent="0.25">
      <c r="A47">
        <v>21.7</v>
      </c>
      <c r="B47">
        <v>0.88000000000000256</v>
      </c>
      <c r="C47">
        <v>19.8</v>
      </c>
      <c r="D47">
        <v>32</v>
      </c>
      <c r="E47">
        <v>21.600000381469702</v>
      </c>
      <c r="F47">
        <v>19.100000000000001</v>
      </c>
    </row>
    <row r="48" spans="1:24" x14ac:dyDescent="0.25">
      <c r="A48">
        <v>24.3</v>
      </c>
      <c r="B48">
        <v>2.1199999999999974</v>
      </c>
      <c r="C48">
        <v>24.4</v>
      </c>
      <c r="D48">
        <v>19.399999618530199</v>
      </c>
      <c r="E48">
        <v>17.100000381469702</v>
      </c>
      <c r="F48">
        <v>17.5</v>
      </c>
    </row>
    <row r="49" spans="1:24" x14ac:dyDescent="0.25">
      <c r="A49">
        <v>21.3</v>
      </c>
      <c r="B49">
        <v>1.6799999999999997</v>
      </c>
      <c r="C49">
        <v>25.4</v>
      </c>
      <c r="D49">
        <v>24.100000381469702</v>
      </c>
      <c r="E49">
        <v>17.7</v>
      </c>
      <c r="F49">
        <v>16.8</v>
      </c>
    </row>
    <row r="50" spans="1:24" x14ac:dyDescent="0.25">
      <c r="A50">
        <v>23.5</v>
      </c>
      <c r="B50">
        <v>0.44000000000000128</v>
      </c>
      <c r="C50">
        <v>22.7</v>
      </c>
      <c r="D50">
        <v>34.900001525878899</v>
      </c>
      <c r="E50">
        <v>20.5</v>
      </c>
      <c r="F50">
        <v>14.7</v>
      </c>
    </row>
    <row r="51" spans="1:24" x14ac:dyDescent="0.25">
      <c r="A51">
        <v>22.1</v>
      </c>
      <c r="B51">
        <v>1</v>
      </c>
      <c r="C51">
        <v>24.1</v>
      </c>
      <c r="D51">
        <v>23.799999237060501</v>
      </c>
      <c r="E51">
        <v>21.2</v>
      </c>
      <c r="F51">
        <v>23.5</v>
      </c>
    </row>
    <row r="52" spans="1:24" x14ac:dyDescent="0.25">
      <c r="A52">
        <v>22.2</v>
      </c>
      <c r="B52">
        <v>1.5599999999999987</v>
      </c>
      <c r="C52">
        <v>29.5</v>
      </c>
      <c r="D52">
        <v>20</v>
      </c>
      <c r="E52">
        <v>16.600000000000001</v>
      </c>
      <c r="F52">
        <v>15.5</v>
      </c>
    </row>
    <row r="53" spans="1:24" x14ac:dyDescent="0.25">
      <c r="A53">
        <v>20.399999999999999</v>
      </c>
      <c r="B53">
        <v>4.9200000000000017</v>
      </c>
      <c r="C53">
        <v>28.2</v>
      </c>
      <c r="D53">
        <v>19.399999618530199</v>
      </c>
      <c r="E53">
        <v>14.6</v>
      </c>
      <c r="F53">
        <v>17.899999999999999</v>
      </c>
    </row>
    <row r="54" spans="1:24" x14ac:dyDescent="0.25">
      <c r="A54">
        <v>24.9</v>
      </c>
      <c r="B54">
        <v>1.9600000000000004</v>
      </c>
      <c r="C54">
        <v>26.1</v>
      </c>
      <c r="D54">
        <v>15.699999809265099</v>
      </c>
      <c r="E54">
        <v>18.899999999999999</v>
      </c>
      <c r="F54">
        <v>23.6</v>
      </c>
      <c r="V54" s="102" t="s">
        <v>26</v>
      </c>
      <c r="W54" s="102" t="s">
        <v>68</v>
      </c>
      <c r="X54" s="102" t="s">
        <v>69</v>
      </c>
    </row>
    <row r="55" spans="1:24" x14ac:dyDescent="0.25">
      <c r="A55">
        <v>26.1</v>
      </c>
      <c r="B55">
        <v>0.59999999999999964</v>
      </c>
      <c r="C55">
        <v>21.4</v>
      </c>
      <c r="D55">
        <v>21.299999237060501</v>
      </c>
      <c r="E55">
        <v>18.2</v>
      </c>
      <c r="F55">
        <v>19</v>
      </c>
      <c r="V55" s="102"/>
      <c r="W55" s="102"/>
      <c r="X55" s="102"/>
    </row>
    <row r="56" spans="1:24" x14ac:dyDescent="0.25">
      <c r="A56">
        <v>18.600000000000001</v>
      </c>
      <c r="B56">
        <v>0.91999999999999993</v>
      </c>
      <c r="C56">
        <v>19.100000000000001</v>
      </c>
      <c r="D56">
        <v>22.5</v>
      </c>
      <c r="E56">
        <v>15.3</v>
      </c>
      <c r="F56">
        <v>23</v>
      </c>
      <c r="V56" s="65">
        <v>0</v>
      </c>
      <c r="W56" s="65">
        <f>COUNTIF(_xlfn.ANCHORARRAY($D$2),"&lt;="&amp;V56)</f>
        <v>0</v>
      </c>
      <c r="X56" s="66">
        <f>W56/$W$63</f>
        <v>0</v>
      </c>
    </row>
    <row r="57" spans="1:24" x14ac:dyDescent="0.25">
      <c r="A57">
        <v>18.399999999999999</v>
      </c>
      <c r="B57">
        <v>1.08</v>
      </c>
      <c r="C57">
        <v>14.8</v>
      </c>
      <c r="D57">
        <v>8.8999996185302699</v>
      </c>
      <c r="E57">
        <v>16.600000000000001</v>
      </c>
      <c r="F57">
        <v>22</v>
      </c>
      <c r="V57" s="65">
        <v>5</v>
      </c>
      <c r="W57" s="65">
        <f t="shared" ref="W57:W63" si="4">COUNTIF(_xlfn.ANCHORARRAY($D$2),"&lt;="&amp;V57)</f>
        <v>1</v>
      </c>
      <c r="X57" s="66">
        <f t="shared" ref="X57:X63" si="5">W57/$W$63</f>
        <v>8.4033613445378148E-3</v>
      </c>
    </row>
    <row r="58" spans="1:24" x14ac:dyDescent="0.25">
      <c r="A58">
        <v>23.6</v>
      </c>
      <c r="B58">
        <v>1.8399999999999999</v>
      </c>
      <c r="C58">
        <v>20.2</v>
      </c>
      <c r="D58">
        <v>23.7000007629394</v>
      </c>
      <c r="E58">
        <v>31.1</v>
      </c>
      <c r="F58">
        <v>17.2</v>
      </c>
      <c r="V58" s="65">
        <v>10</v>
      </c>
      <c r="W58" s="65">
        <f t="shared" si="4"/>
        <v>5</v>
      </c>
      <c r="X58" s="66">
        <f t="shared" si="5"/>
        <v>4.2016806722689079E-2</v>
      </c>
    </row>
    <row r="59" spans="1:24" x14ac:dyDescent="0.25">
      <c r="A59">
        <v>16.100000000000001</v>
      </c>
      <c r="B59">
        <v>2.5600000000000005</v>
      </c>
      <c r="C59">
        <v>20.6</v>
      </c>
      <c r="D59">
        <v>20.5</v>
      </c>
      <c r="E59">
        <v>20.9</v>
      </c>
      <c r="F59">
        <v>24.7</v>
      </c>
      <c r="V59" s="65">
        <v>15</v>
      </c>
      <c r="W59" s="65">
        <f t="shared" si="4"/>
        <v>9</v>
      </c>
      <c r="X59" s="66">
        <f t="shared" si="5"/>
        <v>7.5630252100840331E-2</v>
      </c>
    </row>
    <row r="60" spans="1:24" x14ac:dyDescent="0.25">
      <c r="A60">
        <v>31.3</v>
      </c>
      <c r="B60">
        <v>6.120000000000001</v>
      </c>
      <c r="C60">
        <v>22.1</v>
      </c>
      <c r="D60">
        <v>21.5</v>
      </c>
      <c r="E60">
        <v>16</v>
      </c>
      <c r="F60">
        <v>25.8</v>
      </c>
      <c r="V60" s="65">
        <v>20</v>
      </c>
      <c r="W60" s="65">
        <f t="shared" si="4"/>
        <v>39</v>
      </c>
      <c r="X60" s="66">
        <f t="shared" si="5"/>
        <v>0.32773109243697479</v>
      </c>
    </row>
    <row r="61" spans="1:24" x14ac:dyDescent="0.25">
      <c r="A61">
        <v>19.8</v>
      </c>
      <c r="B61">
        <v>1.879999999999999</v>
      </c>
      <c r="C61">
        <v>25.9</v>
      </c>
      <c r="D61">
        <v>25</v>
      </c>
      <c r="E61">
        <v>17.7</v>
      </c>
      <c r="F61">
        <v>14.3</v>
      </c>
      <c r="V61" s="65">
        <v>25</v>
      </c>
      <c r="W61" s="65">
        <f t="shared" si="4"/>
        <v>87</v>
      </c>
      <c r="X61" s="66">
        <f t="shared" si="5"/>
        <v>0.73109243697478987</v>
      </c>
    </row>
    <row r="62" spans="1:24" x14ac:dyDescent="0.25">
      <c r="A62">
        <v>17.100000000000001</v>
      </c>
      <c r="B62">
        <v>3.120000000000001</v>
      </c>
      <c r="C62">
        <v>23.8</v>
      </c>
      <c r="D62">
        <v>29.299999237060501</v>
      </c>
      <c r="E62">
        <v>16.8</v>
      </c>
      <c r="F62">
        <v>19.3</v>
      </c>
      <c r="V62" s="65">
        <v>30</v>
      </c>
      <c r="W62" s="65">
        <f t="shared" si="4"/>
        <v>109</v>
      </c>
      <c r="X62" s="66">
        <f t="shared" si="5"/>
        <v>0.91596638655462181</v>
      </c>
    </row>
    <row r="63" spans="1:24" x14ac:dyDescent="0.25">
      <c r="A63">
        <v>26.6</v>
      </c>
      <c r="B63">
        <v>0.71999999999999886</v>
      </c>
      <c r="C63">
        <v>29.4</v>
      </c>
      <c r="D63">
        <v>33.900001525878899</v>
      </c>
      <c r="E63">
        <v>18.399999999999999</v>
      </c>
      <c r="F63">
        <v>16.899999999999999</v>
      </c>
      <c r="V63" s="65">
        <v>35</v>
      </c>
      <c r="W63" s="65">
        <f t="shared" si="4"/>
        <v>119</v>
      </c>
      <c r="X63" s="66">
        <f t="shared" si="5"/>
        <v>1</v>
      </c>
    </row>
    <row r="64" spans="1:24" x14ac:dyDescent="0.25">
      <c r="A64">
        <v>24.4</v>
      </c>
      <c r="B64">
        <v>1.4800000000000004</v>
      </c>
      <c r="C64">
        <v>27.5</v>
      </c>
      <c r="D64">
        <v>17.299999237060501</v>
      </c>
      <c r="E64">
        <v>20</v>
      </c>
      <c r="F64">
        <v>19.399999999999999</v>
      </c>
      <c r="V64" s="70" t="s">
        <v>76</v>
      </c>
    </row>
    <row r="65" spans="1:24" x14ac:dyDescent="0.25">
      <c r="A65">
        <v>25.4</v>
      </c>
      <c r="B65">
        <v>2.3200000000000003</v>
      </c>
      <c r="C65">
        <v>33.1</v>
      </c>
      <c r="D65">
        <v>30</v>
      </c>
      <c r="E65">
        <v>16.7</v>
      </c>
      <c r="F65">
        <v>24.3</v>
      </c>
    </row>
    <row r="66" spans="1:24" x14ac:dyDescent="0.25">
      <c r="A66">
        <v>22.7</v>
      </c>
      <c r="B66">
        <v>2.759999999999998</v>
      </c>
      <c r="C66">
        <v>14.9</v>
      </c>
      <c r="D66">
        <v>31.899999618530199</v>
      </c>
      <c r="E66">
        <v>18.899999999999999</v>
      </c>
      <c r="F66">
        <v>21.1</v>
      </c>
    </row>
    <row r="67" spans="1:24" x14ac:dyDescent="0.25">
      <c r="A67">
        <v>23.9</v>
      </c>
      <c r="B67">
        <v>2.0400000000000027</v>
      </c>
      <c r="C67">
        <v>15.3</v>
      </c>
      <c r="D67">
        <v>24.7000007629394</v>
      </c>
      <c r="E67">
        <v>21.2</v>
      </c>
      <c r="F67">
        <v>20.3</v>
      </c>
    </row>
    <row r="68" spans="1:24" x14ac:dyDescent="0.25">
      <c r="A68">
        <v>24.1</v>
      </c>
      <c r="B68">
        <v>2.8800000000000003</v>
      </c>
      <c r="C68">
        <v>26</v>
      </c>
      <c r="D68">
        <v>17.399999618530199</v>
      </c>
      <c r="E68">
        <v>20.100000000000001</v>
      </c>
      <c r="F68">
        <v>16.899999999999999</v>
      </c>
    </row>
    <row r="69" spans="1:24" x14ac:dyDescent="0.25">
      <c r="A69">
        <v>29.5</v>
      </c>
      <c r="B69">
        <v>0.20000000000000018</v>
      </c>
      <c r="C69">
        <v>20.3</v>
      </c>
      <c r="D69">
        <v>7</v>
      </c>
      <c r="E69">
        <v>20.8</v>
      </c>
      <c r="F69">
        <v>21.4</v>
      </c>
    </row>
    <row r="70" spans="1:24" x14ac:dyDescent="0.25">
      <c r="A70">
        <v>28.2</v>
      </c>
      <c r="B70">
        <v>3.0399999999999991</v>
      </c>
      <c r="C70">
        <v>19.8</v>
      </c>
      <c r="D70">
        <v>21.799999237060501</v>
      </c>
      <c r="E70">
        <v>20.2</v>
      </c>
      <c r="F70">
        <v>27.9</v>
      </c>
    </row>
    <row r="71" spans="1:24" x14ac:dyDescent="0.25">
      <c r="A71">
        <v>26.1</v>
      </c>
      <c r="B71">
        <v>0.36000000000000121</v>
      </c>
      <c r="C71">
        <v>21.7</v>
      </c>
      <c r="D71">
        <v>28</v>
      </c>
      <c r="E71">
        <v>20.9</v>
      </c>
      <c r="F71">
        <v>16.799999237060501</v>
      </c>
    </row>
    <row r="72" spans="1:24" x14ac:dyDescent="0.25">
      <c r="A72">
        <v>21.4</v>
      </c>
      <c r="B72">
        <v>2.0399999999999991</v>
      </c>
      <c r="C72">
        <v>21.4</v>
      </c>
      <c r="D72">
        <v>23.7000007629394</v>
      </c>
      <c r="E72">
        <v>20.7</v>
      </c>
      <c r="F72">
        <v>21.2000007629394</v>
      </c>
    </row>
    <row r="73" spans="1:24" x14ac:dyDescent="0.25">
      <c r="A73">
        <v>19.100000000000001</v>
      </c>
      <c r="B73">
        <v>1.3599999999999994</v>
      </c>
      <c r="C73">
        <v>21.9</v>
      </c>
      <c r="D73">
        <v>21.5</v>
      </c>
      <c r="E73">
        <v>23.8</v>
      </c>
      <c r="F73">
        <v>20.600000381469702</v>
      </c>
    </row>
    <row r="74" spans="1:24" x14ac:dyDescent="0.25">
      <c r="A74">
        <v>14.8</v>
      </c>
      <c r="B74">
        <v>1.92</v>
      </c>
      <c r="C74">
        <v>23.4</v>
      </c>
      <c r="D74">
        <v>22.299999237060501</v>
      </c>
      <c r="E74">
        <v>16.100000000000001</v>
      </c>
      <c r="F74">
        <v>22.899999618530199</v>
      </c>
    </row>
    <row r="75" spans="1:24" x14ac:dyDescent="0.25">
      <c r="A75">
        <v>20.2</v>
      </c>
      <c r="B75">
        <v>0.20000000000000107</v>
      </c>
      <c r="C75">
        <v>18</v>
      </c>
      <c r="D75">
        <v>20.799999237060501</v>
      </c>
      <c r="E75">
        <v>18.8</v>
      </c>
      <c r="F75">
        <v>18.799999237060501</v>
      </c>
    </row>
    <row r="76" spans="1:24" x14ac:dyDescent="0.25">
      <c r="A76">
        <v>19.399999999999999</v>
      </c>
      <c r="B76">
        <v>2.9999999999999982</v>
      </c>
      <c r="C76">
        <v>17.3</v>
      </c>
      <c r="D76">
        <v>27</v>
      </c>
      <c r="E76">
        <v>19.399999999999999</v>
      </c>
      <c r="F76">
        <v>33.599998474121001</v>
      </c>
    </row>
    <row r="77" spans="1:24" x14ac:dyDescent="0.25">
      <c r="A77">
        <v>20.6</v>
      </c>
      <c r="B77">
        <v>1.1999999999999993</v>
      </c>
      <c r="C77">
        <v>22.8</v>
      </c>
      <c r="D77">
        <v>37.5</v>
      </c>
      <c r="E77">
        <v>18.2</v>
      </c>
      <c r="F77">
        <v>34.299999237060497</v>
      </c>
    </row>
    <row r="78" spans="1:24" x14ac:dyDescent="0.25">
      <c r="A78">
        <v>22.1</v>
      </c>
      <c r="B78">
        <v>2.8000000000000007</v>
      </c>
      <c r="C78">
        <v>20.399999999999999</v>
      </c>
      <c r="D78">
        <v>24</v>
      </c>
      <c r="E78">
        <v>21</v>
      </c>
      <c r="F78">
        <v>16.899999618530199</v>
      </c>
    </row>
    <row r="79" spans="1:24" x14ac:dyDescent="0.25">
      <c r="A79">
        <v>19</v>
      </c>
      <c r="B79">
        <v>1.4400000000000013</v>
      </c>
      <c r="C79">
        <v>18.100000000000001</v>
      </c>
      <c r="D79">
        <v>17.299999237060501</v>
      </c>
      <c r="E79">
        <v>20.6</v>
      </c>
      <c r="F79">
        <v>24.2000007629394</v>
      </c>
      <c r="V79" s="102" t="s">
        <v>26</v>
      </c>
      <c r="W79" s="102" t="s">
        <v>68</v>
      </c>
      <c r="X79" s="102" t="s">
        <v>69</v>
      </c>
    </row>
    <row r="80" spans="1:24" x14ac:dyDescent="0.25">
      <c r="A80">
        <v>25.9</v>
      </c>
      <c r="B80">
        <v>2.2799999999999976</v>
      </c>
      <c r="C80">
        <v>18.7</v>
      </c>
      <c r="D80">
        <v>19.2000007629394</v>
      </c>
      <c r="E80">
        <v>20.7</v>
      </c>
      <c r="F80">
        <v>4.1999998092651296</v>
      </c>
      <c r="V80" s="102"/>
      <c r="W80" s="102"/>
      <c r="X80" s="102"/>
    </row>
    <row r="81" spans="1:24" x14ac:dyDescent="0.25">
      <c r="A81">
        <v>31</v>
      </c>
      <c r="B81">
        <v>2.7999999999999972</v>
      </c>
      <c r="C81">
        <v>22.3</v>
      </c>
      <c r="D81">
        <v>20.799999237060501</v>
      </c>
      <c r="F81">
        <v>22.899999618530199</v>
      </c>
      <c r="V81" s="65">
        <v>0</v>
      </c>
      <c r="W81" s="65">
        <f>COUNTIF(_xlfn.ANCHORARRAY($A$2),"&lt;="&amp;V81)</f>
        <v>0</v>
      </c>
      <c r="X81" s="66">
        <f t="shared" ref="X81:X88" si="6">W81/$W$88</f>
        <v>0</v>
      </c>
    </row>
    <row r="82" spans="1:24" x14ac:dyDescent="0.25">
      <c r="A82">
        <v>33.700000000000003</v>
      </c>
      <c r="B82">
        <v>2</v>
      </c>
      <c r="C82">
        <v>17</v>
      </c>
      <c r="D82">
        <v>16.399999618530199</v>
      </c>
      <c r="F82">
        <v>7.8000001907348597</v>
      </c>
      <c r="V82" s="65">
        <v>5</v>
      </c>
      <c r="W82" s="65">
        <f>COUNTIF($F$2:$F$80,"&lt;="&amp;V82)</f>
        <v>1</v>
      </c>
      <c r="X82" s="66">
        <f t="shared" si="6"/>
        <v>1.2658227848101266E-2</v>
      </c>
    </row>
    <row r="83" spans="1:24" x14ac:dyDescent="0.25">
      <c r="A83">
        <v>23.8</v>
      </c>
      <c r="B83">
        <v>1.2000000000000002</v>
      </c>
      <c r="C83">
        <v>23.9</v>
      </c>
      <c r="D83">
        <v>15.7</v>
      </c>
      <c r="F83">
        <v>25.100000381469702</v>
      </c>
      <c r="V83" s="65">
        <v>10</v>
      </c>
      <c r="W83" s="65">
        <f t="shared" ref="W83:W88" si="7">COUNTIF($F$2:$F$80,"&lt;="&amp;V83)</f>
        <v>1</v>
      </c>
      <c r="X83" s="66">
        <f t="shared" si="6"/>
        <v>1.2658227848101266E-2</v>
      </c>
    </row>
    <row r="84" spans="1:24" x14ac:dyDescent="0.25">
      <c r="A84">
        <v>29.4</v>
      </c>
      <c r="B84">
        <v>2.2000000000000002</v>
      </c>
      <c r="C84">
        <v>24.1</v>
      </c>
      <c r="D84">
        <v>18.7</v>
      </c>
      <c r="F84">
        <v>38.400001525878899</v>
      </c>
      <c r="V84" s="65">
        <v>15</v>
      </c>
      <c r="W84" s="65">
        <f t="shared" si="7"/>
        <v>6</v>
      </c>
      <c r="X84" s="66">
        <f t="shared" si="6"/>
        <v>7.5949367088607597E-2</v>
      </c>
    </row>
    <row r="85" spans="1:24" x14ac:dyDescent="0.25">
      <c r="A85">
        <v>27.5</v>
      </c>
      <c r="B85">
        <v>1.04</v>
      </c>
      <c r="C85">
        <v>20.6</v>
      </c>
      <c r="D85">
        <v>19.100000000000001</v>
      </c>
      <c r="F85">
        <v>32</v>
      </c>
      <c r="V85" s="65">
        <v>20</v>
      </c>
      <c r="W85" s="65">
        <f t="shared" si="7"/>
        <v>38</v>
      </c>
      <c r="X85" s="66">
        <f t="shared" si="6"/>
        <v>0.48101265822784811</v>
      </c>
    </row>
    <row r="86" spans="1:24" x14ac:dyDescent="0.25">
      <c r="A86">
        <v>33.1</v>
      </c>
      <c r="B86">
        <v>0.67999999999999972</v>
      </c>
      <c r="C86">
        <v>21.1</v>
      </c>
      <c r="D86">
        <v>22.8</v>
      </c>
      <c r="F86">
        <v>19.399999618530199</v>
      </c>
      <c r="V86" s="65">
        <v>25</v>
      </c>
      <c r="W86" s="65">
        <f t="shared" si="7"/>
        <v>68</v>
      </c>
      <c r="X86" s="66">
        <f t="shared" si="6"/>
        <v>0.86075949367088611</v>
      </c>
    </row>
    <row r="87" spans="1:24" x14ac:dyDescent="0.25">
      <c r="A87">
        <v>14.9</v>
      </c>
      <c r="B87">
        <v>3.4000000000000004</v>
      </c>
      <c r="C87">
        <v>19.100000000000001</v>
      </c>
      <c r="D87">
        <v>17.7</v>
      </c>
      <c r="F87">
        <v>24.100000381469702</v>
      </c>
      <c r="V87" s="65">
        <v>30</v>
      </c>
      <c r="W87" s="65">
        <f t="shared" si="7"/>
        <v>74</v>
      </c>
      <c r="X87" s="66">
        <f t="shared" si="6"/>
        <v>0.93670886075949367</v>
      </c>
    </row>
    <row r="88" spans="1:24" x14ac:dyDescent="0.25">
      <c r="A88">
        <v>15.3</v>
      </c>
      <c r="B88">
        <v>0.87999999999999901</v>
      </c>
      <c r="C88">
        <v>17.100000000000001</v>
      </c>
      <c r="D88">
        <v>20.8</v>
      </c>
      <c r="F88">
        <v>34.900001525878899</v>
      </c>
      <c r="V88" s="65">
        <v>35</v>
      </c>
      <c r="W88" s="65">
        <f t="shared" si="7"/>
        <v>79</v>
      </c>
      <c r="X88" s="66">
        <f t="shared" si="6"/>
        <v>1</v>
      </c>
    </row>
    <row r="89" spans="1:24" x14ac:dyDescent="0.25">
      <c r="A89">
        <v>26</v>
      </c>
      <c r="B89">
        <v>4.2000000000000011</v>
      </c>
      <c r="C89">
        <v>13.2</v>
      </c>
      <c r="D89">
        <v>26.5</v>
      </c>
      <c r="F89">
        <v>23.799999237060501</v>
      </c>
      <c r="V89" s="70" t="s">
        <v>75</v>
      </c>
    </row>
    <row r="90" spans="1:24" x14ac:dyDescent="0.25">
      <c r="A90">
        <v>33.9</v>
      </c>
      <c r="B90">
        <v>5</v>
      </c>
      <c r="C90">
        <v>17.2</v>
      </c>
      <c r="D90">
        <v>36.1</v>
      </c>
      <c r="F90">
        <v>18.2000007629394</v>
      </c>
    </row>
    <row r="91" spans="1:24" x14ac:dyDescent="0.25">
      <c r="A91">
        <v>20.3</v>
      </c>
      <c r="B91">
        <v>1.9199999999999982</v>
      </c>
      <c r="C91">
        <v>21</v>
      </c>
      <c r="D91">
        <v>32.700000000000003</v>
      </c>
      <c r="F91">
        <v>20</v>
      </c>
    </row>
    <row r="92" spans="1:24" x14ac:dyDescent="0.25">
      <c r="A92">
        <v>19.8</v>
      </c>
      <c r="B92">
        <v>1.120000000000001</v>
      </c>
      <c r="C92">
        <v>21.1</v>
      </c>
      <c r="D92">
        <v>21.3</v>
      </c>
      <c r="F92">
        <v>14.300000190734799</v>
      </c>
    </row>
    <row r="93" spans="1:24" x14ac:dyDescent="0.25">
      <c r="A93">
        <v>21.7</v>
      </c>
      <c r="B93">
        <v>0.60000000000000142</v>
      </c>
      <c r="C93">
        <v>22.5</v>
      </c>
      <c r="D93">
        <v>26.4</v>
      </c>
      <c r="F93">
        <v>19.399999618530199</v>
      </c>
    </row>
    <row r="94" spans="1:24" x14ac:dyDescent="0.25">
      <c r="A94">
        <v>21.4</v>
      </c>
      <c r="B94">
        <v>2.1999999999999993</v>
      </c>
      <c r="C94">
        <v>18</v>
      </c>
      <c r="D94">
        <v>21.7</v>
      </c>
      <c r="F94">
        <v>15.699999809265099</v>
      </c>
    </row>
    <row r="95" spans="1:24" x14ac:dyDescent="0.25">
      <c r="A95">
        <v>21.9</v>
      </c>
      <c r="B95">
        <v>2</v>
      </c>
      <c r="C95">
        <v>21.8</v>
      </c>
      <c r="D95">
        <v>22.1</v>
      </c>
      <c r="F95">
        <v>21.299999237060501</v>
      </c>
    </row>
    <row r="96" spans="1:24" x14ac:dyDescent="0.25">
      <c r="A96">
        <v>23.4</v>
      </c>
      <c r="B96">
        <v>1.3599999999999994</v>
      </c>
      <c r="C96">
        <v>30.4</v>
      </c>
      <c r="D96">
        <v>16.399999999999999</v>
      </c>
      <c r="F96">
        <v>22.5</v>
      </c>
    </row>
    <row r="97" spans="1:6" x14ac:dyDescent="0.25">
      <c r="A97">
        <v>18</v>
      </c>
      <c r="B97">
        <v>2.240000000000002</v>
      </c>
      <c r="C97">
        <v>14.8</v>
      </c>
      <c r="D97">
        <v>30</v>
      </c>
      <c r="F97">
        <v>8.8999996185302699</v>
      </c>
    </row>
    <row r="98" spans="1:6" x14ac:dyDescent="0.25">
      <c r="A98">
        <v>17.3</v>
      </c>
      <c r="B98">
        <v>3.7999999999999972</v>
      </c>
      <c r="C98">
        <v>14</v>
      </c>
      <c r="D98">
        <v>20.399999999999999</v>
      </c>
      <c r="F98">
        <v>18</v>
      </c>
    </row>
    <row r="99" spans="1:6" x14ac:dyDescent="0.25">
      <c r="A99">
        <v>22.8</v>
      </c>
      <c r="B99">
        <v>0.67999999999999972</v>
      </c>
      <c r="C99">
        <v>16</v>
      </c>
      <c r="D99">
        <v>12.8</v>
      </c>
      <c r="F99">
        <v>22.7000007629394</v>
      </c>
    </row>
    <row r="100" spans="1:6" x14ac:dyDescent="0.25">
      <c r="A100">
        <v>20.399999999999999</v>
      </c>
      <c r="B100">
        <v>1.5200000000000031</v>
      </c>
      <c r="C100">
        <v>19.399999999999999</v>
      </c>
      <c r="D100">
        <v>12.7</v>
      </c>
      <c r="F100">
        <v>23.7000007629394</v>
      </c>
    </row>
    <row r="101" spans="1:6" x14ac:dyDescent="0.25">
      <c r="A101">
        <v>18.100000000000001</v>
      </c>
      <c r="B101">
        <v>0.35999999999999943</v>
      </c>
      <c r="C101">
        <v>14.4</v>
      </c>
      <c r="D101">
        <v>23</v>
      </c>
      <c r="F101">
        <v>21.7000007629394</v>
      </c>
    </row>
    <row r="102" spans="1:6" x14ac:dyDescent="0.25">
      <c r="A102">
        <v>16.8</v>
      </c>
      <c r="B102">
        <v>2.9600000000000004</v>
      </c>
      <c r="C102">
        <v>16.399999999999999</v>
      </c>
      <c r="D102">
        <v>19.899999999999999</v>
      </c>
      <c r="F102">
        <v>20.5</v>
      </c>
    </row>
    <row r="103" spans="1:6" x14ac:dyDescent="0.25">
      <c r="A103">
        <v>18.100000000000001</v>
      </c>
      <c r="B103">
        <v>1.4399999999999995</v>
      </c>
      <c r="C103">
        <v>18.8</v>
      </c>
      <c r="D103">
        <v>26.6</v>
      </c>
      <c r="F103">
        <v>21.5</v>
      </c>
    </row>
    <row r="104" spans="1:6" x14ac:dyDescent="0.25">
      <c r="A104">
        <v>18.7</v>
      </c>
      <c r="B104">
        <v>2.1999999999999993</v>
      </c>
      <c r="C104">
        <v>15.6</v>
      </c>
      <c r="D104">
        <v>21.4</v>
      </c>
      <c r="F104">
        <v>25</v>
      </c>
    </row>
    <row r="105" spans="1:6" x14ac:dyDescent="0.25">
      <c r="A105">
        <v>22.3</v>
      </c>
      <c r="B105">
        <v>0.40000000000000036</v>
      </c>
      <c r="C105">
        <v>17.100000000000001</v>
      </c>
      <c r="D105">
        <v>23.2</v>
      </c>
      <c r="F105">
        <v>29.299999237060501</v>
      </c>
    </row>
    <row r="106" spans="1:6" x14ac:dyDescent="0.25">
      <c r="A106">
        <v>21.1</v>
      </c>
      <c r="B106">
        <v>2.08</v>
      </c>
      <c r="C106">
        <v>20</v>
      </c>
      <c r="D106">
        <v>21.4</v>
      </c>
      <c r="F106">
        <v>33.900001525878899</v>
      </c>
    </row>
    <row r="107" spans="1:6" x14ac:dyDescent="0.25">
      <c r="A107">
        <v>17</v>
      </c>
      <c r="B107">
        <v>0.67999999999999972</v>
      </c>
      <c r="C107">
        <v>18.7</v>
      </c>
      <c r="D107">
        <v>22.7</v>
      </c>
      <c r="F107">
        <v>17.299999237060501</v>
      </c>
    </row>
    <row r="108" spans="1:6" x14ac:dyDescent="0.25">
      <c r="A108">
        <v>23.9</v>
      </c>
      <c r="B108">
        <v>5.1999999999999993</v>
      </c>
      <c r="C108">
        <v>20.6</v>
      </c>
      <c r="D108">
        <v>25</v>
      </c>
      <c r="F108">
        <v>30</v>
      </c>
    </row>
    <row r="109" spans="1:6" x14ac:dyDescent="0.25">
      <c r="A109">
        <v>24.1</v>
      </c>
      <c r="B109">
        <v>2.0400000000000027</v>
      </c>
      <c r="C109">
        <v>19.100000000000001</v>
      </c>
      <c r="D109">
        <v>25.3</v>
      </c>
      <c r="F109">
        <v>31.899999618530199</v>
      </c>
    </row>
    <row r="110" spans="1:6" x14ac:dyDescent="0.25">
      <c r="A110">
        <v>21.4</v>
      </c>
      <c r="B110">
        <v>0.87999999999999901</v>
      </c>
      <c r="C110">
        <v>22.9</v>
      </c>
      <c r="D110">
        <v>26.9</v>
      </c>
      <c r="F110">
        <v>24.7000007629394</v>
      </c>
    </row>
    <row r="111" spans="1:6" x14ac:dyDescent="0.25">
      <c r="A111">
        <v>20.6</v>
      </c>
      <c r="B111">
        <v>1.879999999999999</v>
      </c>
      <c r="C111">
        <v>20.7</v>
      </c>
      <c r="D111">
        <v>20</v>
      </c>
      <c r="F111">
        <v>17.399999618530199</v>
      </c>
    </row>
    <row r="112" spans="1:6" x14ac:dyDescent="0.25">
      <c r="A112">
        <v>21.1</v>
      </c>
      <c r="B112">
        <v>2.120000000000001</v>
      </c>
      <c r="C112">
        <v>17.399999999999999</v>
      </c>
      <c r="D112">
        <v>23.4</v>
      </c>
      <c r="F112">
        <v>7</v>
      </c>
    </row>
    <row r="113" spans="1:6" x14ac:dyDescent="0.25">
      <c r="A113">
        <v>19.100000000000001</v>
      </c>
      <c r="B113">
        <v>2.1999999999999993</v>
      </c>
      <c r="C113">
        <v>32.4</v>
      </c>
      <c r="D113">
        <v>27.2</v>
      </c>
      <c r="F113">
        <v>21.799999237060501</v>
      </c>
    </row>
    <row r="114" spans="1:6" x14ac:dyDescent="0.25">
      <c r="A114">
        <v>17.100000000000001</v>
      </c>
      <c r="B114">
        <v>5.120000000000001</v>
      </c>
      <c r="C114">
        <v>23</v>
      </c>
      <c r="D114">
        <v>40.700000000000003</v>
      </c>
      <c r="F114">
        <v>28</v>
      </c>
    </row>
    <row r="115" spans="1:6" x14ac:dyDescent="0.25">
      <c r="A115">
        <v>13.2</v>
      </c>
      <c r="B115">
        <v>4.6000000000000014</v>
      </c>
      <c r="C115">
        <v>19.7</v>
      </c>
      <c r="D115">
        <v>19.899999999999999</v>
      </c>
      <c r="F115">
        <v>23.7000007629394</v>
      </c>
    </row>
    <row r="116" spans="1:6" x14ac:dyDescent="0.25">
      <c r="A116">
        <v>17.2</v>
      </c>
      <c r="B116">
        <v>1.8000000000000003</v>
      </c>
      <c r="C116">
        <v>27.3</v>
      </c>
      <c r="D116">
        <v>22.1</v>
      </c>
      <c r="F116">
        <v>21.5</v>
      </c>
    </row>
    <row r="117" spans="1:6" x14ac:dyDescent="0.25">
      <c r="A117">
        <v>14.4</v>
      </c>
      <c r="B117">
        <v>3.8399999999999994</v>
      </c>
      <c r="C117">
        <v>28.3</v>
      </c>
      <c r="D117">
        <v>24.3</v>
      </c>
      <c r="F117">
        <v>22.299999237060501</v>
      </c>
    </row>
    <row r="118" spans="1:6" x14ac:dyDescent="0.25">
      <c r="A118">
        <v>18.100000000000001</v>
      </c>
      <c r="B118">
        <v>0.96000000000000085</v>
      </c>
      <c r="C118">
        <v>24.3</v>
      </c>
      <c r="D118">
        <v>24.3</v>
      </c>
      <c r="F118">
        <v>20.799999237060501</v>
      </c>
    </row>
    <row r="119" spans="1:6" x14ac:dyDescent="0.25">
      <c r="A119">
        <v>21</v>
      </c>
      <c r="B119">
        <v>1.6399999999999988</v>
      </c>
      <c r="C119">
        <v>21.4</v>
      </c>
      <c r="D119">
        <v>25.6</v>
      </c>
      <c r="F119">
        <v>17.799999237060501</v>
      </c>
    </row>
    <row r="120" spans="1:6" x14ac:dyDescent="0.25">
      <c r="A120">
        <v>21.1</v>
      </c>
      <c r="B120">
        <v>2.2800000000000011</v>
      </c>
      <c r="C120">
        <v>27.3</v>
      </c>
      <c r="D120">
        <v>25.5</v>
      </c>
      <c r="F120">
        <v>28.2000007629394</v>
      </c>
    </row>
    <row r="121" spans="1:6" x14ac:dyDescent="0.25">
      <c r="A121">
        <v>22.5</v>
      </c>
      <c r="B121">
        <v>2.08</v>
      </c>
      <c r="C121">
        <v>15.7</v>
      </c>
      <c r="D121">
        <v>27.3</v>
      </c>
      <c r="F121">
        <v>27</v>
      </c>
    </row>
    <row r="122" spans="1:6" x14ac:dyDescent="0.25">
      <c r="A122">
        <v>19.100000000000001</v>
      </c>
      <c r="B122">
        <v>3.0399999999999991</v>
      </c>
      <c r="C122">
        <v>15.6</v>
      </c>
      <c r="D122">
        <v>9.5</v>
      </c>
      <c r="F122">
        <v>37.5</v>
      </c>
    </row>
    <row r="123" spans="1:6" x14ac:dyDescent="0.25">
      <c r="A123">
        <v>18</v>
      </c>
      <c r="B123">
        <v>3.879999999999999</v>
      </c>
      <c r="C123">
        <v>21.3</v>
      </c>
      <c r="D123">
        <v>26</v>
      </c>
      <c r="F123">
        <v>21.600000381469702</v>
      </c>
    </row>
    <row r="124" spans="1:6" x14ac:dyDescent="0.25">
      <c r="A124">
        <v>21.8</v>
      </c>
      <c r="B124">
        <v>2.0800000000000018</v>
      </c>
      <c r="C124">
        <v>17.2</v>
      </c>
      <c r="D124">
        <v>23.1</v>
      </c>
      <c r="F124">
        <v>24</v>
      </c>
    </row>
    <row r="125" spans="1:6" x14ac:dyDescent="0.25">
      <c r="A125">
        <v>30.4</v>
      </c>
      <c r="B125">
        <v>3.120000000000001</v>
      </c>
      <c r="C125">
        <v>24.9</v>
      </c>
      <c r="F125">
        <v>17.100000381469702</v>
      </c>
    </row>
    <row r="126" spans="1:6" x14ac:dyDescent="0.25">
      <c r="A126">
        <v>17.3</v>
      </c>
      <c r="B126">
        <v>1.3200000000000003</v>
      </c>
      <c r="C126">
        <v>17.899999999999999</v>
      </c>
      <c r="F126">
        <v>17.299999237060501</v>
      </c>
    </row>
    <row r="127" spans="1:6" x14ac:dyDescent="0.25">
      <c r="A127">
        <v>14.8</v>
      </c>
      <c r="B127">
        <v>1.879999999999999</v>
      </c>
      <c r="C127">
        <v>20.2</v>
      </c>
      <c r="F127">
        <v>19.2000007629394</v>
      </c>
    </row>
    <row r="128" spans="1:6" x14ac:dyDescent="0.25">
      <c r="A128">
        <v>14</v>
      </c>
      <c r="B128">
        <v>1</v>
      </c>
      <c r="C128">
        <v>14.2</v>
      </c>
      <c r="F128">
        <v>20.799999237060501</v>
      </c>
    </row>
    <row r="129" spans="1:6" x14ac:dyDescent="0.25">
      <c r="A129">
        <v>16</v>
      </c>
      <c r="B129">
        <v>0.87999999999999901</v>
      </c>
      <c r="C129">
        <v>20.5</v>
      </c>
      <c r="F129">
        <v>16.399999618530199</v>
      </c>
    </row>
    <row r="130" spans="1:6" x14ac:dyDescent="0.25">
      <c r="A130">
        <v>19.399999999999999</v>
      </c>
      <c r="B130">
        <v>1.3200000000000003</v>
      </c>
      <c r="C130">
        <v>19.3</v>
      </c>
      <c r="F130">
        <v>17.7</v>
      </c>
    </row>
    <row r="131" spans="1:6" x14ac:dyDescent="0.25">
      <c r="A131">
        <v>14.4</v>
      </c>
      <c r="B131">
        <v>1.1199999999999974</v>
      </c>
      <c r="C131">
        <v>22.2</v>
      </c>
      <c r="F131">
        <v>20.5</v>
      </c>
    </row>
    <row r="132" spans="1:6" x14ac:dyDescent="0.25">
      <c r="A132">
        <v>16.399999999999999</v>
      </c>
      <c r="B132">
        <v>1.1600000000000037</v>
      </c>
      <c r="C132">
        <v>22.9</v>
      </c>
      <c r="F132">
        <v>21.2</v>
      </c>
    </row>
    <row r="133" spans="1:6" x14ac:dyDescent="0.25">
      <c r="A133">
        <v>18.8</v>
      </c>
      <c r="B133">
        <v>1.6400000000000006</v>
      </c>
      <c r="C133">
        <v>20.2</v>
      </c>
      <c r="F133">
        <v>15.7</v>
      </c>
    </row>
    <row r="134" spans="1:6" x14ac:dyDescent="0.25">
      <c r="A134">
        <v>20.100000000000001</v>
      </c>
      <c r="B134">
        <v>1.1599999999999966</v>
      </c>
      <c r="C134">
        <v>20.8</v>
      </c>
      <c r="F134">
        <v>18.7</v>
      </c>
    </row>
    <row r="135" spans="1:6" x14ac:dyDescent="0.25">
      <c r="A135">
        <v>15.6</v>
      </c>
      <c r="B135">
        <v>0.64000000000000057</v>
      </c>
      <c r="C135">
        <v>23.4</v>
      </c>
      <c r="F135">
        <v>19.100000000000001</v>
      </c>
    </row>
    <row r="136" spans="1:6" x14ac:dyDescent="0.25">
      <c r="A136">
        <v>17.100000000000001</v>
      </c>
      <c r="B136">
        <v>2.04</v>
      </c>
      <c r="C136">
        <v>24.9</v>
      </c>
      <c r="F136">
        <v>16.600000000000001</v>
      </c>
    </row>
    <row r="137" spans="1:6" x14ac:dyDescent="0.25">
      <c r="A137">
        <v>20</v>
      </c>
      <c r="B137">
        <v>2.4800000000000004</v>
      </c>
      <c r="C137">
        <v>18.5</v>
      </c>
      <c r="F137">
        <v>14.6</v>
      </c>
    </row>
    <row r="138" spans="1:6" x14ac:dyDescent="0.25">
      <c r="A138">
        <v>18.7</v>
      </c>
      <c r="B138">
        <v>1.5999999999999996</v>
      </c>
      <c r="C138">
        <v>15</v>
      </c>
      <c r="F138">
        <v>22.8</v>
      </c>
    </row>
    <row r="139" spans="1:6" x14ac:dyDescent="0.25">
      <c r="A139">
        <v>20.6</v>
      </c>
      <c r="B139">
        <v>2.4000000000000004</v>
      </c>
      <c r="C139">
        <v>19.399999999999999</v>
      </c>
      <c r="F139">
        <v>18.899999999999999</v>
      </c>
    </row>
    <row r="140" spans="1:6" x14ac:dyDescent="0.25">
      <c r="A140">
        <v>24.3</v>
      </c>
      <c r="B140">
        <v>2.2799999999999994</v>
      </c>
      <c r="C140">
        <v>18</v>
      </c>
      <c r="F140">
        <v>18.2</v>
      </c>
    </row>
    <row r="141" spans="1:6" x14ac:dyDescent="0.25">
      <c r="A141">
        <v>23.5</v>
      </c>
      <c r="B141">
        <v>3.8000000000000007</v>
      </c>
      <c r="C141">
        <v>25.4</v>
      </c>
      <c r="F141">
        <v>17.7</v>
      </c>
    </row>
    <row r="142" spans="1:6" x14ac:dyDescent="0.25">
      <c r="A142">
        <v>21.4</v>
      </c>
      <c r="B142">
        <v>3.120000000000001</v>
      </c>
      <c r="C142">
        <v>20.100000000000001</v>
      </c>
      <c r="F142">
        <v>20.8</v>
      </c>
    </row>
    <row r="143" spans="1:6" x14ac:dyDescent="0.25">
      <c r="A143">
        <v>16.600000000000001</v>
      </c>
      <c r="B143">
        <v>0.47999999999999687</v>
      </c>
      <c r="C143">
        <v>27.5</v>
      </c>
      <c r="F143">
        <v>15.3</v>
      </c>
    </row>
    <row r="144" spans="1:6" x14ac:dyDescent="0.25">
      <c r="A144">
        <v>15.7</v>
      </c>
      <c r="B144">
        <v>1.7200000000000024</v>
      </c>
      <c r="C144">
        <v>21.4</v>
      </c>
      <c r="F144">
        <v>26.5</v>
      </c>
    </row>
    <row r="145" spans="1:6" x14ac:dyDescent="0.25">
      <c r="A145">
        <v>19.100000000000001</v>
      </c>
      <c r="B145">
        <v>1.3999999999999986</v>
      </c>
      <c r="C145">
        <v>22.6</v>
      </c>
      <c r="F145">
        <v>16.600000000000001</v>
      </c>
    </row>
    <row r="146" spans="1:6" x14ac:dyDescent="0.25">
      <c r="A146">
        <v>25</v>
      </c>
      <c r="B146">
        <v>2</v>
      </c>
      <c r="C146">
        <v>21.6</v>
      </c>
      <c r="F146">
        <v>31.1</v>
      </c>
    </row>
    <row r="147" spans="1:6" x14ac:dyDescent="0.25">
      <c r="A147">
        <v>22.9</v>
      </c>
      <c r="B147">
        <v>8.0000000000001847E-2</v>
      </c>
      <c r="C147">
        <v>23.4</v>
      </c>
      <c r="F147">
        <v>36.1</v>
      </c>
    </row>
    <row r="148" spans="1:6" x14ac:dyDescent="0.25">
      <c r="A148">
        <v>20.7</v>
      </c>
      <c r="B148">
        <v>1.7199999999999989</v>
      </c>
      <c r="C148">
        <v>20.399999999999999</v>
      </c>
      <c r="F148">
        <v>32.700000000000003</v>
      </c>
    </row>
    <row r="149" spans="1:6" x14ac:dyDescent="0.25">
      <c r="A149">
        <v>17.399999999999999</v>
      </c>
      <c r="B149">
        <v>0.48000000000000043</v>
      </c>
      <c r="C149">
        <v>21.2</v>
      </c>
      <c r="F149">
        <v>20.9</v>
      </c>
    </row>
    <row r="150" spans="1:6" x14ac:dyDescent="0.25">
      <c r="A150">
        <v>22.1</v>
      </c>
      <c r="B150">
        <v>2.3199999999999967</v>
      </c>
      <c r="C150">
        <v>18.7</v>
      </c>
      <c r="F150">
        <v>21.3</v>
      </c>
    </row>
    <row r="151" spans="1:6" x14ac:dyDescent="0.25">
      <c r="A151">
        <v>32.4</v>
      </c>
      <c r="B151">
        <v>2.1200000000000045</v>
      </c>
      <c r="C151">
        <v>20.5</v>
      </c>
      <c r="F151">
        <v>26.4</v>
      </c>
    </row>
    <row r="152" spans="1:6" x14ac:dyDescent="0.25">
      <c r="A152">
        <v>23</v>
      </c>
      <c r="B152">
        <v>1.8799999999999955</v>
      </c>
      <c r="C152">
        <v>20.9</v>
      </c>
      <c r="F152">
        <v>21.7</v>
      </c>
    </row>
    <row r="153" spans="1:6" x14ac:dyDescent="0.25">
      <c r="A153">
        <v>19.7</v>
      </c>
      <c r="B153">
        <v>2.3199999999999998</v>
      </c>
      <c r="C153">
        <v>22.7</v>
      </c>
      <c r="F153">
        <v>16</v>
      </c>
    </row>
    <row r="154" spans="1:6" x14ac:dyDescent="0.25">
      <c r="A154">
        <v>27.3</v>
      </c>
      <c r="B154">
        <v>2</v>
      </c>
      <c r="C154">
        <v>14.2</v>
      </c>
      <c r="F154">
        <v>22.1</v>
      </c>
    </row>
    <row r="155" spans="1:6" x14ac:dyDescent="0.25">
      <c r="A155">
        <v>28.3</v>
      </c>
      <c r="B155">
        <v>1.2800000000000002</v>
      </c>
      <c r="C155">
        <v>16.7</v>
      </c>
      <c r="F155">
        <v>16.399999999999999</v>
      </c>
    </row>
    <row r="156" spans="1:6" x14ac:dyDescent="0.25">
      <c r="A156">
        <v>24.3</v>
      </c>
      <c r="B156">
        <v>3.6000000000000005</v>
      </c>
      <c r="C156">
        <v>11.8</v>
      </c>
      <c r="F156">
        <v>17.7</v>
      </c>
    </row>
    <row r="157" spans="1:6" x14ac:dyDescent="0.25">
      <c r="A157">
        <v>23.4</v>
      </c>
      <c r="B157">
        <v>2.08</v>
      </c>
      <c r="C157">
        <v>12.3</v>
      </c>
      <c r="F157">
        <v>30</v>
      </c>
    </row>
    <row r="158" spans="1:6" x14ac:dyDescent="0.25">
      <c r="A158">
        <v>21.4</v>
      </c>
      <c r="B158">
        <v>2.1199999999999992</v>
      </c>
      <c r="C158">
        <v>15.1</v>
      </c>
      <c r="F158">
        <v>20.399999999999999</v>
      </c>
    </row>
    <row r="159" spans="1:6" x14ac:dyDescent="0.25">
      <c r="A159">
        <v>19.2</v>
      </c>
      <c r="B159">
        <v>1.08</v>
      </c>
      <c r="C159">
        <v>16.399999999999999</v>
      </c>
      <c r="F159">
        <v>16.8</v>
      </c>
    </row>
    <row r="160" spans="1:6" x14ac:dyDescent="0.25">
      <c r="A160">
        <v>27.3</v>
      </c>
      <c r="B160">
        <v>3.1999999999999993</v>
      </c>
      <c r="C160">
        <v>19.7</v>
      </c>
      <c r="F160">
        <v>18.399999999999999</v>
      </c>
    </row>
    <row r="161" spans="1:6" x14ac:dyDescent="0.25">
      <c r="A161">
        <v>15.7</v>
      </c>
      <c r="B161">
        <v>2.240000000000002</v>
      </c>
      <c r="C161">
        <v>23.2</v>
      </c>
      <c r="F161">
        <v>20</v>
      </c>
    </row>
    <row r="162" spans="1:6" x14ac:dyDescent="0.25">
      <c r="A162">
        <v>15.6</v>
      </c>
      <c r="B162">
        <v>1.5999999999999979</v>
      </c>
      <c r="C162">
        <v>28.7</v>
      </c>
      <c r="F162">
        <v>12.8</v>
      </c>
    </row>
    <row r="163" spans="1:6" x14ac:dyDescent="0.25">
      <c r="A163">
        <v>21.3</v>
      </c>
      <c r="B163">
        <v>1.6799999999999997</v>
      </c>
      <c r="C163">
        <v>25.6</v>
      </c>
      <c r="F163">
        <v>12.7</v>
      </c>
    </row>
    <row r="164" spans="1:6" x14ac:dyDescent="0.25">
      <c r="A164">
        <v>17.2</v>
      </c>
      <c r="B164">
        <v>2</v>
      </c>
      <c r="C164">
        <v>24.2</v>
      </c>
      <c r="F164">
        <v>16.7</v>
      </c>
    </row>
    <row r="165" spans="1:6" x14ac:dyDescent="0.25">
      <c r="A165">
        <v>24.9</v>
      </c>
      <c r="B165">
        <v>1.4000000000000021</v>
      </c>
      <c r="C165">
        <v>26.5</v>
      </c>
      <c r="F165">
        <v>18.899999999999999</v>
      </c>
    </row>
    <row r="166" spans="1:6" x14ac:dyDescent="0.25">
      <c r="A166">
        <v>17.899999999999999</v>
      </c>
      <c r="B166">
        <v>1.72</v>
      </c>
      <c r="C166">
        <v>25.4</v>
      </c>
      <c r="F166">
        <v>21.2</v>
      </c>
    </row>
    <row r="167" spans="1:6" x14ac:dyDescent="0.25">
      <c r="A167">
        <v>20.2</v>
      </c>
      <c r="B167">
        <v>1.7199999999999998</v>
      </c>
      <c r="C167">
        <v>33.200000000000003</v>
      </c>
      <c r="F167">
        <v>20.100000000000001</v>
      </c>
    </row>
    <row r="168" spans="1:6" x14ac:dyDescent="0.25">
      <c r="A168">
        <v>15</v>
      </c>
      <c r="B168">
        <v>1.96</v>
      </c>
      <c r="C168">
        <v>12.7</v>
      </c>
      <c r="F168">
        <v>20.8</v>
      </c>
    </row>
    <row r="169" spans="1:6" x14ac:dyDescent="0.25">
      <c r="A169">
        <v>14.2</v>
      </c>
      <c r="B169">
        <v>1.2400000000000002</v>
      </c>
      <c r="C169">
        <v>17.8</v>
      </c>
      <c r="F169">
        <v>23</v>
      </c>
    </row>
    <row r="170" spans="1:6" x14ac:dyDescent="0.25">
      <c r="A170">
        <v>20.5</v>
      </c>
      <c r="B170">
        <v>1.1999999999999993</v>
      </c>
      <c r="C170">
        <v>22.9</v>
      </c>
      <c r="F170">
        <v>19.899999999999999</v>
      </c>
    </row>
    <row r="171" spans="1:6" x14ac:dyDescent="0.25">
      <c r="A171">
        <v>19.3</v>
      </c>
      <c r="B171">
        <v>4.5600000000000005</v>
      </c>
      <c r="C171">
        <v>15.2</v>
      </c>
      <c r="F171">
        <v>20.2</v>
      </c>
    </row>
    <row r="172" spans="1:6" x14ac:dyDescent="0.25">
      <c r="A172">
        <v>22.2</v>
      </c>
      <c r="B172">
        <v>0.80000000000000071</v>
      </c>
      <c r="C172">
        <v>23.6</v>
      </c>
      <c r="F172">
        <v>26.6</v>
      </c>
    </row>
    <row r="173" spans="1:6" x14ac:dyDescent="0.25">
      <c r="A173">
        <v>22.9</v>
      </c>
      <c r="B173">
        <v>0.24000000000000021</v>
      </c>
      <c r="C173">
        <v>20.6</v>
      </c>
      <c r="F173">
        <v>20.9</v>
      </c>
    </row>
    <row r="174" spans="1:6" x14ac:dyDescent="0.25">
      <c r="A174">
        <v>20.2</v>
      </c>
      <c r="B174">
        <v>1.1999999999999993</v>
      </c>
      <c r="C174">
        <v>23.6</v>
      </c>
      <c r="F174">
        <v>21.4</v>
      </c>
    </row>
    <row r="175" spans="1:6" x14ac:dyDescent="0.25">
      <c r="A175">
        <v>20.8</v>
      </c>
      <c r="B175">
        <v>6.8800000000000008</v>
      </c>
      <c r="C175">
        <v>20.399999999999999</v>
      </c>
      <c r="F175">
        <v>23.2</v>
      </c>
    </row>
    <row r="176" spans="1:6" x14ac:dyDescent="0.25">
      <c r="A176">
        <v>23.4</v>
      </c>
      <c r="B176">
        <v>4.32</v>
      </c>
      <c r="C176">
        <v>21.1</v>
      </c>
      <c r="F176">
        <v>20.7</v>
      </c>
    </row>
    <row r="177" spans="1:6" x14ac:dyDescent="0.25">
      <c r="A177">
        <v>24.9</v>
      </c>
      <c r="B177">
        <v>1.3999999999999986</v>
      </c>
      <c r="C177">
        <v>26.7</v>
      </c>
      <c r="F177">
        <v>21.4</v>
      </c>
    </row>
    <row r="178" spans="1:6" x14ac:dyDescent="0.25">
      <c r="A178">
        <v>18.5</v>
      </c>
      <c r="B178">
        <v>1.8000000000000007</v>
      </c>
      <c r="C178">
        <v>17.3</v>
      </c>
      <c r="F178">
        <v>22.7</v>
      </c>
    </row>
    <row r="179" spans="1:6" x14ac:dyDescent="0.25">
      <c r="A179">
        <v>15</v>
      </c>
      <c r="B179">
        <v>3.6799999999999997</v>
      </c>
      <c r="C179">
        <v>29.8</v>
      </c>
      <c r="F179">
        <v>23.8</v>
      </c>
    </row>
    <row r="180" spans="1:6" x14ac:dyDescent="0.25">
      <c r="A180">
        <v>19.399999999999999</v>
      </c>
      <c r="B180">
        <v>0.48</v>
      </c>
      <c r="C180">
        <v>16.600000000000001</v>
      </c>
      <c r="F180">
        <v>25</v>
      </c>
    </row>
    <row r="181" spans="1:6" x14ac:dyDescent="0.25">
      <c r="A181">
        <v>18</v>
      </c>
      <c r="B181">
        <v>1</v>
      </c>
      <c r="C181">
        <v>20.399999999999999</v>
      </c>
      <c r="F181">
        <v>25.3</v>
      </c>
    </row>
    <row r="182" spans="1:6" x14ac:dyDescent="0.25">
      <c r="A182">
        <v>25.4</v>
      </c>
      <c r="B182">
        <v>0.40000000000000036</v>
      </c>
      <c r="C182">
        <v>15.8</v>
      </c>
      <c r="F182">
        <v>26.9</v>
      </c>
    </row>
    <row r="183" spans="1:6" x14ac:dyDescent="0.25">
      <c r="A183">
        <v>20.100000000000001</v>
      </c>
      <c r="B183">
        <v>1.3199999999999994</v>
      </c>
      <c r="C183">
        <v>17.100000000000001</v>
      </c>
      <c r="F183">
        <v>16.100000000000001</v>
      </c>
    </row>
    <row r="184" spans="1:6" x14ac:dyDescent="0.25">
      <c r="A184">
        <v>27.5</v>
      </c>
      <c r="B184">
        <v>1.8000000000000007</v>
      </c>
      <c r="C184">
        <v>24</v>
      </c>
      <c r="F184">
        <v>20</v>
      </c>
    </row>
    <row r="185" spans="1:6" x14ac:dyDescent="0.25">
      <c r="A185">
        <v>21.4</v>
      </c>
      <c r="B185">
        <v>1.4000000000000004</v>
      </c>
      <c r="C185">
        <v>16.5</v>
      </c>
      <c r="F185">
        <v>23.4</v>
      </c>
    </row>
    <row r="186" spans="1:6" x14ac:dyDescent="0.25">
      <c r="A186">
        <v>22.6</v>
      </c>
      <c r="B186">
        <v>1.6799999999999997</v>
      </c>
      <c r="C186">
        <v>13.9</v>
      </c>
      <c r="F186">
        <v>18.8</v>
      </c>
    </row>
    <row r="187" spans="1:6" x14ac:dyDescent="0.25">
      <c r="A187">
        <v>21.6</v>
      </c>
      <c r="B187">
        <v>0.40000000000000036</v>
      </c>
      <c r="C187">
        <v>19.100000000000001</v>
      </c>
      <c r="F187">
        <v>27.2</v>
      </c>
    </row>
    <row r="188" spans="1:6" x14ac:dyDescent="0.25">
      <c r="A188">
        <v>23.4</v>
      </c>
      <c r="B188">
        <v>2.1999999999999993</v>
      </c>
      <c r="C188">
        <v>6.9</v>
      </c>
      <c r="F188">
        <v>40.700000000000003</v>
      </c>
    </row>
    <row r="189" spans="1:6" x14ac:dyDescent="0.25">
      <c r="A189">
        <v>20.399999999999999</v>
      </c>
      <c r="B189">
        <v>0.24000000000000021</v>
      </c>
      <c r="C189">
        <v>17.399999999999999</v>
      </c>
      <c r="F189">
        <v>19.899999999999999</v>
      </c>
    </row>
    <row r="190" spans="1:6" x14ac:dyDescent="0.25">
      <c r="A190">
        <v>21.2</v>
      </c>
      <c r="B190">
        <v>4.879999999999999</v>
      </c>
      <c r="C190">
        <v>11.1</v>
      </c>
      <c r="F190">
        <v>22.1</v>
      </c>
    </row>
    <row r="191" spans="1:6" x14ac:dyDescent="0.25">
      <c r="A191">
        <v>19.8</v>
      </c>
      <c r="B191">
        <v>7.4000000000000021</v>
      </c>
      <c r="C191">
        <v>14.4</v>
      </c>
      <c r="F191">
        <v>24.3</v>
      </c>
    </row>
    <row r="192" spans="1:6" x14ac:dyDescent="0.25">
      <c r="A192">
        <v>18.7</v>
      </c>
      <c r="B192">
        <v>3.4799999999999969</v>
      </c>
      <c r="C192">
        <v>19.5</v>
      </c>
      <c r="F192">
        <v>24.3</v>
      </c>
    </row>
    <row r="193" spans="1:6" x14ac:dyDescent="0.25">
      <c r="A193">
        <v>20.5</v>
      </c>
      <c r="B193">
        <v>0.20000000000000284</v>
      </c>
      <c r="C193">
        <v>15.8</v>
      </c>
      <c r="F193">
        <v>19.399999999999999</v>
      </c>
    </row>
    <row r="194" spans="1:6" x14ac:dyDescent="0.25">
      <c r="A194">
        <v>24.6</v>
      </c>
      <c r="B194">
        <v>1.3999999999999986</v>
      </c>
      <c r="C194">
        <v>16.8</v>
      </c>
      <c r="F194">
        <v>18.2</v>
      </c>
    </row>
    <row r="195" spans="1:6" x14ac:dyDescent="0.25">
      <c r="A195">
        <v>20.9</v>
      </c>
      <c r="B195">
        <v>1.6400000000000006</v>
      </c>
      <c r="C195">
        <v>17.7</v>
      </c>
      <c r="F195">
        <v>21</v>
      </c>
    </row>
    <row r="196" spans="1:6" x14ac:dyDescent="0.25">
      <c r="A196">
        <v>22.7</v>
      </c>
      <c r="B196">
        <v>2.4799999999999969</v>
      </c>
      <c r="C196">
        <v>16</v>
      </c>
      <c r="F196">
        <v>20.6</v>
      </c>
    </row>
    <row r="197" spans="1:6" x14ac:dyDescent="0.25">
      <c r="A197">
        <v>14.2</v>
      </c>
      <c r="B197">
        <v>0.40000000000000568</v>
      </c>
      <c r="C197">
        <v>20.100000000000001</v>
      </c>
      <c r="F197">
        <v>25.6</v>
      </c>
    </row>
    <row r="198" spans="1:6" x14ac:dyDescent="0.25">
      <c r="A198">
        <v>16.7</v>
      </c>
      <c r="B198">
        <v>1.8799999999999955</v>
      </c>
      <c r="C198">
        <v>19.600000000000001</v>
      </c>
      <c r="F198">
        <v>20.7</v>
      </c>
    </row>
    <row r="199" spans="1:6" x14ac:dyDescent="0.25">
      <c r="A199">
        <v>11.8</v>
      </c>
      <c r="B199">
        <v>1.7199999999999989</v>
      </c>
      <c r="C199">
        <v>26.1</v>
      </c>
      <c r="F199">
        <v>25.5</v>
      </c>
    </row>
    <row r="200" spans="1:6" x14ac:dyDescent="0.25">
      <c r="A200">
        <v>12.3</v>
      </c>
      <c r="B200">
        <v>3</v>
      </c>
      <c r="C200">
        <v>19.600000000000001</v>
      </c>
      <c r="F200">
        <v>27.3</v>
      </c>
    </row>
    <row r="201" spans="1:6" x14ac:dyDescent="0.25">
      <c r="A201">
        <v>15.1</v>
      </c>
      <c r="B201">
        <v>0.80000000000000426</v>
      </c>
      <c r="C201">
        <v>18.3</v>
      </c>
      <c r="F201">
        <v>9.5</v>
      </c>
    </row>
    <row r="202" spans="1:6" x14ac:dyDescent="0.25">
      <c r="A202">
        <v>16.399999999999999</v>
      </c>
      <c r="B202">
        <v>2.16</v>
      </c>
      <c r="C202">
        <v>18.3</v>
      </c>
      <c r="F202">
        <v>26</v>
      </c>
    </row>
    <row r="203" spans="1:6" x14ac:dyDescent="0.25">
      <c r="A203">
        <v>19.7</v>
      </c>
      <c r="B203">
        <v>1.92</v>
      </c>
      <c r="C203">
        <v>18.5</v>
      </c>
      <c r="F203">
        <v>23.1</v>
      </c>
    </row>
    <row r="204" spans="1:6" x14ac:dyDescent="0.25">
      <c r="A204">
        <v>23.2</v>
      </c>
      <c r="B204">
        <v>1.88</v>
      </c>
      <c r="C204">
        <v>19.2000007629394</v>
      </c>
    </row>
    <row r="205" spans="1:6" x14ac:dyDescent="0.25">
      <c r="A205">
        <v>28.7</v>
      </c>
      <c r="B205">
        <v>3.8400000000000007</v>
      </c>
      <c r="C205">
        <v>20.899999618530199</v>
      </c>
    </row>
    <row r="206" spans="1:6" x14ac:dyDescent="0.25">
      <c r="A206">
        <v>25.6</v>
      </c>
      <c r="B206">
        <v>1.4799999999999986</v>
      </c>
      <c r="C206">
        <v>25.7000007629394</v>
      </c>
    </row>
    <row r="207" spans="1:6" x14ac:dyDescent="0.25">
      <c r="A207">
        <v>24.2</v>
      </c>
      <c r="B207">
        <v>1.7200000000000006</v>
      </c>
      <c r="C207">
        <v>23.399999618530199</v>
      </c>
    </row>
    <row r="208" spans="1:6" x14ac:dyDescent="0.25">
      <c r="A208">
        <v>26.5</v>
      </c>
      <c r="B208">
        <v>1.2000000000000011</v>
      </c>
      <c r="C208">
        <v>26.799999237060501</v>
      </c>
    </row>
    <row r="209" spans="1:3" x14ac:dyDescent="0.25">
      <c r="A209">
        <v>25.4</v>
      </c>
      <c r="B209">
        <v>0.35999999999999943</v>
      </c>
      <c r="C209">
        <v>20.299999237060501</v>
      </c>
    </row>
    <row r="210" spans="1:3" x14ac:dyDescent="0.25">
      <c r="A210">
        <v>12.2</v>
      </c>
      <c r="B210">
        <v>4.32</v>
      </c>
      <c r="C210">
        <v>25.299999237060501</v>
      </c>
    </row>
    <row r="211" spans="1:3" x14ac:dyDescent="0.25">
      <c r="A211">
        <v>24.7</v>
      </c>
      <c r="B211">
        <v>1.3200000000000003</v>
      </c>
      <c r="C211">
        <v>13.300000190734799</v>
      </c>
    </row>
    <row r="212" spans="1:3" x14ac:dyDescent="0.25">
      <c r="A212">
        <v>33.200000000000003</v>
      </c>
      <c r="B212">
        <v>4.8000000000000007</v>
      </c>
      <c r="C212">
        <v>10.5</v>
      </c>
    </row>
    <row r="213" spans="1:3" x14ac:dyDescent="0.25">
      <c r="A213">
        <v>12.7</v>
      </c>
      <c r="B213">
        <v>5.8799999999999955</v>
      </c>
      <c r="C213">
        <v>26.299999237060501</v>
      </c>
    </row>
    <row r="214" spans="1:3" x14ac:dyDescent="0.25">
      <c r="A214">
        <v>17.8</v>
      </c>
      <c r="B214">
        <v>2.0800000000000054</v>
      </c>
      <c r="C214">
        <v>27.5</v>
      </c>
    </row>
    <row r="215" spans="1:3" x14ac:dyDescent="0.25">
      <c r="A215">
        <v>22.9</v>
      </c>
      <c r="B215">
        <v>2.9199999999999946</v>
      </c>
      <c r="C215">
        <v>16.299999237060501</v>
      </c>
    </row>
    <row r="216" spans="1:3" x14ac:dyDescent="0.25">
      <c r="A216">
        <v>22.6</v>
      </c>
      <c r="B216">
        <v>1.2800000000000011</v>
      </c>
      <c r="C216">
        <v>19.399999618530199</v>
      </c>
    </row>
    <row r="217" spans="1:3" x14ac:dyDescent="0.25">
      <c r="A217">
        <v>16.899999999999999</v>
      </c>
      <c r="B217">
        <v>0.99999999999999956</v>
      </c>
      <c r="C217">
        <v>23.2000007629394</v>
      </c>
    </row>
    <row r="218" spans="1:3" x14ac:dyDescent="0.25">
      <c r="A218">
        <v>15.2</v>
      </c>
      <c r="B218">
        <v>0.80000000000000071</v>
      </c>
      <c r="C218">
        <v>20.2000007629394</v>
      </c>
    </row>
    <row r="219" spans="1:3" x14ac:dyDescent="0.25">
      <c r="A219">
        <v>23.6</v>
      </c>
      <c r="B219">
        <v>0.3199999999999994</v>
      </c>
      <c r="C219">
        <v>18.3</v>
      </c>
    </row>
    <row r="220" spans="1:3" x14ac:dyDescent="0.25">
      <c r="A220">
        <v>20.6</v>
      </c>
      <c r="B220">
        <v>1.7999999999999998</v>
      </c>
      <c r="C220">
        <v>18.100000000000001</v>
      </c>
    </row>
    <row r="221" spans="1:3" x14ac:dyDescent="0.25">
      <c r="A221">
        <v>23.6</v>
      </c>
      <c r="B221">
        <v>1.08</v>
      </c>
      <c r="C221">
        <v>18.399999999999999</v>
      </c>
    </row>
    <row r="222" spans="1:3" x14ac:dyDescent="0.25">
      <c r="A222">
        <v>20.399999999999999</v>
      </c>
      <c r="B222">
        <v>1</v>
      </c>
      <c r="C222">
        <v>16.7</v>
      </c>
    </row>
    <row r="223" spans="1:3" x14ac:dyDescent="0.25">
      <c r="A223">
        <v>21.1</v>
      </c>
      <c r="B223">
        <v>1.8800000000000008</v>
      </c>
      <c r="C223">
        <v>16.600000000000001</v>
      </c>
    </row>
    <row r="224" spans="1:3" x14ac:dyDescent="0.25">
      <c r="A224">
        <v>26.7</v>
      </c>
      <c r="B224">
        <v>1.1999999999999993</v>
      </c>
      <c r="C224">
        <v>18.8</v>
      </c>
    </row>
    <row r="225" spans="1:3" x14ac:dyDescent="0.25">
      <c r="A225">
        <v>27.7</v>
      </c>
      <c r="B225">
        <v>2.0400000000000009</v>
      </c>
      <c r="C225">
        <v>16.5</v>
      </c>
    </row>
    <row r="226" spans="1:3" x14ac:dyDescent="0.25">
      <c r="A226">
        <v>17.3</v>
      </c>
      <c r="B226">
        <v>2.08</v>
      </c>
      <c r="C226">
        <v>13.7</v>
      </c>
    </row>
    <row r="227" spans="1:3" x14ac:dyDescent="0.25">
      <c r="A227">
        <v>29.8</v>
      </c>
      <c r="B227">
        <v>0.39999999999999858</v>
      </c>
      <c r="C227">
        <v>13</v>
      </c>
    </row>
    <row r="228" spans="1:3" x14ac:dyDescent="0.25">
      <c r="A228">
        <v>18.100000000000001</v>
      </c>
      <c r="B228">
        <v>1.4000000000000021</v>
      </c>
      <c r="C228">
        <v>14.7</v>
      </c>
    </row>
    <row r="229" spans="1:3" x14ac:dyDescent="0.25">
      <c r="A229">
        <v>19.100000000000001</v>
      </c>
      <c r="B229">
        <v>1.7999999999999972</v>
      </c>
      <c r="C229">
        <v>18.899999999999999</v>
      </c>
    </row>
    <row r="230" spans="1:3" x14ac:dyDescent="0.25">
      <c r="A230">
        <v>16.600000000000001</v>
      </c>
      <c r="B230">
        <v>3.6799999999999997</v>
      </c>
      <c r="C230">
        <v>18.5</v>
      </c>
    </row>
    <row r="231" spans="1:3" x14ac:dyDescent="0.25">
      <c r="A231">
        <v>20.399999999999999</v>
      </c>
      <c r="B231">
        <v>3.8000000000000007</v>
      </c>
      <c r="C231">
        <v>21.3</v>
      </c>
    </row>
    <row r="232" spans="1:3" x14ac:dyDescent="0.25">
      <c r="A232">
        <v>15.8</v>
      </c>
      <c r="B232">
        <v>2.9200000000000017</v>
      </c>
      <c r="C232">
        <v>23.8</v>
      </c>
    </row>
    <row r="233" spans="1:3" x14ac:dyDescent="0.25">
      <c r="A233">
        <v>17.5</v>
      </c>
      <c r="B233">
        <v>1.1999999999999993</v>
      </c>
      <c r="C233">
        <v>24.6</v>
      </c>
    </row>
    <row r="234" spans="1:3" x14ac:dyDescent="0.25">
      <c r="A234">
        <v>16.8</v>
      </c>
      <c r="B234">
        <v>1.4799999999999969</v>
      </c>
      <c r="C234">
        <v>22.7</v>
      </c>
    </row>
    <row r="235" spans="1:3" x14ac:dyDescent="0.25">
      <c r="A235">
        <v>17.100000000000001</v>
      </c>
      <c r="B235">
        <v>0.92000000000000171</v>
      </c>
      <c r="C235">
        <v>23.4</v>
      </c>
    </row>
    <row r="236" spans="1:3" x14ac:dyDescent="0.25">
      <c r="A236">
        <v>24</v>
      </c>
      <c r="B236">
        <v>2.6799999999999997</v>
      </c>
      <c r="C236">
        <v>27.7</v>
      </c>
    </row>
    <row r="237" spans="1:3" x14ac:dyDescent="0.25">
      <c r="A237">
        <v>14.7</v>
      </c>
      <c r="B237">
        <v>2.12</v>
      </c>
      <c r="C237">
        <v>4.2</v>
      </c>
    </row>
    <row r="238" spans="1:3" x14ac:dyDescent="0.25">
      <c r="A238">
        <v>16.5</v>
      </c>
      <c r="B238">
        <v>1.1999999999999993</v>
      </c>
      <c r="C238">
        <v>18.8</v>
      </c>
    </row>
    <row r="239" spans="1:3" x14ac:dyDescent="0.25">
      <c r="A239">
        <v>13.9</v>
      </c>
      <c r="B239">
        <v>1.6800000000000015</v>
      </c>
      <c r="C239">
        <v>19.7</v>
      </c>
    </row>
    <row r="240" spans="1:3" x14ac:dyDescent="0.25">
      <c r="A240">
        <v>19.100000000000001</v>
      </c>
      <c r="B240">
        <v>0.67999999999999972</v>
      </c>
      <c r="C240">
        <v>17.8</v>
      </c>
    </row>
    <row r="241" spans="1:3" x14ac:dyDescent="0.25">
      <c r="A241">
        <v>6.9</v>
      </c>
      <c r="B241">
        <v>1.8399999999999999</v>
      </c>
      <c r="C241">
        <v>19.3</v>
      </c>
    </row>
    <row r="242" spans="1:3" x14ac:dyDescent="0.25">
      <c r="A242">
        <v>17.399999999999999</v>
      </c>
      <c r="B242">
        <v>0.75999999999999979</v>
      </c>
      <c r="C242">
        <v>17.600000000000001</v>
      </c>
    </row>
    <row r="243" spans="1:3" x14ac:dyDescent="0.25">
      <c r="A243">
        <v>11.1</v>
      </c>
      <c r="B243">
        <v>1.0399999999999991</v>
      </c>
      <c r="C243">
        <v>17.600000000000001</v>
      </c>
    </row>
    <row r="244" spans="1:3" x14ac:dyDescent="0.25">
      <c r="A244">
        <v>23.5</v>
      </c>
      <c r="B244">
        <v>8.0000000000001847E-2</v>
      </c>
      <c r="C244">
        <v>15.1</v>
      </c>
    </row>
    <row r="245" spans="1:3" x14ac:dyDescent="0.25">
      <c r="A245">
        <v>14.4</v>
      </c>
      <c r="B245">
        <v>1.4800000000000004</v>
      </c>
      <c r="C245">
        <v>23.2</v>
      </c>
    </row>
    <row r="246" spans="1:3" x14ac:dyDescent="0.25">
      <c r="A246">
        <v>15.5</v>
      </c>
      <c r="B246">
        <v>1.2399999999999984</v>
      </c>
      <c r="C246">
        <v>18.7</v>
      </c>
    </row>
    <row r="247" spans="1:3" x14ac:dyDescent="0.25">
      <c r="A247">
        <v>17.899999999999999</v>
      </c>
      <c r="B247">
        <v>5.5599999999999987</v>
      </c>
      <c r="C247">
        <v>12.6</v>
      </c>
    </row>
    <row r="248" spans="1:3" x14ac:dyDescent="0.25">
      <c r="A248">
        <v>19.5</v>
      </c>
      <c r="B248">
        <v>1.6000000000000014</v>
      </c>
      <c r="C248">
        <v>8.9</v>
      </c>
    </row>
    <row r="249" spans="1:3" x14ac:dyDescent="0.25">
      <c r="A249">
        <v>23.6</v>
      </c>
      <c r="B249">
        <v>0.44000000000000128</v>
      </c>
      <c r="C249">
        <v>22.2</v>
      </c>
    </row>
    <row r="250" spans="1:3" x14ac:dyDescent="0.25">
      <c r="A250">
        <v>19</v>
      </c>
      <c r="B250">
        <v>1.1600000000000001</v>
      </c>
      <c r="C250">
        <v>23.5</v>
      </c>
    </row>
    <row r="251" spans="1:3" x14ac:dyDescent="0.25">
      <c r="A251">
        <v>15.8</v>
      </c>
      <c r="B251">
        <v>2.0399999999999991</v>
      </c>
      <c r="C251">
        <v>21.1</v>
      </c>
    </row>
    <row r="252" spans="1:3" x14ac:dyDescent="0.25">
      <c r="A252">
        <v>23</v>
      </c>
      <c r="B252">
        <v>4.6000000000000014</v>
      </c>
      <c r="C252">
        <v>20.3</v>
      </c>
    </row>
    <row r="253" spans="1:3" x14ac:dyDescent="0.25">
      <c r="A253">
        <v>16.8</v>
      </c>
      <c r="B253">
        <v>4.68</v>
      </c>
      <c r="C253">
        <v>22.3</v>
      </c>
    </row>
    <row r="254" spans="1:3" x14ac:dyDescent="0.25">
      <c r="A254">
        <v>22</v>
      </c>
      <c r="B254">
        <v>1.08</v>
      </c>
      <c r="C254">
        <v>21.3</v>
      </c>
    </row>
    <row r="255" spans="1:3" x14ac:dyDescent="0.25">
      <c r="A255">
        <v>17.7</v>
      </c>
      <c r="B255">
        <v>1.44</v>
      </c>
      <c r="C255">
        <v>21.8</v>
      </c>
    </row>
    <row r="256" spans="1:3" x14ac:dyDescent="0.25">
      <c r="A256">
        <v>25.1</v>
      </c>
      <c r="B256">
        <v>1.7599999999999998</v>
      </c>
      <c r="C256">
        <v>23.3</v>
      </c>
    </row>
    <row r="257" spans="1:3" x14ac:dyDescent="0.25">
      <c r="A257">
        <v>16</v>
      </c>
      <c r="B257">
        <v>0.44000000000000039</v>
      </c>
      <c r="C257">
        <v>16.2</v>
      </c>
    </row>
    <row r="258" spans="1:3" x14ac:dyDescent="0.25">
      <c r="A258">
        <v>17.2</v>
      </c>
      <c r="B258">
        <v>1.3600000000000003</v>
      </c>
      <c r="C258">
        <v>16</v>
      </c>
    </row>
    <row r="259" spans="1:3" x14ac:dyDescent="0.25">
      <c r="A259">
        <v>24.7</v>
      </c>
      <c r="B259">
        <v>2.5999999999999996</v>
      </c>
      <c r="C259">
        <v>13.1</v>
      </c>
    </row>
    <row r="260" spans="1:3" x14ac:dyDescent="0.25">
      <c r="A260">
        <v>20.100000000000001</v>
      </c>
      <c r="B260">
        <v>1.4000000000000004</v>
      </c>
      <c r="C260">
        <v>18.7</v>
      </c>
    </row>
    <row r="261" spans="1:3" x14ac:dyDescent="0.25">
      <c r="A261">
        <v>25.8</v>
      </c>
      <c r="B261">
        <v>7</v>
      </c>
      <c r="C261">
        <v>27.2</v>
      </c>
    </row>
    <row r="262" spans="1:3" x14ac:dyDescent="0.25">
      <c r="A262">
        <v>19.600000000000001</v>
      </c>
      <c r="B262">
        <v>0.80000000000000071</v>
      </c>
      <c r="C262">
        <v>28.2</v>
      </c>
    </row>
    <row r="263" spans="1:3" x14ac:dyDescent="0.25">
      <c r="A263">
        <v>14.3</v>
      </c>
      <c r="B263">
        <v>1.2399999999999984</v>
      </c>
      <c r="C263">
        <v>23.7</v>
      </c>
    </row>
    <row r="264" spans="1:3" x14ac:dyDescent="0.25">
      <c r="A264">
        <v>19.3</v>
      </c>
      <c r="B264">
        <v>3.8000000000000007</v>
      </c>
      <c r="C264">
        <v>27.1</v>
      </c>
    </row>
    <row r="265" spans="1:3" x14ac:dyDescent="0.25">
      <c r="A265">
        <v>16.899999999999999</v>
      </c>
      <c r="B265">
        <v>1.759999999999998</v>
      </c>
      <c r="C265">
        <v>23.4</v>
      </c>
    </row>
    <row r="266" spans="1:3" x14ac:dyDescent="0.25">
      <c r="A266">
        <v>19.399999999999999</v>
      </c>
      <c r="B266">
        <v>1.8000000000000007</v>
      </c>
      <c r="C266">
        <v>21.2</v>
      </c>
    </row>
    <row r="267" spans="1:3" x14ac:dyDescent="0.25">
      <c r="A267">
        <v>24.3</v>
      </c>
      <c r="B267">
        <v>4.00000000000027E-2</v>
      </c>
      <c r="C267">
        <v>21.4</v>
      </c>
    </row>
    <row r="268" spans="1:3" x14ac:dyDescent="0.25">
      <c r="A268">
        <v>21.1</v>
      </c>
      <c r="B268">
        <v>2.759999999999998</v>
      </c>
      <c r="C268">
        <v>23.7</v>
      </c>
    </row>
    <row r="269" spans="1:3" x14ac:dyDescent="0.25">
      <c r="A269">
        <v>26.1</v>
      </c>
      <c r="B269">
        <v>2.7999999999999972</v>
      </c>
      <c r="C269">
        <v>23.4</v>
      </c>
    </row>
    <row r="270" spans="1:3" x14ac:dyDescent="0.25">
      <c r="A270">
        <v>20.3</v>
      </c>
      <c r="B270">
        <v>1.2000000000000002</v>
      </c>
      <c r="C270">
        <v>26.2</v>
      </c>
    </row>
    <row r="271" spans="1:3" x14ac:dyDescent="0.25">
      <c r="A271">
        <v>16.899999999999999</v>
      </c>
      <c r="B271">
        <v>1.3199999999999998</v>
      </c>
      <c r="C271">
        <v>30.6</v>
      </c>
    </row>
    <row r="272" spans="1:3" x14ac:dyDescent="0.25">
      <c r="A272">
        <v>19.600000000000001</v>
      </c>
      <c r="B272">
        <v>1.4</v>
      </c>
      <c r="C272">
        <v>6.2</v>
      </c>
    </row>
    <row r="273" spans="1:3" x14ac:dyDescent="0.25">
      <c r="A273">
        <v>18.3</v>
      </c>
      <c r="B273">
        <v>0.79999999999999982</v>
      </c>
      <c r="C273">
        <v>20.7</v>
      </c>
    </row>
    <row r="274" spans="1:3" x14ac:dyDescent="0.25">
      <c r="A274">
        <v>18.3</v>
      </c>
      <c r="B274">
        <v>1.08</v>
      </c>
    </row>
    <row r="275" spans="1:3" x14ac:dyDescent="0.25">
      <c r="A275">
        <v>18.5</v>
      </c>
      <c r="B275">
        <v>8.0000000000000071E-2</v>
      </c>
    </row>
    <row r="276" spans="1:3" x14ac:dyDescent="0.25">
      <c r="A276">
        <v>21.4</v>
      </c>
      <c r="B276">
        <v>1.2399999999999993</v>
      </c>
    </row>
    <row r="277" spans="1:3" x14ac:dyDescent="0.25">
      <c r="A277">
        <v>17.899999999999999</v>
      </c>
      <c r="B277">
        <v>0.48000000000000043</v>
      </c>
    </row>
    <row r="278" spans="1:3" x14ac:dyDescent="0.25">
      <c r="A278">
        <v>27.9</v>
      </c>
      <c r="B278">
        <v>0.40000000000000036</v>
      </c>
    </row>
    <row r="279" spans="1:3" x14ac:dyDescent="0.25">
      <c r="A279">
        <v>16.799999237060501</v>
      </c>
      <c r="B279">
        <v>0.11999999999999922</v>
      </c>
    </row>
    <row r="280" spans="1:3" x14ac:dyDescent="0.25">
      <c r="A280">
        <v>21.2000007629394</v>
      </c>
      <c r="B280">
        <v>8.0000000000000071E-2</v>
      </c>
    </row>
    <row r="281" spans="1:3" x14ac:dyDescent="0.25">
      <c r="A281">
        <v>20.600000381469702</v>
      </c>
      <c r="B281">
        <v>1.1199999999999992</v>
      </c>
    </row>
    <row r="282" spans="1:3" x14ac:dyDescent="0.25">
      <c r="A282">
        <v>19.2000007629394</v>
      </c>
      <c r="B282">
        <v>0.19999999999999929</v>
      </c>
    </row>
    <row r="283" spans="1:3" x14ac:dyDescent="0.25">
      <c r="A283">
        <v>22.899999618530199</v>
      </c>
      <c r="B283">
        <v>0.48000000000000043</v>
      </c>
    </row>
    <row r="284" spans="1:3" x14ac:dyDescent="0.25">
      <c r="A284">
        <v>18.799999237060501</v>
      </c>
      <c r="B284">
        <v>0.4399999999999995</v>
      </c>
    </row>
    <row r="285" spans="1:3" x14ac:dyDescent="0.25">
      <c r="A285">
        <v>33.599998474121001</v>
      </c>
      <c r="B285">
        <v>4.0000000000000018</v>
      </c>
    </row>
    <row r="286" spans="1:3" x14ac:dyDescent="0.25">
      <c r="A286">
        <v>34.299999237060497</v>
      </c>
      <c r="B286">
        <v>3.0799999999999983</v>
      </c>
    </row>
    <row r="287" spans="1:3" x14ac:dyDescent="0.25">
      <c r="A287">
        <v>16.899999618530199</v>
      </c>
      <c r="B287">
        <v>0.80000000000000071</v>
      </c>
    </row>
    <row r="288" spans="1:3" x14ac:dyDescent="0.25">
      <c r="A288">
        <v>24.2000007629394</v>
      </c>
      <c r="B288">
        <v>1.1999999999999993</v>
      </c>
    </row>
    <row r="289" spans="1:2" x14ac:dyDescent="0.25">
      <c r="A289">
        <v>4.1999998092651296</v>
      </c>
      <c r="B289">
        <v>0.92000000000000171</v>
      </c>
    </row>
    <row r="290" spans="1:2" x14ac:dyDescent="0.25">
      <c r="A290">
        <v>22.899999618530199</v>
      </c>
      <c r="B290">
        <v>1.759999999999998</v>
      </c>
    </row>
    <row r="291" spans="1:2" x14ac:dyDescent="0.25">
      <c r="A291">
        <v>7.8000001907348597</v>
      </c>
      <c r="B291">
        <v>2.1999999999999993</v>
      </c>
    </row>
    <row r="292" spans="1:2" x14ac:dyDescent="0.25">
      <c r="A292">
        <v>25.100000381469702</v>
      </c>
      <c r="B292">
        <v>3.240000000000002</v>
      </c>
    </row>
    <row r="293" spans="1:2" x14ac:dyDescent="0.25">
      <c r="A293">
        <v>20.899999618530199</v>
      </c>
      <c r="B293">
        <v>1.3999999999999986</v>
      </c>
    </row>
    <row r="294" spans="1:2" x14ac:dyDescent="0.25">
      <c r="A294">
        <v>38.400001525878899</v>
      </c>
      <c r="B294">
        <v>3.1600000000000037</v>
      </c>
    </row>
    <row r="295" spans="1:2" x14ac:dyDescent="0.25">
      <c r="A295">
        <v>13.6000003814697</v>
      </c>
      <c r="B295">
        <v>1.1600000000000001</v>
      </c>
    </row>
    <row r="296" spans="1:2" x14ac:dyDescent="0.25">
      <c r="A296">
        <v>32</v>
      </c>
      <c r="B296">
        <v>2.0399999999999996</v>
      </c>
    </row>
    <row r="297" spans="1:2" x14ac:dyDescent="0.25">
      <c r="A297">
        <v>25.7000007629394</v>
      </c>
      <c r="B297">
        <v>0.96000000000000085</v>
      </c>
    </row>
    <row r="298" spans="1:2" x14ac:dyDescent="0.25">
      <c r="A298">
        <v>23.399999618530199</v>
      </c>
      <c r="B298">
        <v>0.51999999999999957</v>
      </c>
    </row>
    <row r="299" spans="1:2" x14ac:dyDescent="0.25">
      <c r="A299">
        <v>26.799999237060501</v>
      </c>
      <c r="B299">
        <v>1.4800000000000004</v>
      </c>
    </row>
    <row r="300" spans="1:2" x14ac:dyDescent="0.25">
      <c r="A300">
        <v>20.299999237060501</v>
      </c>
      <c r="B300">
        <v>0.11999999999999922</v>
      </c>
    </row>
    <row r="301" spans="1:2" x14ac:dyDescent="0.25">
      <c r="A301">
        <v>17.7000007629394</v>
      </c>
      <c r="B301">
        <v>1.3200000000000003</v>
      </c>
    </row>
    <row r="302" spans="1:2" x14ac:dyDescent="0.25">
      <c r="A302">
        <v>25.299999237060501</v>
      </c>
      <c r="B302">
        <v>8.0000000000000071E-2</v>
      </c>
    </row>
    <row r="303" spans="1:2" x14ac:dyDescent="0.25">
      <c r="A303">
        <v>19.399999618530199</v>
      </c>
      <c r="B303">
        <v>0.48000000000000043</v>
      </c>
    </row>
    <row r="304" spans="1:2" x14ac:dyDescent="0.25">
      <c r="A304">
        <v>24.100000381469702</v>
      </c>
      <c r="B304">
        <v>0.63999999999999879</v>
      </c>
    </row>
    <row r="305" spans="1:2" x14ac:dyDescent="0.25">
      <c r="A305">
        <v>34.900001525878899</v>
      </c>
      <c r="B305">
        <v>0.5600000000000005</v>
      </c>
    </row>
    <row r="306" spans="1:2" x14ac:dyDescent="0.25">
      <c r="A306">
        <v>23.799999237060501</v>
      </c>
      <c r="B306">
        <v>0.4399999999999995</v>
      </c>
    </row>
    <row r="307" spans="1:2" x14ac:dyDescent="0.25">
      <c r="A307">
        <v>13.300000190734799</v>
      </c>
      <c r="B307">
        <v>1.1600000000000001</v>
      </c>
    </row>
    <row r="308" spans="1:2" x14ac:dyDescent="0.25">
      <c r="A308">
        <v>10.5</v>
      </c>
      <c r="B308">
        <v>0.44000000000000128</v>
      </c>
    </row>
    <row r="309" spans="1:2" x14ac:dyDescent="0.25">
      <c r="A309">
        <v>18.2000007629394</v>
      </c>
      <c r="B309">
        <v>0.59999999999999964</v>
      </c>
    </row>
    <row r="310" spans="1:2" x14ac:dyDescent="0.25">
      <c r="A310">
        <v>20</v>
      </c>
      <c r="B310">
        <v>0.19999999999999929</v>
      </c>
    </row>
    <row r="311" spans="1:2" x14ac:dyDescent="0.25">
      <c r="A311">
        <v>14.300000190734799</v>
      </c>
      <c r="B311">
        <v>1.4000000000000004</v>
      </c>
    </row>
    <row r="312" spans="1:2" x14ac:dyDescent="0.25">
      <c r="A312">
        <v>19.399999618530199</v>
      </c>
      <c r="B312">
        <v>0.75999999999999979</v>
      </c>
    </row>
    <row r="313" spans="1:2" x14ac:dyDescent="0.25">
      <c r="A313">
        <v>15.699999809265099</v>
      </c>
      <c r="B313">
        <v>0.12000000000000099</v>
      </c>
    </row>
    <row r="314" spans="1:2" x14ac:dyDescent="0.25">
      <c r="A314">
        <v>21.299999237060501</v>
      </c>
      <c r="B314">
        <v>1.0799999999999983</v>
      </c>
    </row>
    <row r="315" spans="1:2" x14ac:dyDescent="0.25">
      <c r="A315">
        <v>22.5</v>
      </c>
      <c r="B315">
        <v>0.32000000000000028</v>
      </c>
    </row>
    <row r="316" spans="1:2" x14ac:dyDescent="0.25">
      <c r="A316">
        <v>8.8999996185302699</v>
      </c>
      <c r="B316">
        <v>0.67999999999999972</v>
      </c>
    </row>
    <row r="317" spans="1:2" x14ac:dyDescent="0.25">
      <c r="A317">
        <v>18</v>
      </c>
      <c r="B317">
        <v>1</v>
      </c>
    </row>
    <row r="318" spans="1:2" x14ac:dyDescent="0.25">
      <c r="A318">
        <v>22.7000007629394</v>
      </c>
      <c r="B318">
        <v>0.80000000000000071</v>
      </c>
    </row>
    <row r="319" spans="1:2" x14ac:dyDescent="0.25">
      <c r="A319">
        <v>23.7000007629394</v>
      </c>
      <c r="B319">
        <v>1.120000000000001</v>
      </c>
    </row>
    <row r="320" spans="1:2" x14ac:dyDescent="0.25">
      <c r="A320">
        <v>21.7000007629394</v>
      </c>
      <c r="B320">
        <v>1.5999999999999979</v>
      </c>
    </row>
    <row r="321" spans="1:2" x14ac:dyDescent="0.25">
      <c r="A321">
        <v>20.5</v>
      </c>
      <c r="B321">
        <v>1.6799999999999997</v>
      </c>
    </row>
    <row r="322" spans="1:2" x14ac:dyDescent="0.25">
      <c r="A322">
        <v>21.5</v>
      </c>
      <c r="B322">
        <v>0.92000000000000171</v>
      </c>
    </row>
    <row r="323" spans="1:2" x14ac:dyDescent="0.25">
      <c r="A323">
        <v>25</v>
      </c>
      <c r="B323">
        <v>1.879999999999999</v>
      </c>
    </row>
    <row r="324" spans="1:2" x14ac:dyDescent="0.25">
      <c r="A324">
        <v>29.299999237060501</v>
      </c>
      <c r="B324">
        <v>0.99999999999999989</v>
      </c>
    </row>
    <row r="325" spans="1:2" x14ac:dyDescent="0.25">
      <c r="A325">
        <v>33.900001525878899</v>
      </c>
      <c r="B325">
        <v>0.12000000000000011</v>
      </c>
    </row>
    <row r="326" spans="1:2" x14ac:dyDescent="0.25">
      <c r="A326">
        <v>17.299999237060501</v>
      </c>
      <c r="B326">
        <v>0.2799999999999998</v>
      </c>
    </row>
    <row r="327" spans="1:2" x14ac:dyDescent="0.25">
      <c r="A327">
        <v>30</v>
      </c>
      <c r="B327">
        <v>0.20000000000000018</v>
      </c>
    </row>
    <row r="328" spans="1:2" x14ac:dyDescent="0.25">
      <c r="A328">
        <v>31.899999618530199</v>
      </c>
      <c r="B328">
        <v>0.48</v>
      </c>
    </row>
    <row r="329" spans="1:2" x14ac:dyDescent="0.25">
      <c r="A329">
        <v>24.7000007629394</v>
      </c>
      <c r="B329">
        <v>1.0000000000000004</v>
      </c>
    </row>
    <row r="330" spans="1:2" x14ac:dyDescent="0.25">
      <c r="A330">
        <v>16.600000381469702</v>
      </c>
      <c r="B330">
        <v>0.83999999999999986</v>
      </c>
    </row>
    <row r="331" spans="1:2" x14ac:dyDescent="0.25">
      <c r="A331">
        <v>17.399999618530199</v>
      </c>
      <c r="B331">
        <v>2.7999999999999989</v>
      </c>
    </row>
    <row r="332" spans="1:2" x14ac:dyDescent="0.25">
      <c r="A332">
        <v>7</v>
      </c>
      <c r="B332">
        <v>1.2000000000000011</v>
      </c>
    </row>
    <row r="333" spans="1:2" x14ac:dyDescent="0.25">
      <c r="A333">
        <v>21.799999237060501</v>
      </c>
      <c r="B333">
        <v>1.1600000000000001</v>
      </c>
    </row>
    <row r="334" spans="1:2" x14ac:dyDescent="0.25">
      <c r="A334">
        <v>28</v>
      </c>
      <c r="B334">
        <v>1.4000000000000004</v>
      </c>
    </row>
    <row r="335" spans="1:2" x14ac:dyDescent="0.25">
      <c r="A335">
        <v>23.7000007629394</v>
      </c>
      <c r="B335">
        <v>1.7999999999999989</v>
      </c>
    </row>
    <row r="336" spans="1:2" x14ac:dyDescent="0.25">
      <c r="A336">
        <v>21.5</v>
      </c>
      <c r="B336">
        <v>0.92000000000000171</v>
      </c>
    </row>
    <row r="337" spans="1:2" x14ac:dyDescent="0.25">
      <c r="A337">
        <v>22.299999237060501</v>
      </c>
      <c r="B337">
        <v>2.1999999999999993</v>
      </c>
    </row>
    <row r="338" spans="1:2" x14ac:dyDescent="0.25">
      <c r="A338">
        <v>20.799999237060501</v>
      </c>
      <c r="B338">
        <v>1.120000000000001</v>
      </c>
    </row>
    <row r="339" spans="1:2" x14ac:dyDescent="0.25">
      <c r="A339">
        <v>17.799999237060501</v>
      </c>
      <c r="B339">
        <v>2.1599999999999966</v>
      </c>
    </row>
    <row r="340" spans="1:2" x14ac:dyDescent="0.25">
      <c r="A340">
        <v>28.2000007629394</v>
      </c>
      <c r="B340">
        <v>1.7200000000000024</v>
      </c>
    </row>
    <row r="341" spans="1:2" x14ac:dyDescent="0.25">
      <c r="A341">
        <v>27</v>
      </c>
      <c r="B341">
        <v>0.60000000000000142</v>
      </c>
    </row>
    <row r="342" spans="1:2" x14ac:dyDescent="0.25">
      <c r="A342">
        <v>26.299999237060501</v>
      </c>
      <c r="B342">
        <v>0.12000000000000099</v>
      </c>
    </row>
    <row r="343" spans="1:2" x14ac:dyDescent="0.25">
      <c r="A343">
        <v>37.5</v>
      </c>
      <c r="B343">
        <v>0.27999999999999758</v>
      </c>
    </row>
    <row r="344" spans="1:2" x14ac:dyDescent="0.25">
      <c r="A344">
        <v>27.5</v>
      </c>
      <c r="B344">
        <v>4.12</v>
      </c>
    </row>
    <row r="345" spans="1:2" x14ac:dyDescent="0.25">
      <c r="A345">
        <v>21.600000381469702</v>
      </c>
      <c r="B345">
        <v>0.35999999999999943</v>
      </c>
    </row>
    <row r="346" spans="1:2" x14ac:dyDescent="0.25">
      <c r="A346">
        <v>24</v>
      </c>
      <c r="B346">
        <v>2.4400000000000004</v>
      </c>
    </row>
    <row r="347" spans="1:2" x14ac:dyDescent="0.25">
      <c r="A347">
        <v>7.0999999046325604</v>
      </c>
      <c r="B347">
        <v>1.96</v>
      </c>
    </row>
    <row r="348" spans="1:2" x14ac:dyDescent="0.25">
      <c r="A348">
        <v>16.299999237060501</v>
      </c>
      <c r="B348">
        <v>2.1999999999999993</v>
      </c>
    </row>
    <row r="349" spans="1:2" x14ac:dyDescent="0.25">
      <c r="A349">
        <v>17.100000381469702</v>
      </c>
      <c r="B349">
        <v>3.4000000000000004</v>
      </c>
    </row>
    <row r="350" spans="1:2" x14ac:dyDescent="0.25">
      <c r="A350">
        <v>19.399999618530199</v>
      </c>
      <c r="B350">
        <v>2.5199999999999996</v>
      </c>
    </row>
    <row r="351" spans="1:2" x14ac:dyDescent="0.25">
      <c r="A351">
        <v>17.299999237060501</v>
      </c>
      <c r="B351">
        <v>1.3599999999999994</v>
      </c>
    </row>
    <row r="352" spans="1:2" x14ac:dyDescent="0.25">
      <c r="A352">
        <v>19.2000007629394</v>
      </c>
      <c r="B352">
        <v>0.64000000000000057</v>
      </c>
    </row>
    <row r="353" spans="1:2" x14ac:dyDescent="0.25">
      <c r="A353">
        <v>20.799999237060501</v>
      </c>
      <c r="B353">
        <v>6.8000000000000007</v>
      </c>
    </row>
    <row r="354" spans="1:2" x14ac:dyDescent="0.25">
      <c r="A354">
        <v>16.399999618530199</v>
      </c>
      <c r="B354">
        <v>1.8000000000000007</v>
      </c>
    </row>
    <row r="355" spans="1:2" x14ac:dyDescent="0.25">
      <c r="A355">
        <v>23.2000007629394</v>
      </c>
      <c r="B355">
        <v>3</v>
      </c>
    </row>
    <row r="356" spans="1:2" x14ac:dyDescent="0.25">
      <c r="A356">
        <v>20.2000007629394</v>
      </c>
      <c r="B356">
        <v>2.48</v>
      </c>
    </row>
    <row r="357" spans="1:2" x14ac:dyDescent="0.25">
      <c r="A357">
        <v>11.1</v>
      </c>
      <c r="B357">
        <v>0.91999999999999993</v>
      </c>
    </row>
    <row r="358" spans="1:2" x14ac:dyDescent="0.25">
      <c r="A358">
        <v>17.7</v>
      </c>
      <c r="B358">
        <v>1.4799999999999995</v>
      </c>
    </row>
    <row r="359" spans="1:2" x14ac:dyDescent="0.25">
      <c r="A359">
        <v>18.3</v>
      </c>
      <c r="B359">
        <v>3.92</v>
      </c>
    </row>
    <row r="360" spans="1:2" x14ac:dyDescent="0.25">
      <c r="A360">
        <v>18.100000000000001</v>
      </c>
      <c r="B360">
        <v>2.5600000000000005</v>
      </c>
    </row>
    <row r="361" spans="1:2" x14ac:dyDescent="0.25">
      <c r="A361">
        <v>18.399999999999999</v>
      </c>
      <c r="B361">
        <v>1.7999999999999989</v>
      </c>
    </row>
    <row r="362" spans="1:2" x14ac:dyDescent="0.25">
      <c r="A362">
        <v>19.2</v>
      </c>
      <c r="B362">
        <v>2.9200000000000017</v>
      </c>
    </row>
    <row r="363" spans="1:2" x14ac:dyDescent="0.25">
      <c r="A363">
        <v>16.7</v>
      </c>
      <c r="B363">
        <v>2.5199999999999996</v>
      </c>
    </row>
    <row r="364" spans="1:2" x14ac:dyDescent="0.25">
      <c r="A364">
        <v>16.600000000000001</v>
      </c>
      <c r="B364">
        <v>4.5599999999999987</v>
      </c>
    </row>
    <row r="365" spans="1:2" x14ac:dyDescent="0.25">
      <c r="A365">
        <v>20.5</v>
      </c>
      <c r="B365">
        <v>0.60000000000000142</v>
      </c>
    </row>
    <row r="366" spans="1:2" x14ac:dyDescent="0.25">
      <c r="A366">
        <v>21.2</v>
      </c>
      <c r="B366">
        <v>1.5199999999999996</v>
      </c>
    </row>
    <row r="367" spans="1:2" x14ac:dyDescent="0.25">
      <c r="A367">
        <v>12.4</v>
      </c>
      <c r="B367">
        <v>5.3999999999999986</v>
      </c>
    </row>
    <row r="368" spans="1:2" x14ac:dyDescent="0.25">
      <c r="A368">
        <v>15.7</v>
      </c>
      <c r="B368">
        <v>2.2000000000000028</v>
      </c>
    </row>
    <row r="369" spans="1:2" x14ac:dyDescent="0.25">
      <c r="A369">
        <v>18.8</v>
      </c>
      <c r="B369">
        <v>1.7200000000000002</v>
      </c>
    </row>
    <row r="370" spans="1:2" x14ac:dyDescent="0.25">
      <c r="A370">
        <v>18.7</v>
      </c>
      <c r="B370">
        <v>2</v>
      </c>
    </row>
    <row r="371" spans="1:2" x14ac:dyDescent="0.25">
      <c r="A371">
        <v>19.100000000000001</v>
      </c>
      <c r="B371">
        <v>7.9999999999999183E-2</v>
      </c>
    </row>
    <row r="372" spans="1:2" x14ac:dyDescent="0.25">
      <c r="A372">
        <v>16.600000000000001</v>
      </c>
      <c r="B372">
        <v>2.4000000000000004</v>
      </c>
    </row>
    <row r="373" spans="1:2" x14ac:dyDescent="0.25">
      <c r="A373">
        <v>16.5</v>
      </c>
      <c r="B373">
        <v>1.4800000000000004</v>
      </c>
    </row>
    <row r="374" spans="1:2" x14ac:dyDescent="0.25">
      <c r="A374">
        <v>13.7</v>
      </c>
      <c r="B374">
        <v>2.0399999999999991</v>
      </c>
    </row>
    <row r="375" spans="1:2" x14ac:dyDescent="0.25">
      <c r="A375">
        <v>13</v>
      </c>
      <c r="B375">
        <v>1.2000000000000011</v>
      </c>
    </row>
    <row r="376" spans="1:2" x14ac:dyDescent="0.25">
      <c r="A376">
        <v>14.7</v>
      </c>
      <c r="B376">
        <v>0.27999999999999936</v>
      </c>
    </row>
    <row r="377" spans="1:2" x14ac:dyDescent="0.25">
      <c r="A377">
        <v>18.899999999999999</v>
      </c>
      <c r="B377">
        <v>1.1199999999999992</v>
      </c>
    </row>
    <row r="378" spans="1:2" x14ac:dyDescent="0.25">
      <c r="A378">
        <v>14.6</v>
      </c>
      <c r="B378">
        <v>1.2800000000000011</v>
      </c>
    </row>
    <row r="379" spans="1:2" x14ac:dyDescent="0.25">
      <c r="A379">
        <v>22.8</v>
      </c>
      <c r="B379">
        <v>1.2800000000000011</v>
      </c>
    </row>
    <row r="380" spans="1:2" x14ac:dyDescent="0.25">
      <c r="A380">
        <v>18.899999999999999</v>
      </c>
      <c r="B380">
        <v>1.5199999999999996</v>
      </c>
    </row>
    <row r="381" spans="1:2" x14ac:dyDescent="0.25">
      <c r="A381">
        <v>18.2</v>
      </c>
      <c r="B381">
        <v>1</v>
      </c>
    </row>
    <row r="382" spans="1:2" x14ac:dyDescent="0.25">
      <c r="A382">
        <v>17.7</v>
      </c>
      <c r="B382">
        <v>3.3200000000000003</v>
      </c>
    </row>
    <row r="383" spans="1:2" x14ac:dyDescent="0.25">
      <c r="A383">
        <v>20.8</v>
      </c>
      <c r="B383">
        <v>2.2799999999999976</v>
      </c>
    </row>
    <row r="384" spans="1:2" x14ac:dyDescent="0.25">
      <c r="A384">
        <v>15.3</v>
      </c>
      <c r="B384">
        <v>3.4000000000000021</v>
      </c>
    </row>
    <row r="385" spans="1:2" x14ac:dyDescent="0.25">
      <c r="A385">
        <v>18.5</v>
      </c>
      <c r="B385">
        <v>0.67999999999999972</v>
      </c>
    </row>
    <row r="386" spans="1:2" x14ac:dyDescent="0.25">
      <c r="A386">
        <v>26.5</v>
      </c>
      <c r="B386">
        <v>0.19999999999999929</v>
      </c>
    </row>
    <row r="387" spans="1:2" x14ac:dyDescent="0.25">
      <c r="A387">
        <v>16.600000000000001</v>
      </c>
      <c r="B387">
        <v>2.3200000000000003</v>
      </c>
    </row>
    <row r="388" spans="1:2" x14ac:dyDescent="0.25">
      <c r="A388">
        <v>21.3</v>
      </c>
      <c r="B388">
        <v>1.1600000000000001</v>
      </c>
    </row>
    <row r="389" spans="1:2" x14ac:dyDescent="0.25">
      <c r="A389">
        <v>23.8</v>
      </c>
      <c r="B389">
        <v>1</v>
      </c>
    </row>
    <row r="390" spans="1:2" x14ac:dyDescent="0.25">
      <c r="A390">
        <v>24.6</v>
      </c>
      <c r="B390">
        <v>2</v>
      </c>
    </row>
    <row r="391" spans="1:2" x14ac:dyDescent="0.25">
      <c r="A391">
        <v>31.1</v>
      </c>
      <c r="B391">
        <v>1.7999999999999998</v>
      </c>
    </row>
    <row r="392" spans="1:2" x14ac:dyDescent="0.25">
      <c r="A392">
        <v>36.1</v>
      </c>
      <c r="B392">
        <v>1.8000000000000007</v>
      </c>
    </row>
    <row r="393" spans="1:2" x14ac:dyDescent="0.25">
      <c r="A393">
        <v>22.7</v>
      </c>
      <c r="B393">
        <v>2.0399999999999991</v>
      </c>
    </row>
    <row r="394" spans="1:2" x14ac:dyDescent="0.25">
      <c r="A394">
        <v>32.700000000000003</v>
      </c>
      <c r="B394">
        <v>3.6799999999999997</v>
      </c>
    </row>
    <row r="395" spans="1:2" x14ac:dyDescent="0.25">
      <c r="A395">
        <v>20.9</v>
      </c>
      <c r="B395">
        <v>1.6799999999999997</v>
      </c>
    </row>
    <row r="396" spans="1:2" x14ac:dyDescent="0.25">
      <c r="A396">
        <v>21.3</v>
      </c>
      <c r="B396">
        <v>3.9200000000000017</v>
      </c>
    </row>
    <row r="397" spans="1:2" x14ac:dyDescent="0.25">
      <c r="A397">
        <v>26.4</v>
      </c>
      <c r="B397">
        <v>1.879999999999999</v>
      </c>
    </row>
    <row r="398" spans="1:2" x14ac:dyDescent="0.25">
      <c r="A398">
        <v>23.4</v>
      </c>
      <c r="B398">
        <v>1.120000000000001</v>
      </c>
    </row>
    <row r="399" spans="1:2" x14ac:dyDescent="0.25">
      <c r="A399">
        <v>27.7</v>
      </c>
      <c r="B399">
        <v>7.120000000000001</v>
      </c>
    </row>
    <row r="400" spans="1:2" x14ac:dyDescent="0.25">
      <c r="A400">
        <v>21.7</v>
      </c>
      <c r="B400">
        <v>1.7999999999999998</v>
      </c>
    </row>
    <row r="401" spans="1:2" x14ac:dyDescent="0.25">
      <c r="A401">
        <v>16</v>
      </c>
      <c r="B401">
        <v>1.88</v>
      </c>
    </row>
    <row r="402" spans="1:2" x14ac:dyDescent="0.25">
      <c r="A402">
        <v>22.1</v>
      </c>
      <c r="B402">
        <v>1.4799999999999995</v>
      </c>
    </row>
    <row r="403" spans="1:2" x14ac:dyDescent="0.25">
      <c r="A403">
        <v>16.399999999999999</v>
      </c>
      <c r="B403">
        <v>1.92</v>
      </c>
    </row>
    <row r="404" spans="1:2" x14ac:dyDescent="0.25">
      <c r="A404">
        <v>17.7</v>
      </c>
      <c r="B404">
        <v>1.92</v>
      </c>
    </row>
    <row r="405" spans="1:2" x14ac:dyDescent="0.25">
      <c r="A405">
        <v>4.2</v>
      </c>
      <c r="B405">
        <v>2.8000000000000007</v>
      </c>
    </row>
    <row r="406" spans="1:2" x14ac:dyDescent="0.25">
      <c r="A406">
        <v>30</v>
      </c>
      <c r="B406">
        <v>2.9599999999999991</v>
      </c>
    </row>
    <row r="407" spans="1:2" x14ac:dyDescent="0.25">
      <c r="A407">
        <v>18.8</v>
      </c>
      <c r="B407">
        <v>4.84</v>
      </c>
    </row>
    <row r="408" spans="1:2" x14ac:dyDescent="0.25">
      <c r="A408">
        <v>19.7</v>
      </c>
      <c r="B408">
        <v>3.6000000000000014</v>
      </c>
    </row>
    <row r="409" spans="1:2" x14ac:dyDescent="0.25">
      <c r="A409">
        <v>20.399999999999999</v>
      </c>
      <c r="B409">
        <v>2.3599999999999994</v>
      </c>
    </row>
    <row r="410" spans="1:2" x14ac:dyDescent="0.25">
      <c r="A410">
        <v>17.8</v>
      </c>
      <c r="B410">
        <v>2.3200000000000003</v>
      </c>
    </row>
    <row r="411" spans="1:2" x14ac:dyDescent="0.25">
      <c r="A411">
        <v>19.3</v>
      </c>
      <c r="B411">
        <v>1.4799999999999969</v>
      </c>
    </row>
    <row r="412" spans="1:2" x14ac:dyDescent="0.25">
      <c r="A412">
        <v>17.600000000000001</v>
      </c>
      <c r="B412">
        <v>1.6400000000000006</v>
      </c>
    </row>
    <row r="413" spans="1:2" x14ac:dyDescent="0.25">
      <c r="A413">
        <v>17.600000000000001</v>
      </c>
      <c r="B413">
        <v>1.1600000000000037</v>
      </c>
    </row>
    <row r="414" spans="1:2" x14ac:dyDescent="0.25">
      <c r="A414">
        <v>15.1</v>
      </c>
      <c r="B414">
        <v>0.7200000000000002</v>
      </c>
    </row>
    <row r="415" spans="1:2" x14ac:dyDescent="0.25">
      <c r="A415">
        <v>23.2</v>
      </c>
      <c r="B415">
        <v>0.60000000000000009</v>
      </c>
    </row>
    <row r="416" spans="1:2" x14ac:dyDescent="0.25">
      <c r="A416">
        <v>16.8</v>
      </c>
      <c r="B416">
        <v>1.1599999999999997</v>
      </c>
    </row>
    <row r="417" spans="1:2" x14ac:dyDescent="0.25">
      <c r="A417">
        <v>18.7</v>
      </c>
      <c r="B417">
        <v>0.71999999999999975</v>
      </c>
    </row>
    <row r="418" spans="1:2" x14ac:dyDescent="0.25">
      <c r="A418">
        <v>12.6</v>
      </c>
      <c r="B418">
        <v>1.1200000000000001</v>
      </c>
    </row>
    <row r="419" spans="1:2" x14ac:dyDescent="0.25">
      <c r="A419">
        <v>18.399999999999999</v>
      </c>
      <c r="B419">
        <v>8.0000000000000071E-2</v>
      </c>
    </row>
    <row r="420" spans="1:2" x14ac:dyDescent="0.25">
      <c r="A420">
        <v>20</v>
      </c>
      <c r="B420">
        <v>0.60000000000000053</v>
      </c>
    </row>
    <row r="421" spans="1:2" x14ac:dyDescent="0.25">
      <c r="A421">
        <v>8.9</v>
      </c>
      <c r="B421">
        <v>0.87999999999999989</v>
      </c>
    </row>
    <row r="422" spans="1:2" x14ac:dyDescent="0.25">
      <c r="A422">
        <v>12.8</v>
      </c>
      <c r="B422">
        <v>4.0000000000000036E-2</v>
      </c>
    </row>
    <row r="423" spans="1:2" x14ac:dyDescent="0.25">
      <c r="A423">
        <v>12.7</v>
      </c>
      <c r="B423">
        <v>2.1999999999999993</v>
      </c>
    </row>
    <row r="424" spans="1:2" x14ac:dyDescent="0.25">
      <c r="A424">
        <v>16.7</v>
      </c>
      <c r="B424">
        <v>1.1600000000000001</v>
      </c>
    </row>
    <row r="425" spans="1:2" x14ac:dyDescent="0.25">
      <c r="A425">
        <v>18.899999999999999</v>
      </c>
      <c r="B425">
        <v>0.12000000000000099</v>
      </c>
    </row>
    <row r="426" spans="1:2" x14ac:dyDescent="0.25">
      <c r="A426">
        <v>22.2</v>
      </c>
      <c r="B426">
        <v>0.71999999999999886</v>
      </c>
    </row>
    <row r="427" spans="1:2" x14ac:dyDescent="0.25">
      <c r="A427">
        <v>21.2</v>
      </c>
      <c r="B427">
        <v>0.88000000000000078</v>
      </c>
    </row>
    <row r="428" spans="1:2" x14ac:dyDescent="0.25">
      <c r="A428">
        <v>20.100000000000001</v>
      </c>
      <c r="B428">
        <v>1.1199999999999992</v>
      </c>
    </row>
    <row r="429" spans="1:2" x14ac:dyDescent="0.25">
      <c r="A429">
        <v>20.8</v>
      </c>
      <c r="B429">
        <v>8.0000000000000071E-2</v>
      </c>
    </row>
    <row r="430" spans="1:2" x14ac:dyDescent="0.25">
      <c r="A430">
        <v>23.5</v>
      </c>
      <c r="B430">
        <v>1.120000000000001</v>
      </c>
    </row>
    <row r="431" spans="1:2" x14ac:dyDescent="0.25">
      <c r="A431">
        <v>21.1</v>
      </c>
      <c r="B431">
        <v>0.39999999999999858</v>
      </c>
    </row>
    <row r="432" spans="1:2" x14ac:dyDescent="0.25">
      <c r="A432">
        <v>20.3</v>
      </c>
      <c r="B432">
        <v>1.5999999999999996</v>
      </c>
    </row>
    <row r="433" spans="1:2" x14ac:dyDescent="0.25">
      <c r="A433">
        <v>22.3</v>
      </c>
      <c r="B433">
        <v>2.0800000000000018</v>
      </c>
    </row>
    <row r="434" spans="1:2" x14ac:dyDescent="0.25">
      <c r="A434">
        <v>21.3</v>
      </c>
      <c r="B434">
        <v>5.1999999999999993</v>
      </c>
    </row>
    <row r="435" spans="1:2" x14ac:dyDescent="0.25">
      <c r="A435">
        <v>21.8</v>
      </c>
      <c r="B435">
        <v>3.120000000000001</v>
      </c>
    </row>
    <row r="436" spans="1:2" x14ac:dyDescent="0.25">
      <c r="A436">
        <v>23.3</v>
      </c>
      <c r="B436">
        <v>2.9599999999999973</v>
      </c>
    </row>
    <row r="437" spans="1:2" x14ac:dyDescent="0.25">
      <c r="A437">
        <v>23</v>
      </c>
      <c r="B437">
        <v>1.4400000000000013</v>
      </c>
    </row>
    <row r="438" spans="1:2" x14ac:dyDescent="0.25">
      <c r="A438">
        <v>19.899999999999999</v>
      </c>
      <c r="B438">
        <v>2.0800000000000018</v>
      </c>
    </row>
    <row r="439" spans="1:2" x14ac:dyDescent="0.25">
      <c r="A439">
        <v>20.2</v>
      </c>
      <c r="B439">
        <v>1.7999999999999972</v>
      </c>
    </row>
    <row r="440" spans="1:2" x14ac:dyDescent="0.25">
      <c r="A440">
        <v>26.6</v>
      </c>
      <c r="B440">
        <v>7.9999999999998295E-2</v>
      </c>
    </row>
    <row r="441" spans="1:2" x14ac:dyDescent="0.25">
      <c r="A441">
        <v>20.9</v>
      </c>
      <c r="B441">
        <v>2.240000000000002</v>
      </c>
    </row>
    <row r="442" spans="1:2" x14ac:dyDescent="0.25">
      <c r="A442">
        <v>21.4</v>
      </c>
      <c r="B442">
        <v>4.3599999999999994</v>
      </c>
    </row>
    <row r="443" spans="1:2" x14ac:dyDescent="0.25">
      <c r="A443">
        <v>16.2</v>
      </c>
      <c r="B443">
        <v>0.60000000000000009</v>
      </c>
    </row>
    <row r="444" spans="1:2" x14ac:dyDescent="0.25">
      <c r="A444">
        <v>23.2</v>
      </c>
      <c r="B444">
        <v>0.75999999999999979</v>
      </c>
    </row>
    <row r="445" spans="1:2" x14ac:dyDescent="0.25">
      <c r="A445">
        <v>20.7</v>
      </c>
      <c r="B445">
        <v>0.79999999999999982</v>
      </c>
    </row>
    <row r="446" spans="1:2" x14ac:dyDescent="0.25">
      <c r="A446">
        <v>21.4</v>
      </c>
      <c r="B446">
        <v>1</v>
      </c>
    </row>
    <row r="447" spans="1:2" x14ac:dyDescent="0.25">
      <c r="A447">
        <v>16</v>
      </c>
      <c r="B447">
        <v>1.3200000000000003</v>
      </c>
    </row>
    <row r="448" spans="1:2" x14ac:dyDescent="0.25">
      <c r="A448">
        <v>22.7</v>
      </c>
      <c r="B448">
        <v>1.5199999999999996</v>
      </c>
    </row>
    <row r="449" spans="1:2" x14ac:dyDescent="0.25">
      <c r="A449">
        <v>23.8</v>
      </c>
      <c r="B449">
        <v>0.16000000000000014</v>
      </c>
    </row>
    <row r="450" spans="1:2" x14ac:dyDescent="0.25">
      <c r="A450">
        <v>25</v>
      </c>
      <c r="B450">
        <v>1.6400000000000006</v>
      </c>
    </row>
    <row r="451" spans="1:2" x14ac:dyDescent="0.25">
      <c r="A451">
        <v>13.1</v>
      </c>
      <c r="B451">
        <v>1.5999999999999996</v>
      </c>
    </row>
    <row r="452" spans="1:2" x14ac:dyDescent="0.25">
      <c r="A452">
        <v>25.3</v>
      </c>
      <c r="B452">
        <v>0.16000000000000014</v>
      </c>
    </row>
    <row r="453" spans="1:2" x14ac:dyDescent="0.25">
      <c r="A453">
        <v>26.9</v>
      </c>
      <c r="B453">
        <v>2.1199999999999992</v>
      </c>
    </row>
    <row r="454" spans="1:2" x14ac:dyDescent="0.25">
      <c r="A454">
        <v>16.100000000000001</v>
      </c>
      <c r="B454">
        <v>1.4800000000000004</v>
      </c>
    </row>
    <row r="455" spans="1:2" x14ac:dyDescent="0.25">
      <c r="A455">
        <v>20</v>
      </c>
      <c r="B455">
        <v>2.8000000000000007</v>
      </c>
    </row>
    <row r="456" spans="1:2" x14ac:dyDescent="0.25">
      <c r="A456">
        <v>23.4</v>
      </c>
      <c r="B456">
        <v>0.64000000000000057</v>
      </c>
    </row>
    <row r="457" spans="1:2" x14ac:dyDescent="0.25">
      <c r="A457">
        <v>18.7</v>
      </c>
      <c r="B457">
        <v>0.27999999999999758</v>
      </c>
    </row>
    <row r="458" spans="1:2" x14ac:dyDescent="0.25">
      <c r="A458">
        <v>27.2</v>
      </c>
      <c r="B458">
        <v>1.8000000000000007</v>
      </c>
    </row>
    <row r="459" spans="1:2" x14ac:dyDescent="0.25">
      <c r="A459">
        <v>18.8</v>
      </c>
      <c r="B459">
        <v>8.0000000000001847E-2</v>
      </c>
    </row>
    <row r="460" spans="1:2" x14ac:dyDescent="0.25">
      <c r="A460">
        <v>28.2</v>
      </c>
      <c r="B460">
        <v>1.4399999999999977</v>
      </c>
    </row>
    <row r="461" spans="1:2" x14ac:dyDescent="0.25">
      <c r="A461">
        <v>23.7</v>
      </c>
      <c r="B461">
        <v>0.28000000000000114</v>
      </c>
    </row>
    <row r="462" spans="1:2" x14ac:dyDescent="0.25">
      <c r="A462">
        <v>27.1</v>
      </c>
      <c r="B462">
        <v>3.9200000000000017</v>
      </c>
    </row>
    <row r="463" spans="1:2" x14ac:dyDescent="0.25">
      <c r="A463">
        <v>27.2</v>
      </c>
      <c r="B463">
        <v>3.6799999999999997</v>
      </c>
    </row>
    <row r="464" spans="1:2" x14ac:dyDescent="0.25">
      <c r="A464">
        <v>40.700000000000003</v>
      </c>
      <c r="B464">
        <v>1.0799999999999983</v>
      </c>
    </row>
    <row r="465" spans="1:2" x14ac:dyDescent="0.25">
      <c r="A465">
        <v>23.4</v>
      </c>
      <c r="B465">
        <v>1</v>
      </c>
    </row>
    <row r="466" spans="1:2" x14ac:dyDescent="0.25">
      <c r="A466">
        <v>19.899999999999999</v>
      </c>
      <c r="B466">
        <v>0.43999999999999773</v>
      </c>
    </row>
    <row r="467" spans="1:2" x14ac:dyDescent="0.25">
      <c r="A467">
        <v>22.1</v>
      </c>
      <c r="B467">
        <v>3.1600000000000037</v>
      </c>
    </row>
    <row r="468" spans="1:2" x14ac:dyDescent="0.25">
      <c r="A468">
        <v>24.3</v>
      </c>
    </row>
    <row r="469" spans="1:2" x14ac:dyDescent="0.25">
      <c r="A469">
        <v>24.3</v>
      </c>
    </row>
    <row r="470" spans="1:2" x14ac:dyDescent="0.25">
      <c r="A470">
        <v>19.399999999999999</v>
      </c>
    </row>
    <row r="471" spans="1:2" x14ac:dyDescent="0.25">
      <c r="A471">
        <v>18.2</v>
      </c>
    </row>
    <row r="472" spans="1:2" x14ac:dyDescent="0.25">
      <c r="A472">
        <v>21</v>
      </c>
    </row>
    <row r="473" spans="1:2" x14ac:dyDescent="0.25">
      <c r="A473">
        <v>20.6</v>
      </c>
    </row>
    <row r="474" spans="1:2" x14ac:dyDescent="0.25">
      <c r="A474">
        <v>21.2</v>
      </c>
    </row>
    <row r="475" spans="1:2" x14ac:dyDescent="0.25">
      <c r="A475">
        <v>21.4</v>
      </c>
    </row>
    <row r="476" spans="1:2" x14ac:dyDescent="0.25">
      <c r="A476">
        <v>23.7</v>
      </c>
    </row>
    <row r="477" spans="1:2" x14ac:dyDescent="0.25">
      <c r="A477">
        <v>25.6</v>
      </c>
    </row>
    <row r="478" spans="1:2" x14ac:dyDescent="0.25">
      <c r="A478">
        <v>23.4</v>
      </c>
    </row>
    <row r="479" spans="1:2" x14ac:dyDescent="0.25">
      <c r="A479">
        <v>20.7</v>
      </c>
    </row>
    <row r="480" spans="1:2" x14ac:dyDescent="0.25">
      <c r="A480">
        <v>25.5</v>
      </c>
    </row>
    <row r="481" spans="1:1" x14ac:dyDescent="0.25">
      <c r="A481">
        <v>26.2</v>
      </c>
    </row>
    <row r="482" spans="1:1" x14ac:dyDescent="0.25">
      <c r="A482">
        <v>30.6</v>
      </c>
    </row>
    <row r="483" spans="1:1" x14ac:dyDescent="0.25">
      <c r="A483">
        <v>27.3</v>
      </c>
    </row>
    <row r="484" spans="1:1" x14ac:dyDescent="0.25">
      <c r="A484">
        <v>6.2</v>
      </c>
    </row>
    <row r="485" spans="1:1" x14ac:dyDescent="0.25">
      <c r="A485">
        <v>20.7</v>
      </c>
    </row>
    <row r="486" spans="1:1" x14ac:dyDescent="0.25">
      <c r="A486">
        <v>9.5</v>
      </c>
    </row>
    <row r="487" spans="1:1" x14ac:dyDescent="0.25">
      <c r="A487">
        <v>26</v>
      </c>
    </row>
    <row r="488" spans="1:1" x14ac:dyDescent="0.25">
      <c r="A488">
        <v>23.1</v>
      </c>
    </row>
  </sheetData>
  <mergeCells count="12">
    <mergeCell ref="V79:V80"/>
    <mergeCell ref="W79:W80"/>
    <mergeCell ref="X79:X80"/>
    <mergeCell ref="Y6:Y7"/>
    <mergeCell ref="Z6:Z7"/>
    <mergeCell ref="AA6:AA7"/>
    <mergeCell ref="X54:X55"/>
    <mergeCell ref="V29:V30"/>
    <mergeCell ref="W29:W30"/>
    <mergeCell ref="X29:X30"/>
    <mergeCell ref="V54:V55"/>
    <mergeCell ref="W54:W55"/>
  </mergeCells>
  <conditionalFormatting sqref="G1:G53 G64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{696C4D6C-5294-4ADA-B0ED-064D642D04E5}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6C4D6C-5294-4ADA-B0ED-064D642D0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G1:G53 G64:G1048576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454B-C4F6-4E28-B003-29684C470B39}">
  <sheetPr codeName="Sheet1"/>
  <dimension ref="A1:T117"/>
  <sheetViews>
    <sheetView tabSelected="1" zoomScale="98" zoomScaleNormal="98" zoomScaleSheetLayoutView="110" workbookViewId="0">
      <pane ySplit="1" topLeftCell="A2" activePane="bottomLeft" state="frozen"/>
      <selection pane="bottomLeft" activeCell="L23" sqref="L23"/>
    </sheetView>
  </sheetViews>
  <sheetFormatPr defaultRowHeight="15" x14ac:dyDescent="0.25"/>
  <cols>
    <col min="2" max="2" width="8.7109375" customWidth="1"/>
    <col min="6" max="6" width="11.28515625" customWidth="1"/>
    <col min="13" max="14" width="10" customWidth="1"/>
    <col min="30" max="31" width="9.28515625" bestFit="1" customWidth="1"/>
    <col min="32" max="32" width="9.42578125" bestFit="1" customWidth="1"/>
  </cols>
  <sheetData>
    <row r="1" spans="1:13" ht="45" x14ac:dyDescent="0.25">
      <c r="A1" s="2" t="s">
        <v>23</v>
      </c>
      <c r="B1" s="2" t="s">
        <v>27</v>
      </c>
      <c r="C1" s="2" t="s">
        <v>28</v>
      </c>
      <c r="D1" s="2" t="s">
        <v>15</v>
      </c>
      <c r="E1" s="2" t="s">
        <v>17</v>
      </c>
      <c r="F1" s="20" t="s">
        <v>29</v>
      </c>
      <c r="G1" s="2" t="s">
        <v>26</v>
      </c>
      <c r="H1" s="20" t="s">
        <v>79</v>
      </c>
      <c r="I1" s="20" t="s">
        <v>80</v>
      </c>
      <c r="J1" s="20" t="s">
        <v>52</v>
      </c>
      <c r="K1" s="20" t="s">
        <v>60</v>
      </c>
    </row>
    <row r="2" spans="1:13" x14ac:dyDescent="0.25">
      <c r="A2" s="98">
        <v>3.35</v>
      </c>
      <c r="B2" s="33" t="s">
        <v>30</v>
      </c>
      <c r="C2" s="33" t="s">
        <v>30</v>
      </c>
      <c r="D2" s="34">
        <v>0</v>
      </c>
      <c r="E2" s="34">
        <v>0</v>
      </c>
      <c r="F2" s="34">
        <v>0</v>
      </c>
      <c r="G2" s="33" t="s">
        <v>30</v>
      </c>
      <c r="H2" s="34">
        <v>0</v>
      </c>
      <c r="I2" s="34">
        <v>0</v>
      </c>
      <c r="J2" s="48">
        <v>0</v>
      </c>
      <c r="L2" s="13" t="s">
        <v>15</v>
      </c>
      <c r="M2" s="13" t="s">
        <v>16</v>
      </c>
    </row>
    <row r="3" spans="1:13" x14ac:dyDescent="0.25">
      <c r="A3" s="99"/>
      <c r="B3">
        <v>12</v>
      </c>
      <c r="C3" t="s">
        <v>10</v>
      </c>
      <c r="D3" s="3">
        <v>2.16</v>
      </c>
      <c r="E3">
        <v>9.4</v>
      </c>
      <c r="F3" s="3">
        <v>9.9600000000000026</v>
      </c>
      <c r="G3">
        <v>16.600000000000001</v>
      </c>
      <c r="H3" s="3">
        <f>E3/G3</f>
        <v>0.56626506024096379</v>
      </c>
      <c r="I3" s="3">
        <f>E3/(G3/3.6)</f>
        <v>2.0385542168674697</v>
      </c>
      <c r="J3" s="35">
        <v>1.522331008583691</v>
      </c>
      <c r="L3" s="11">
        <v>0</v>
      </c>
      <c r="M3" s="11">
        <v>0</v>
      </c>
    </row>
    <row r="4" spans="1:13" x14ac:dyDescent="0.25">
      <c r="A4" s="99"/>
      <c r="B4">
        <v>52</v>
      </c>
      <c r="C4" t="s">
        <v>10</v>
      </c>
      <c r="D4" s="3">
        <v>2.6399999999999988</v>
      </c>
      <c r="E4">
        <v>10.42</v>
      </c>
      <c r="F4" s="3">
        <v>12.906666666666663</v>
      </c>
      <c r="G4">
        <v>17.600000000000001</v>
      </c>
      <c r="H4" s="3">
        <f>E4/G4</f>
        <v>0.59204545454545454</v>
      </c>
      <c r="I4" s="3">
        <f t="shared" ref="I4:I67" si="0">E4/(G4/3.6)</f>
        <v>2.1313636363636363</v>
      </c>
      <c r="J4" s="35">
        <v>1.6651866066701959</v>
      </c>
      <c r="L4" s="11">
        <v>0.2</v>
      </c>
      <c r="M4" s="12">
        <f>SLOPE($E$3:$E$117, $D$3:$D$117) * L4 + INTERCEPT($E$3:$E$117, $D$3:$D$117)</f>
        <v>1.9736573441471417</v>
      </c>
    </row>
    <row r="5" spans="1:13" x14ac:dyDescent="0.25">
      <c r="A5" s="99"/>
      <c r="B5">
        <v>120</v>
      </c>
      <c r="C5" t="s">
        <v>10</v>
      </c>
      <c r="D5" s="3">
        <v>1.6799999999999997</v>
      </c>
      <c r="E5">
        <v>8.8800000000000008</v>
      </c>
      <c r="F5" s="3">
        <v>11.199999999999998</v>
      </c>
      <c r="G5">
        <v>24</v>
      </c>
      <c r="H5" s="3">
        <f t="shared" ref="H5" si="1">E5/G5</f>
        <v>0.37000000000000005</v>
      </c>
      <c r="I5" s="3">
        <f t="shared" si="0"/>
        <v>1.3320000000000003</v>
      </c>
      <c r="J5" s="35">
        <v>1.3082723279648609</v>
      </c>
      <c r="L5" s="11">
        <v>0.4</v>
      </c>
      <c r="M5" s="12">
        <f t="shared" ref="M5:M13" si="2">SLOPE($E$3:$E$120, $D$3:$D$120) * L5 + INTERCEPT($E$3:$E$120, $D$3:$D$120)</f>
        <v>2.9232047938883348</v>
      </c>
    </row>
    <row r="6" spans="1:13" x14ac:dyDescent="0.25">
      <c r="A6" s="99"/>
      <c r="B6">
        <v>189</v>
      </c>
      <c r="C6" t="s">
        <v>10</v>
      </c>
      <c r="D6" s="3">
        <v>2.6799999999999997</v>
      </c>
      <c r="E6">
        <v>11.16</v>
      </c>
      <c r="F6" s="3">
        <v>12.95333333333333</v>
      </c>
      <c r="G6">
        <v>17.399999999999999</v>
      </c>
      <c r="H6" s="3">
        <f t="shared" ref="H6:H15" si="3">E6/G6</f>
        <v>0.64137931034482765</v>
      </c>
      <c r="I6" s="3">
        <f t="shared" si="0"/>
        <v>2.3089655172413797</v>
      </c>
      <c r="J6" s="35">
        <v>1.7881767515923568</v>
      </c>
      <c r="L6" s="11">
        <v>0.6</v>
      </c>
      <c r="M6" s="12">
        <f t="shared" si="2"/>
        <v>3.8727522436295279</v>
      </c>
    </row>
    <row r="7" spans="1:13" x14ac:dyDescent="0.25">
      <c r="A7" s="99"/>
      <c r="B7">
        <v>177</v>
      </c>
      <c r="C7" t="s">
        <v>10</v>
      </c>
      <c r="D7" s="3">
        <v>1.5999999999999979</v>
      </c>
      <c r="E7">
        <v>7.12</v>
      </c>
      <c r="F7" s="3">
        <v>6.8888888888888804</v>
      </c>
      <c r="G7">
        <v>15.5</v>
      </c>
      <c r="H7" s="3">
        <f t="shared" si="3"/>
        <v>0.45935483870967742</v>
      </c>
      <c r="I7" s="3">
        <f t="shared" si="0"/>
        <v>1.6536774193548389</v>
      </c>
      <c r="J7" s="35">
        <v>1.1703512115436974</v>
      </c>
      <c r="L7" s="11">
        <v>0.8</v>
      </c>
      <c r="M7" s="12">
        <f t="shared" si="2"/>
        <v>4.8222996933707218</v>
      </c>
    </row>
    <row r="8" spans="1:13" x14ac:dyDescent="0.25">
      <c r="A8" s="99"/>
      <c r="B8">
        <v>197</v>
      </c>
      <c r="C8" t="s">
        <v>10</v>
      </c>
      <c r="D8" s="3">
        <v>1.6000000000000014</v>
      </c>
      <c r="E8">
        <v>5.01</v>
      </c>
      <c r="F8" s="3">
        <v>5.2888888888888932</v>
      </c>
      <c r="G8">
        <v>11.9</v>
      </c>
      <c r="H8" s="3">
        <f t="shared" si="3"/>
        <v>0.42100840336134449</v>
      </c>
      <c r="I8" s="3">
        <f t="shared" si="0"/>
        <v>1.5156302521008405</v>
      </c>
      <c r="J8" s="35">
        <v>0.86595691382765527</v>
      </c>
      <c r="L8" s="11">
        <v>1</v>
      </c>
      <c r="M8" s="12">
        <f t="shared" si="2"/>
        <v>5.7718471431119145</v>
      </c>
    </row>
    <row r="9" spans="1:13" x14ac:dyDescent="0.25">
      <c r="A9" s="99"/>
      <c r="B9">
        <v>203</v>
      </c>
      <c r="C9" t="s">
        <v>10</v>
      </c>
      <c r="D9" s="3">
        <v>1.2000000000000028</v>
      </c>
      <c r="E9">
        <v>4.9000000000000004</v>
      </c>
      <c r="F9" s="3">
        <v>5.8333333333333472</v>
      </c>
      <c r="G9">
        <v>17.5</v>
      </c>
      <c r="H9" s="3">
        <f t="shared" si="3"/>
        <v>0.28000000000000003</v>
      </c>
      <c r="I9" s="3">
        <f t="shared" si="0"/>
        <v>1.0080000000000002</v>
      </c>
      <c r="J9" s="35">
        <v>0.78409090909090917</v>
      </c>
      <c r="L9" s="11">
        <v>1.2</v>
      </c>
      <c r="M9" s="12">
        <f t="shared" si="2"/>
        <v>6.7213945928531071</v>
      </c>
    </row>
    <row r="10" spans="1:13" x14ac:dyDescent="0.25">
      <c r="A10" s="99"/>
      <c r="B10">
        <v>212</v>
      </c>
      <c r="C10" t="s">
        <v>10</v>
      </c>
      <c r="D10" s="3">
        <v>0.79999999999999716</v>
      </c>
      <c r="E10">
        <v>3.62</v>
      </c>
      <c r="F10" s="3">
        <v>3.8222222222222082</v>
      </c>
      <c r="G10">
        <v>17.2</v>
      </c>
      <c r="H10" s="3">
        <f t="shared" si="3"/>
        <v>0.21046511627906977</v>
      </c>
      <c r="I10" s="3">
        <f t="shared" si="0"/>
        <v>0.75767441860465123</v>
      </c>
      <c r="J10" s="35">
        <v>0.58157929749866955</v>
      </c>
      <c r="L10" s="11">
        <v>1.4</v>
      </c>
      <c r="M10" s="12">
        <f t="shared" si="2"/>
        <v>7.6709420425943007</v>
      </c>
    </row>
    <row r="11" spans="1:13" x14ac:dyDescent="0.25">
      <c r="A11" s="99"/>
      <c r="B11">
        <v>233</v>
      </c>
      <c r="C11" t="s">
        <v>10</v>
      </c>
      <c r="D11" s="3">
        <v>1.4799999999999969</v>
      </c>
      <c r="E11">
        <v>4.8099999999999996</v>
      </c>
      <c r="F11" s="3">
        <v>6.2077777777777641</v>
      </c>
      <c r="G11">
        <v>15.1</v>
      </c>
      <c r="H11" s="3">
        <f t="shared" si="3"/>
        <v>0.31854304635761588</v>
      </c>
      <c r="I11" s="3">
        <f t="shared" si="0"/>
        <v>1.1467549668874171</v>
      </c>
      <c r="J11" s="35">
        <v>0.79497330960854073</v>
      </c>
      <c r="L11" s="11">
        <v>1.6</v>
      </c>
      <c r="M11" s="12">
        <f t="shared" si="2"/>
        <v>8.6204894923354942</v>
      </c>
    </row>
    <row r="12" spans="1:13" x14ac:dyDescent="0.25">
      <c r="A12" s="99" t="s">
        <v>53</v>
      </c>
      <c r="B12">
        <v>22</v>
      </c>
      <c r="C12" t="s">
        <v>10</v>
      </c>
      <c r="D12" s="3">
        <v>1.7999999999999998</v>
      </c>
      <c r="E12">
        <v>8.2200000000000006</v>
      </c>
      <c r="F12" s="3">
        <v>10.199999999999998</v>
      </c>
      <c r="G12">
        <v>20.399999999999999</v>
      </c>
      <c r="H12" s="3">
        <f t="shared" si="3"/>
        <v>0.4029411764705883</v>
      </c>
      <c r="I12" s="3">
        <f t="shared" si="0"/>
        <v>1.450588235294118</v>
      </c>
      <c r="J12" s="35">
        <v>1.2666730474732009</v>
      </c>
      <c r="L12" s="11">
        <v>1.8</v>
      </c>
      <c r="M12" s="12">
        <f t="shared" si="2"/>
        <v>9.5700369420766869</v>
      </c>
    </row>
    <row r="13" spans="1:13" x14ac:dyDescent="0.25">
      <c r="A13" s="99"/>
      <c r="B13">
        <v>33</v>
      </c>
      <c r="C13" t="s">
        <v>10</v>
      </c>
      <c r="D13" s="3">
        <v>1.08</v>
      </c>
      <c r="E13">
        <v>3.4</v>
      </c>
      <c r="F13" s="3">
        <v>4.7400000000000011</v>
      </c>
      <c r="G13">
        <v>15.8</v>
      </c>
      <c r="H13" s="3">
        <f t="shared" si="3"/>
        <v>0.2151898734177215</v>
      </c>
      <c r="I13" s="3">
        <f t="shared" si="0"/>
        <v>0.77468354430379738</v>
      </c>
      <c r="J13" s="35">
        <v>0.55660249457700639</v>
      </c>
      <c r="L13" s="11">
        <v>2</v>
      </c>
      <c r="M13" s="12">
        <f t="shared" si="2"/>
        <v>10.51958439181788</v>
      </c>
    </row>
    <row r="14" spans="1:13" x14ac:dyDescent="0.25">
      <c r="A14" s="99"/>
      <c r="B14">
        <v>80</v>
      </c>
      <c r="C14" t="s">
        <v>10</v>
      </c>
      <c r="D14" s="3">
        <v>2.0400000000000009</v>
      </c>
      <c r="E14">
        <v>8.91</v>
      </c>
      <c r="F14" s="3">
        <v>13.600000000000005</v>
      </c>
      <c r="G14">
        <v>24</v>
      </c>
      <c r="H14" s="3">
        <f t="shared" si="3"/>
        <v>0.37125000000000002</v>
      </c>
      <c r="I14" s="3">
        <f t="shared" si="0"/>
        <v>1.3365000000000002</v>
      </c>
      <c r="J14" s="35">
        <v>1.3126921669106881</v>
      </c>
    </row>
    <row r="15" spans="1:13" x14ac:dyDescent="0.25">
      <c r="A15" s="100"/>
      <c r="B15">
        <v>127</v>
      </c>
      <c r="C15" t="s">
        <v>10</v>
      </c>
      <c r="D15" s="3">
        <v>1.7999999999999972</v>
      </c>
      <c r="E15">
        <v>7.97</v>
      </c>
      <c r="F15" s="3">
        <v>6.9499999999999886</v>
      </c>
      <c r="G15">
        <v>13.9</v>
      </c>
      <c r="H15" s="3">
        <f t="shared" si="3"/>
        <v>0.57338129496402879</v>
      </c>
      <c r="I15" s="3">
        <f t="shared" si="0"/>
        <v>2.0641726618705034</v>
      </c>
      <c r="J15" s="35">
        <v>1.3392394934595047</v>
      </c>
    </row>
    <row r="16" spans="1:13" x14ac:dyDescent="0.25">
      <c r="A16" s="98">
        <v>3.01</v>
      </c>
      <c r="B16" s="41">
        <v>62</v>
      </c>
      <c r="C16" s="34" t="s">
        <v>10</v>
      </c>
      <c r="D16" s="34">
        <v>1.2400000000000002</v>
      </c>
      <c r="E16" s="34">
        <v>8.11</v>
      </c>
      <c r="F16" s="39">
        <v>6.2000000000000011</v>
      </c>
      <c r="G16" s="34">
        <v>18</v>
      </c>
      <c r="H16" s="39">
        <f t="shared" ref="H16:H63" si="4">E16/G16</f>
        <v>0.45055555555555554</v>
      </c>
      <c r="I16" s="3">
        <f t="shared" si="0"/>
        <v>1.6219999999999999</v>
      </c>
      <c r="J16" s="40">
        <v>1.2892081358609795</v>
      </c>
    </row>
    <row r="17" spans="1:10" x14ac:dyDescent="0.25">
      <c r="A17" s="99"/>
      <c r="B17" s="42">
        <v>10</v>
      </c>
      <c r="C17" t="s">
        <v>10</v>
      </c>
      <c r="D17">
        <v>1.3599999999999994</v>
      </c>
      <c r="E17">
        <v>3.83</v>
      </c>
      <c r="F17" s="3">
        <v>6.4222222222222189</v>
      </c>
      <c r="G17">
        <v>17</v>
      </c>
      <c r="H17" s="3">
        <f t="shared" si="4"/>
        <v>0.22529411764705884</v>
      </c>
      <c r="I17" s="3">
        <f t="shared" si="0"/>
        <v>0.81105882352941172</v>
      </c>
      <c r="J17" s="35">
        <v>0.61695904482390607</v>
      </c>
    </row>
    <row r="18" spans="1:10" x14ac:dyDescent="0.25">
      <c r="A18" s="99"/>
      <c r="B18" s="42">
        <v>61</v>
      </c>
      <c r="C18" t="s">
        <v>10</v>
      </c>
      <c r="D18">
        <v>1.6000000000000014</v>
      </c>
      <c r="E18">
        <v>9.01</v>
      </c>
      <c r="F18" s="3">
        <v>6.3111111111111162</v>
      </c>
      <c r="G18">
        <v>14.2</v>
      </c>
      <c r="H18" s="3">
        <f t="shared" si="4"/>
        <v>0.63450704225352117</v>
      </c>
      <c r="I18" s="3">
        <f t="shared" si="0"/>
        <v>2.2842253521126761</v>
      </c>
      <c r="J18" s="35">
        <v>1.507701635254989</v>
      </c>
    </row>
    <row r="19" spans="1:10" x14ac:dyDescent="0.25">
      <c r="A19" s="99"/>
      <c r="B19" s="42">
        <v>82</v>
      </c>
      <c r="C19" t="s">
        <v>10</v>
      </c>
      <c r="D19">
        <v>3.9999999999999147E-2</v>
      </c>
      <c r="E19">
        <v>0.26</v>
      </c>
      <c r="F19" s="3">
        <v>0.20777777777777334</v>
      </c>
      <c r="G19">
        <v>18.7</v>
      </c>
      <c r="H19" s="3">
        <f t="shared" si="4"/>
        <v>1.3903743315508022E-2</v>
      </c>
      <c r="I19" s="3">
        <f t="shared" si="0"/>
        <v>5.0053475935828887E-2</v>
      </c>
      <c r="J19" s="35">
        <v>4.0953561179232982E-2</v>
      </c>
    </row>
    <row r="20" spans="1:10" x14ac:dyDescent="0.25">
      <c r="A20" s="99"/>
      <c r="B20" s="42">
        <v>92</v>
      </c>
      <c r="C20" t="s">
        <v>10</v>
      </c>
      <c r="D20">
        <v>2.0799999999999983</v>
      </c>
      <c r="E20">
        <v>10.18</v>
      </c>
      <c r="F20" s="3">
        <v>8.6088888888888828</v>
      </c>
      <c r="G20">
        <v>14.9</v>
      </c>
      <c r="H20" s="3">
        <f t="shared" si="4"/>
        <v>0.68322147651006704</v>
      </c>
      <c r="I20" s="3">
        <f t="shared" si="0"/>
        <v>2.4595973154362412</v>
      </c>
      <c r="J20" s="35">
        <v>1.6871191325830361</v>
      </c>
    </row>
    <row r="21" spans="1:10" x14ac:dyDescent="0.25">
      <c r="A21" s="99"/>
      <c r="B21" s="42">
        <v>109</v>
      </c>
      <c r="C21" t="s">
        <v>10</v>
      </c>
      <c r="D21">
        <v>2.8800000000000026</v>
      </c>
      <c r="E21" s="3">
        <v>13.04</v>
      </c>
      <c r="F21">
        <v>17.280000000000015</v>
      </c>
      <c r="G21">
        <v>21.6</v>
      </c>
      <c r="H21" s="3">
        <f t="shared" si="4"/>
        <v>0.60370370370370363</v>
      </c>
      <c r="I21" s="3">
        <f t="shared" si="0"/>
        <v>2.1733333333333333</v>
      </c>
      <c r="J21" s="35">
        <v>1.9791101055806939</v>
      </c>
    </row>
    <row r="22" spans="1:10" x14ac:dyDescent="0.25">
      <c r="A22" s="99"/>
      <c r="B22">
        <v>161</v>
      </c>
      <c r="C22" t="s">
        <v>10</v>
      </c>
      <c r="D22">
        <v>1.8000000000000007</v>
      </c>
      <c r="E22">
        <v>7.9</v>
      </c>
      <c r="F22" s="3">
        <v>9.7500000000000036</v>
      </c>
      <c r="G22">
        <v>19.5</v>
      </c>
      <c r="H22" s="3">
        <f t="shared" si="4"/>
        <v>0.40512820512820513</v>
      </c>
      <c r="I22" s="3">
        <f t="shared" si="0"/>
        <v>1.4584615384615385</v>
      </c>
      <c r="J22" s="35">
        <v>1.2315065840433772</v>
      </c>
    </row>
    <row r="23" spans="1:10" x14ac:dyDescent="0.25">
      <c r="A23" s="99"/>
      <c r="B23">
        <v>260</v>
      </c>
      <c r="C23" t="s">
        <v>10</v>
      </c>
      <c r="D23">
        <v>2</v>
      </c>
      <c r="E23">
        <v>11.64</v>
      </c>
      <c r="F23" s="3">
        <v>14</v>
      </c>
      <c r="G23">
        <v>25.2</v>
      </c>
      <c r="H23" s="3">
        <f t="shared" si="4"/>
        <v>0.46190476190476193</v>
      </c>
      <c r="I23" s="3">
        <f t="shared" si="0"/>
        <v>1.662857142857143</v>
      </c>
      <c r="J23" s="35">
        <v>1.6901515151515154</v>
      </c>
    </row>
    <row r="24" spans="1:10" x14ac:dyDescent="0.25">
      <c r="A24" s="98">
        <v>8.15</v>
      </c>
      <c r="B24" s="41">
        <v>4</v>
      </c>
      <c r="C24" s="34" t="s">
        <v>10</v>
      </c>
      <c r="D24" s="34">
        <v>1.9600000000000004</v>
      </c>
      <c r="E24" s="34">
        <v>11.34</v>
      </c>
      <c r="F24" s="39">
        <v>12.848888888888892</v>
      </c>
      <c r="G24" s="34">
        <v>23.6</v>
      </c>
      <c r="H24" s="39">
        <f t="shared" si="4"/>
        <v>0.48050847457627116</v>
      </c>
      <c r="I24" s="3">
        <f t="shared" si="0"/>
        <v>1.7298305084745762</v>
      </c>
      <c r="J24" s="40">
        <v>1.6788928396272684</v>
      </c>
    </row>
    <row r="25" spans="1:10" x14ac:dyDescent="0.25">
      <c r="A25" s="99"/>
      <c r="B25" s="42">
        <v>6</v>
      </c>
      <c r="C25" t="s">
        <v>10</v>
      </c>
      <c r="D25">
        <v>0.59999999999999964</v>
      </c>
      <c r="E25">
        <v>4.5199999999999996</v>
      </c>
      <c r="F25" s="3">
        <v>2.6833333333333318</v>
      </c>
      <c r="G25">
        <v>16.100000000000001</v>
      </c>
      <c r="H25" s="3">
        <f t="shared" si="4"/>
        <v>0.28074534161490677</v>
      </c>
      <c r="I25" s="3">
        <f t="shared" si="0"/>
        <v>1.0106832298136645</v>
      </c>
      <c r="J25" s="35">
        <v>0.7369565217391304</v>
      </c>
    </row>
    <row r="26" spans="1:10" x14ac:dyDescent="0.25">
      <c r="A26" s="99"/>
      <c r="B26" s="42">
        <v>15</v>
      </c>
      <c r="C26" t="s">
        <v>10</v>
      </c>
      <c r="D26">
        <v>0.91999999999999993</v>
      </c>
      <c r="E26">
        <v>1.5</v>
      </c>
      <c r="F26" s="3">
        <v>7.9988888888888887</v>
      </c>
      <c r="G26">
        <v>31.3</v>
      </c>
      <c r="H26" s="3">
        <f t="shared" si="4"/>
        <v>4.7923322683706068E-2</v>
      </c>
      <c r="I26" s="3">
        <f t="shared" si="0"/>
        <v>0.17252396166134185</v>
      </c>
      <c r="J26" s="35">
        <v>0.20291844051086713</v>
      </c>
    </row>
    <row r="27" spans="1:10" x14ac:dyDescent="0.25">
      <c r="A27" s="99"/>
      <c r="B27" s="42">
        <v>23</v>
      </c>
      <c r="C27" t="s">
        <v>10</v>
      </c>
      <c r="D27">
        <v>1.08</v>
      </c>
      <c r="E27">
        <v>9.11</v>
      </c>
      <c r="F27" s="3">
        <v>5.9400000000000013</v>
      </c>
      <c r="G27">
        <v>19.8</v>
      </c>
      <c r="H27" s="3">
        <f t="shared" si="4"/>
        <v>0.46010101010101007</v>
      </c>
      <c r="I27" s="3">
        <f t="shared" si="0"/>
        <v>1.6563636363636363</v>
      </c>
      <c r="J27" s="35">
        <v>1.4146508487654321</v>
      </c>
    </row>
    <row r="28" spans="1:10" x14ac:dyDescent="0.25">
      <c r="A28" s="99"/>
      <c r="B28">
        <v>90</v>
      </c>
      <c r="C28" t="s">
        <v>10</v>
      </c>
      <c r="D28">
        <v>1.879999999999999</v>
      </c>
      <c r="E28">
        <v>11.21</v>
      </c>
      <c r="F28" s="3">
        <v>13.264444444444436</v>
      </c>
      <c r="G28">
        <v>25.4</v>
      </c>
      <c r="H28" s="3">
        <f t="shared" si="4"/>
        <v>0.44133858267716541</v>
      </c>
      <c r="I28" s="3">
        <f t="shared" si="0"/>
        <v>1.5888188976377955</v>
      </c>
      <c r="J28" s="35">
        <v>1.6238093809980809</v>
      </c>
    </row>
    <row r="29" spans="1:10" x14ac:dyDescent="0.25">
      <c r="A29" s="99"/>
      <c r="B29">
        <v>137</v>
      </c>
      <c r="C29" t="s">
        <v>10</v>
      </c>
      <c r="D29">
        <v>3.120000000000001</v>
      </c>
      <c r="E29">
        <v>16.72</v>
      </c>
      <c r="F29" s="3">
        <v>19.673333333333339</v>
      </c>
      <c r="G29">
        <v>22.7</v>
      </c>
      <c r="H29" s="3">
        <f t="shared" si="4"/>
        <v>0.73656387665198231</v>
      </c>
      <c r="I29" s="3">
        <f t="shared" si="0"/>
        <v>2.6516299559471364</v>
      </c>
      <c r="J29" s="35">
        <v>2.5030250433920158</v>
      </c>
    </row>
    <row r="30" spans="1:10" x14ac:dyDescent="0.25">
      <c r="A30" s="99"/>
      <c r="B30">
        <v>165</v>
      </c>
      <c r="C30" t="s">
        <v>10</v>
      </c>
      <c r="D30">
        <v>2.3200000000000003</v>
      </c>
      <c r="E30">
        <v>16.59</v>
      </c>
      <c r="F30" s="3">
        <v>19.011111111111113</v>
      </c>
      <c r="G30">
        <v>29.5</v>
      </c>
      <c r="H30" s="3">
        <f t="shared" si="4"/>
        <v>0.56237288135593222</v>
      </c>
      <c r="I30" s="3">
        <f t="shared" si="0"/>
        <v>2.0245423728813559</v>
      </c>
      <c r="J30" s="35">
        <v>2.2904670706608736</v>
      </c>
    </row>
    <row r="31" spans="1:10" x14ac:dyDescent="0.25">
      <c r="A31" s="99"/>
      <c r="B31">
        <v>177</v>
      </c>
      <c r="C31" t="s">
        <v>10</v>
      </c>
      <c r="D31">
        <v>2.759999999999998</v>
      </c>
      <c r="E31">
        <v>17.5</v>
      </c>
      <c r="F31" s="3">
        <v>21.619999999999983</v>
      </c>
      <c r="G31">
        <v>28.2</v>
      </c>
      <c r="H31" s="3">
        <f t="shared" si="4"/>
        <v>0.62056737588652489</v>
      </c>
      <c r="I31" s="3">
        <f t="shared" si="0"/>
        <v>2.2340425531914896</v>
      </c>
      <c r="J31" s="35">
        <v>2.4525591922005572</v>
      </c>
    </row>
    <row r="32" spans="1:10" x14ac:dyDescent="0.25">
      <c r="A32" s="99"/>
      <c r="B32">
        <v>188</v>
      </c>
      <c r="C32" t="s">
        <v>10</v>
      </c>
      <c r="D32">
        <v>2.0400000000000027</v>
      </c>
      <c r="E32">
        <v>13.26</v>
      </c>
      <c r="F32" s="3">
        <v>14.790000000000019</v>
      </c>
      <c r="G32">
        <v>26.1</v>
      </c>
      <c r="H32" s="3">
        <f t="shared" si="4"/>
        <v>0.50804597701149423</v>
      </c>
      <c r="I32" s="3">
        <f t="shared" si="0"/>
        <v>1.8289655172413792</v>
      </c>
      <c r="J32" s="35">
        <v>1.9047644539614563</v>
      </c>
    </row>
    <row r="33" spans="1:19" x14ac:dyDescent="0.25">
      <c r="A33" s="43" t="s">
        <v>54</v>
      </c>
      <c r="B33" s="42">
        <v>147</v>
      </c>
      <c r="C33" t="s">
        <v>10</v>
      </c>
      <c r="D33">
        <v>1.759999999999998</v>
      </c>
      <c r="E33">
        <v>10.949999809265099</v>
      </c>
      <c r="F33" s="3">
        <v>11.43999981350364</v>
      </c>
      <c r="G33">
        <v>23.399999618530199</v>
      </c>
      <c r="H33" s="3">
        <f t="shared" si="4"/>
        <v>0.46794871742621386</v>
      </c>
      <c r="I33" s="3">
        <f t="shared" si="0"/>
        <v>1.6846153827343699</v>
      </c>
      <c r="J33" s="35">
        <v>1.6251382536481964</v>
      </c>
    </row>
    <row r="34" spans="1:19" x14ac:dyDescent="0.25">
      <c r="A34" s="98">
        <v>8.58</v>
      </c>
      <c r="B34" s="34">
        <v>13</v>
      </c>
      <c r="C34" s="34" t="s">
        <v>10</v>
      </c>
      <c r="D34" s="34">
        <v>2.8800000000000003</v>
      </c>
      <c r="E34" s="34">
        <v>16.64</v>
      </c>
      <c r="F34" s="34">
        <v>15.280000000000003</v>
      </c>
      <c r="G34" s="34">
        <v>19.100000000000001</v>
      </c>
      <c r="H34" s="39">
        <f t="shared" si="4"/>
        <v>0.87120418848167536</v>
      </c>
      <c r="I34" s="3">
        <f t="shared" si="0"/>
        <v>3.1363350785340312</v>
      </c>
      <c r="J34" s="40">
        <v>2.60742278743836</v>
      </c>
    </row>
    <row r="35" spans="1:19" x14ac:dyDescent="0.25">
      <c r="A35" s="99"/>
      <c r="B35">
        <v>3</v>
      </c>
      <c r="C35" t="s">
        <v>10</v>
      </c>
      <c r="D35">
        <v>0.20000000000000018</v>
      </c>
      <c r="E35">
        <v>1.67</v>
      </c>
      <c r="F35" s="3">
        <v>0.82222222222222296</v>
      </c>
      <c r="G35">
        <v>14.8</v>
      </c>
      <c r="H35" s="3">
        <f t="shared" si="4"/>
        <v>0.11283783783783782</v>
      </c>
      <c r="I35" s="3">
        <f t="shared" si="0"/>
        <v>0.40621621621621617</v>
      </c>
      <c r="J35" s="35">
        <v>0.27714747113798788</v>
      </c>
    </row>
    <row r="36" spans="1:19" x14ac:dyDescent="0.25">
      <c r="A36" s="99"/>
      <c r="B36">
        <v>18</v>
      </c>
      <c r="C36" t="s">
        <v>10</v>
      </c>
      <c r="D36">
        <v>3.0399999999999991</v>
      </c>
      <c r="E36">
        <v>12.69</v>
      </c>
      <c r="F36" s="3">
        <v>17.057777777777773</v>
      </c>
      <c r="G36">
        <v>20.2</v>
      </c>
      <c r="H36" s="3">
        <f t="shared" si="4"/>
        <v>0.62821782178217822</v>
      </c>
      <c r="I36" s="3">
        <f t="shared" si="0"/>
        <v>2.2615841584158418</v>
      </c>
      <c r="J36" s="35">
        <v>1.9604881013306041</v>
      </c>
    </row>
    <row r="37" spans="1:19" x14ac:dyDescent="0.25">
      <c r="A37" s="99"/>
      <c r="B37">
        <v>54</v>
      </c>
      <c r="C37" t="s">
        <v>10</v>
      </c>
      <c r="D37">
        <v>1.3599999999999994</v>
      </c>
      <c r="E37">
        <v>8.36</v>
      </c>
      <c r="F37" s="3">
        <v>8.3488888888888866</v>
      </c>
      <c r="G37">
        <v>22.1</v>
      </c>
      <c r="H37" s="3">
        <f t="shared" si="4"/>
        <v>0.37828054298642527</v>
      </c>
      <c r="I37" s="3">
        <f t="shared" si="0"/>
        <v>1.3618099547511311</v>
      </c>
      <c r="J37" s="35">
        <v>1.260891831126655</v>
      </c>
    </row>
    <row r="38" spans="1:19" x14ac:dyDescent="0.25">
      <c r="A38" s="99"/>
      <c r="B38">
        <v>162</v>
      </c>
      <c r="C38" t="s">
        <v>10</v>
      </c>
      <c r="D38">
        <v>1.4400000000000013</v>
      </c>
      <c r="E38">
        <v>11.96</v>
      </c>
      <c r="F38" s="3">
        <v>11.760000000000009</v>
      </c>
      <c r="G38">
        <v>29.4</v>
      </c>
      <c r="H38" s="3">
        <f t="shared" si="4"/>
        <v>0.4068027210884354</v>
      </c>
      <c r="I38" s="3">
        <f t="shared" si="0"/>
        <v>1.4644897959183676</v>
      </c>
      <c r="J38" s="35">
        <v>1.6531250000000002</v>
      </c>
    </row>
    <row r="39" spans="1:19" x14ac:dyDescent="0.25">
      <c r="A39" s="99"/>
      <c r="B39">
        <v>211</v>
      </c>
      <c r="C39" t="s">
        <v>10</v>
      </c>
      <c r="D39">
        <v>2.2799999999999976</v>
      </c>
      <c r="E39">
        <v>13.82</v>
      </c>
      <c r="F39" s="3">
        <v>17.416666666666647</v>
      </c>
      <c r="G39">
        <v>27.5</v>
      </c>
      <c r="H39" s="3">
        <f t="shared" si="4"/>
        <v>0.50254545454545452</v>
      </c>
      <c r="I39" s="3">
        <f t="shared" si="0"/>
        <v>1.8091636363636365</v>
      </c>
      <c r="J39" s="35">
        <v>1.9526854668850926</v>
      </c>
    </row>
    <row r="40" spans="1:19" x14ac:dyDescent="0.25">
      <c r="A40" s="100"/>
      <c r="B40" s="36">
        <v>259</v>
      </c>
      <c r="C40" s="36" t="s">
        <v>10</v>
      </c>
      <c r="D40" s="36">
        <v>2</v>
      </c>
      <c r="E40" s="36">
        <v>11.4</v>
      </c>
      <c r="F40" s="36">
        <v>8.5</v>
      </c>
      <c r="G40" s="36">
        <v>15.3</v>
      </c>
      <c r="H40" s="37">
        <f t="shared" si="4"/>
        <v>0.74509803921568629</v>
      </c>
      <c r="I40" s="3">
        <f t="shared" si="0"/>
        <v>2.6823529411764708</v>
      </c>
      <c r="J40" s="38">
        <v>1.9604881013306041</v>
      </c>
    </row>
    <row r="41" spans="1:19" x14ac:dyDescent="0.25">
      <c r="A41" s="98">
        <v>9.0299999999999994</v>
      </c>
      <c r="B41" s="41">
        <v>26</v>
      </c>
      <c r="C41" s="34" t="s">
        <v>10</v>
      </c>
      <c r="D41" s="34">
        <v>1.04</v>
      </c>
      <c r="E41" s="34">
        <v>9.0399999999999991</v>
      </c>
      <c r="F41" s="34">
        <v>5.7200000000000006</v>
      </c>
      <c r="G41" s="34">
        <v>19.8</v>
      </c>
      <c r="H41" s="39">
        <f t="shared" si="4"/>
        <v>0.45656565656565651</v>
      </c>
      <c r="I41" s="3">
        <f t="shared" si="0"/>
        <v>1.6436363636363636</v>
      </c>
      <c r="J41" s="40">
        <v>1.4037808641975309</v>
      </c>
    </row>
    <row r="42" spans="1:19" x14ac:dyDescent="0.25">
      <c r="A42" s="99"/>
      <c r="B42" s="42">
        <v>19</v>
      </c>
      <c r="C42" t="s">
        <v>10</v>
      </c>
      <c r="D42">
        <v>0.67999999999999972</v>
      </c>
      <c r="E42">
        <v>1.89</v>
      </c>
      <c r="F42" s="3">
        <v>4.0988888888888866</v>
      </c>
      <c r="G42">
        <v>21.7</v>
      </c>
      <c r="H42" s="3">
        <f t="shared" si="4"/>
        <v>8.7096774193548387E-2</v>
      </c>
      <c r="I42" s="3">
        <f t="shared" si="0"/>
        <v>0.31354838709677418</v>
      </c>
      <c r="J42" s="35">
        <v>0.28648945518453428</v>
      </c>
    </row>
    <row r="43" spans="1:19" x14ac:dyDescent="0.25">
      <c r="A43" s="99"/>
      <c r="B43" s="42">
        <v>44</v>
      </c>
      <c r="C43" t="s">
        <v>10</v>
      </c>
      <c r="D43">
        <v>0.87999999999999901</v>
      </c>
      <c r="E43">
        <v>6.1</v>
      </c>
      <c r="F43" s="3">
        <v>5.3533333333333273</v>
      </c>
      <c r="G43">
        <v>21.9</v>
      </c>
      <c r="H43" s="3">
        <f t="shared" si="4"/>
        <v>0.27853881278538811</v>
      </c>
      <c r="I43" s="3">
        <f t="shared" si="0"/>
        <v>1.0027397260273974</v>
      </c>
      <c r="J43" s="35">
        <v>0.92233283245679931</v>
      </c>
    </row>
    <row r="44" spans="1:19" x14ac:dyDescent="0.25">
      <c r="A44" s="99"/>
      <c r="B44" s="42">
        <v>96</v>
      </c>
      <c r="C44" t="s">
        <v>10</v>
      </c>
      <c r="D44">
        <v>1.9199999999999982</v>
      </c>
      <c r="E44">
        <v>11.05</v>
      </c>
      <c r="F44" s="3">
        <v>9.2266666666666595</v>
      </c>
      <c r="G44">
        <v>17.3</v>
      </c>
      <c r="H44" s="3">
        <f t="shared" si="4"/>
        <v>0.63872832369942201</v>
      </c>
      <c r="I44" s="3">
        <f t="shared" si="0"/>
        <v>2.2994219653179195</v>
      </c>
      <c r="J44" s="35">
        <v>1.7729039330321557</v>
      </c>
    </row>
    <row r="45" spans="1:19" x14ac:dyDescent="0.25">
      <c r="A45" s="99"/>
      <c r="B45" s="42">
        <v>86</v>
      </c>
      <c r="C45" t="s">
        <v>10</v>
      </c>
      <c r="D45">
        <v>1.120000000000001</v>
      </c>
      <c r="E45">
        <v>6.47</v>
      </c>
      <c r="F45" s="3">
        <v>7.093333333333339</v>
      </c>
      <c r="G45">
        <v>22.8</v>
      </c>
      <c r="H45" s="3">
        <f t="shared" si="4"/>
        <v>0.2837719298245614</v>
      </c>
      <c r="I45" s="3">
        <f t="shared" si="0"/>
        <v>1.0215789473684211</v>
      </c>
      <c r="J45" s="35">
        <v>0.96737555720653789</v>
      </c>
    </row>
    <row r="46" spans="1:19" x14ac:dyDescent="0.25">
      <c r="A46" s="99"/>
      <c r="B46" s="42">
        <v>109</v>
      </c>
      <c r="C46" t="s">
        <v>10</v>
      </c>
      <c r="D46">
        <v>0.60000000000000142</v>
      </c>
      <c r="E46">
        <v>2.48</v>
      </c>
      <c r="F46" s="3">
        <v>3.4000000000000079</v>
      </c>
      <c r="G46">
        <v>20.399999999999999</v>
      </c>
      <c r="H46" s="3">
        <f t="shared" si="4"/>
        <v>0.1215686274509804</v>
      </c>
      <c r="I46" s="3">
        <f t="shared" si="0"/>
        <v>0.43764705882352944</v>
      </c>
      <c r="J46" s="35">
        <v>0.38215926493108732</v>
      </c>
    </row>
    <row r="47" spans="1:19" ht="15.75" x14ac:dyDescent="0.25">
      <c r="A47" s="99"/>
      <c r="B47" s="42">
        <v>192</v>
      </c>
      <c r="C47" t="s">
        <v>10</v>
      </c>
      <c r="D47">
        <v>2.240000000000002</v>
      </c>
      <c r="E47">
        <v>9.8000000000000007</v>
      </c>
      <c r="F47" s="3">
        <v>11.635555555555564</v>
      </c>
      <c r="G47">
        <v>18.7</v>
      </c>
      <c r="H47" s="3">
        <f t="shared" si="4"/>
        <v>0.52406417112299475</v>
      </c>
      <c r="I47" s="3">
        <f t="shared" si="0"/>
        <v>1.8866310160427811</v>
      </c>
      <c r="J47" s="35">
        <v>1.5436342290633971</v>
      </c>
      <c r="M47" s="96" t="s">
        <v>78</v>
      </c>
      <c r="N47" s="96"/>
      <c r="O47" s="96"/>
      <c r="P47" s="96"/>
      <c r="Q47" s="96"/>
      <c r="R47" s="96"/>
      <c r="S47" s="96"/>
    </row>
    <row r="48" spans="1:19" x14ac:dyDescent="0.25">
      <c r="A48" s="100"/>
      <c r="B48" s="36">
        <v>235</v>
      </c>
      <c r="C48" s="36" t="s">
        <v>10</v>
      </c>
      <c r="D48" s="36">
        <v>0.35999999999999943</v>
      </c>
      <c r="E48" s="36">
        <v>2.46</v>
      </c>
      <c r="F48" s="36">
        <v>2.3899999999999961</v>
      </c>
      <c r="G48" s="36">
        <v>23.9</v>
      </c>
      <c r="H48" s="37">
        <f t="shared" si="4"/>
        <v>0.10292887029288704</v>
      </c>
      <c r="I48" s="3">
        <f t="shared" si="0"/>
        <v>0.37054393305439332</v>
      </c>
      <c r="J48" s="38">
        <v>0.36286953334962135</v>
      </c>
      <c r="M48" s="101" t="s">
        <v>73</v>
      </c>
      <c r="N48" s="101" t="s">
        <v>39</v>
      </c>
      <c r="O48" s="95" t="s">
        <v>62</v>
      </c>
      <c r="P48" s="95"/>
      <c r="Q48" s="95"/>
      <c r="R48" s="95"/>
      <c r="S48" s="95"/>
    </row>
    <row r="49" spans="1:20" x14ac:dyDescent="0.25">
      <c r="A49" s="98">
        <v>12.07</v>
      </c>
      <c r="B49" s="42">
        <v>57</v>
      </c>
      <c r="C49" t="s">
        <v>10</v>
      </c>
      <c r="D49">
        <v>2.1999999999999993</v>
      </c>
      <c r="E49">
        <v>11.79</v>
      </c>
      <c r="F49" s="3">
        <v>12.89444444444444</v>
      </c>
      <c r="G49">
        <v>21.1</v>
      </c>
      <c r="H49" s="3">
        <f t="shared" si="4"/>
        <v>0.55876777251184828</v>
      </c>
      <c r="I49" s="3">
        <f t="shared" si="0"/>
        <v>2.0115639810426535</v>
      </c>
      <c r="J49" s="35">
        <v>1.8007114849481407</v>
      </c>
      <c r="M49" s="101"/>
      <c r="N49" s="101"/>
      <c r="O49" s="58">
        <v>16</v>
      </c>
      <c r="P49" s="58">
        <v>17</v>
      </c>
      <c r="Q49" s="58">
        <v>18</v>
      </c>
      <c r="R49" s="58">
        <v>19</v>
      </c>
      <c r="S49" s="58">
        <v>20</v>
      </c>
    </row>
    <row r="50" spans="1:20" x14ac:dyDescent="0.25">
      <c r="A50" s="99"/>
      <c r="B50" s="42">
        <v>29</v>
      </c>
      <c r="C50" t="s">
        <v>10</v>
      </c>
      <c r="D50">
        <v>0.40000000000000036</v>
      </c>
      <c r="E50">
        <v>3.04</v>
      </c>
      <c r="F50" s="3">
        <v>2.1222222222222245</v>
      </c>
      <c r="G50">
        <v>19.100000000000001</v>
      </c>
      <c r="H50" s="3">
        <f t="shared" si="4"/>
        <v>0.15916230366492146</v>
      </c>
      <c r="I50" s="3">
        <f t="shared" si="0"/>
        <v>0.57298429319371724</v>
      </c>
      <c r="J50" s="35">
        <v>0.47635608616662339</v>
      </c>
      <c r="M50" s="59">
        <v>0</v>
      </c>
      <c r="N50" s="51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</row>
    <row r="51" spans="1:20" x14ac:dyDescent="0.25">
      <c r="A51" s="99"/>
      <c r="B51" s="42">
        <v>58</v>
      </c>
      <c r="C51" t="s">
        <v>10</v>
      </c>
      <c r="D51">
        <v>2.08</v>
      </c>
      <c r="E51">
        <v>9.49</v>
      </c>
      <c r="F51" s="3">
        <v>9.8800000000000008</v>
      </c>
      <c r="G51">
        <v>17.100000000000001</v>
      </c>
      <c r="H51" s="3">
        <f t="shared" si="4"/>
        <v>0.55497076023391811</v>
      </c>
      <c r="I51" s="3">
        <f t="shared" si="0"/>
        <v>1.9978947368421054</v>
      </c>
      <c r="J51" s="35">
        <v>1.5266686650679457</v>
      </c>
      <c r="M51" s="59">
        <v>0.2</v>
      </c>
      <c r="N51" s="51">
        <f t="shared" ref="N51:N60" si="5">SLOPE($H$2:$H$117, $D$2:$D$117) * M51 + INTERCEPT($H$2:$H$117, $D$2:$D$117)</f>
        <v>9.9316173403766361E-2</v>
      </c>
      <c r="O51" s="12">
        <f t="shared" ref="O51:O60" si="6">$O$49*N51</f>
        <v>1.5890587744602618</v>
      </c>
      <c r="P51" s="12">
        <f t="shared" ref="P51:P60" si="7">$P$49*N51</f>
        <v>1.6883749478640282</v>
      </c>
      <c r="Q51" s="12">
        <f t="shared" ref="Q51:Q60" si="8">$Q$49*N51</f>
        <v>1.7876911212677946</v>
      </c>
      <c r="R51" s="12">
        <f t="shared" ref="R51:R60" si="9">$R$49*N51</f>
        <v>1.8870072946715608</v>
      </c>
      <c r="S51" s="12">
        <f t="shared" ref="S51:S60" si="10">$S$49*N51</f>
        <v>1.9863234680753272</v>
      </c>
    </row>
    <row r="52" spans="1:20" x14ac:dyDescent="0.25">
      <c r="A52" s="99"/>
      <c r="B52" s="42">
        <v>61</v>
      </c>
      <c r="C52" t="s">
        <v>10</v>
      </c>
      <c r="D52">
        <v>0.67999999999999972</v>
      </c>
      <c r="E52">
        <v>4.62</v>
      </c>
      <c r="F52" s="3">
        <v>2.4933333333333318</v>
      </c>
      <c r="G52">
        <v>13.2</v>
      </c>
      <c r="H52" s="3">
        <f t="shared" si="4"/>
        <v>0.35000000000000003</v>
      </c>
      <c r="I52" s="3">
        <f t="shared" si="0"/>
        <v>1.26</v>
      </c>
      <c r="J52" s="35">
        <v>0.78395868465430019</v>
      </c>
      <c r="M52" s="59">
        <v>0.4</v>
      </c>
      <c r="N52" s="51">
        <f t="shared" si="5"/>
        <v>0.14644135881774789</v>
      </c>
      <c r="O52" s="12">
        <f t="shared" si="6"/>
        <v>2.3430617410839663</v>
      </c>
      <c r="P52" s="12">
        <f t="shared" si="7"/>
        <v>2.489503099901714</v>
      </c>
      <c r="Q52" s="12">
        <f t="shared" si="8"/>
        <v>2.6359444587194618</v>
      </c>
      <c r="R52" s="12">
        <f t="shared" si="9"/>
        <v>2.78238581753721</v>
      </c>
      <c r="S52" s="12">
        <f t="shared" si="10"/>
        <v>2.9288271763549578</v>
      </c>
    </row>
    <row r="53" spans="1:20" x14ac:dyDescent="0.25">
      <c r="A53" s="99"/>
      <c r="B53">
        <v>156</v>
      </c>
      <c r="C53" t="s">
        <v>10</v>
      </c>
      <c r="D53">
        <v>2.120000000000001</v>
      </c>
      <c r="E53">
        <v>9.2100000000000009</v>
      </c>
      <c r="F53" s="3">
        <v>12.425555555555562</v>
      </c>
      <c r="G53">
        <v>21.1</v>
      </c>
      <c r="H53" s="3">
        <f t="shared" si="4"/>
        <v>0.43649289099526067</v>
      </c>
      <c r="I53" s="3">
        <f t="shared" si="0"/>
        <v>1.5713744075829383</v>
      </c>
      <c r="J53" s="35">
        <v>1.4066626612699218</v>
      </c>
      <c r="M53" s="59">
        <v>0.6</v>
      </c>
      <c r="N53" s="51">
        <f t="shared" si="5"/>
        <v>0.19356654423172939</v>
      </c>
      <c r="O53" s="12">
        <f t="shared" si="6"/>
        <v>3.0970647077076703</v>
      </c>
      <c r="P53" s="12">
        <f t="shared" si="7"/>
        <v>3.2906312519393999</v>
      </c>
      <c r="Q53" s="12">
        <f t="shared" si="8"/>
        <v>3.484197796171129</v>
      </c>
      <c r="R53" s="12">
        <f t="shared" si="9"/>
        <v>3.6777643404028586</v>
      </c>
      <c r="S53" s="12">
        <f t="shared" si="10"/>
        <v>3.8713308846345877</v>
      </c>
    </row>
    <row r="54" spans="1:20" ht="15.75" thickBot="1" x14ac:dyDescent="0.3">
      <c r="A54" s="99"/>
      <c r="B54">
        <v>167</v>
      </c>
      <c r="C54" t="s">
        <v>10</v>
      </c>
      <c r="D54">
        <v>2.1999999999999993</v>
      </c>
      <c r="E54">
        <v>12.6</v>
      </c>
      <c r="F54" s="3">
        <v>13.749999999999996</v>
      </c>
      <c r="G54">
        <v>22.5</v>
      </c>
      <c r="H54" s="3">
        <f t="shared" si="4"/>
        <v>0.55999999999999994</v>
      </c>
      <c r="I54" s="3">
        <f t="shared" si="0"/>
        <v>2.016</v>
      </c>
      <c r="J54" s="35">
        <v>1.8909395973154361</v>
      </c>
      <c r="M54" s="59">
        <v>0.8</v>
      </c>
      <c r="N54" s="51">
        <f t="shared" si="5"/>
        <v>0.24069172964571095</v>
      </c>
      <c r="O54" s="12">
        <f t="shared" si="6"/>
        <v>3.8510676743313752</v>
      </c>
      <c r="P54" s="12">
        <f t="shared" si="7"/>
        <v>4.0917594039770862</v>
      </c>
      <c r="Q54" s="91">
        <f t="shared" si="8"/>
        <v>4.3324511336227971</v>
      </c>
      <c r="R54" s="12">
        <f t="shared" si="9"/>
        <v>4.5731428632685081</v>
      </c>
      <c r="S54" s="12">
        <f t="shared" si="10"/>
        <v>4.813834592914219</v>
      </c>
    </row>
    <row r="55" spans="1:20" ht="15.75" thickBot="1" x14ac:dyDescent="0.3">
      <c r="A55" s="44" t="s">
        <v>55</v>
      </c>
      <c r="B55">
        <v>50</v>
      </c>
      <c r="C55" s="36" t="s">
        <v>10</v>
      </c>
      <c r="D55" s="36">
        <v>2.1999999999999993</v>
      </c>
      <c r="E55" s="36">
        <v>8.2200000000000006</v>
      </c>
      <c r="F55" s="37">
        <v>11.24444444444444</v>
      </c>
      <c r="G55" s="36">
        <v>18.399999999999999</v>
      </c>
      <c r="H55" s="37">
        <f t="shared" si="4"/>
        <v>0.44673913043478269</v>
      </c>
      <c r="I55" s="3">
        <f t="shared" si="0"/>
        <v>1.6082608695652176</v>
      </c>
      <c r="J55" s="38">
        <v>1.2998493975903616</v>
      </c>
      <c r="M55" s="84">
        <v>1</v>
      </c>
      <c r="N55" s="51">
        <f t="shared" si="5"/>
        <v>0.28781691505969242</v>
      </c>
      <c r="O55" s="12">
        <f t="shared" si="6"/>
        <v>4.6050706409550788</v>
      </c>
      <c r="P55" s="60">
        <f t="shared" si="7"/>
        <v>4.8928875560147711</v>
      </c>
      <c r="Q55" s="92">
        <f t="shared" si="8"/>
        <v>5.1807044710744634</v>
      </c>
      <c r="R55" s="61">
        <f t="shared" si="9"/>
        <v>5.4685213861341557</v>
      </c>
      <c r="S55" s="12">
        <f t="shared" si="10"/>
        <v>5.756338301193848</v>
      </c>
    </row>
    <row r="56" spans="1:20" x14ac:dyDescent="0.25">
      <c r="A56" s="103">
        <v>12.16</v>
      </c>
      <c r="B56" s="49">
        <v>54</v>
      </c>
      <c r="C56" s="34" t="s">
        <v>10</v>
      </c>
      <c r="D56" s="34">
        <v>1.6399999999999988</v>
      </c>
      <c r="E56" s="34">
        <v>7</v>
      </c>
      <c r="F56" s="39">
        <v>6.3777777777777729</v>
      </c>
      <c r="G56" s="34">
        <v>14</v>
      </c>
      <c r="H56" s="39">
        <f t="shared" si="4"/>
        <v>0.5</v>
      </c>
      <c r="I56" s="3">
        <f t="shared" si="0"/>
        <v>1.8</v>
      </c>
      <c r="J56" s="40">
        <v>1.1746108949416343</v>
      </c>
      <c r="M56" s="59">
        <v>1.2</v>
      </c>
      <c r="N56" s="51">
        <f t="shared" si="5"/>
        <v>0.33494210047367395</v>
      </c>
      <c r="O56" s="12">
        <f t="shared" si="6"/>
        <v>5.3590736075787833</v>
      </c>
      <c r="P56" s="12">
        <f t="shared" si="7"/>
        <v>5.6940157080524569</v>
      </c>
      <c r="Q56" s="62">
        <f t="shared" si="8"/>
        <v>6.0289578085261315</v>
      </c>
      <c r="R56" s="12">
        <f t="shared" si="9"/>
        <v>6.3638999089998052</v>
      </c>
      <c r="S56" s="12">
        <f t="shared" si="10"/>
        <v>6.6988420094734789</v>
      </c>
    </row>
    <row r="57" spans="1:20" x14ac:dyDescent="0.25">
      <c r="A57" s="104"/>
      <c r="B57">
        <v>77</v>
      </c>
      <c r="C57" t="s">
        <v>10</v>
      </c>
      <c r="D57">
        <v>2.08</v>
      </c>
      <c r="E57">
        <v>13.23</v>
      </c>
      <c r="F57" s="3">
        <v>11.208888888888888</v>
      </c>
      <c r="G57">
        <v>19.399999999999999</v>
      </c>
      <c r="H57" s="3">
        <f t="shared" si="4"/>
        <v>0.68195876288659796</v>
      </c>
      <c r="I57" s="3">
        <f t="shared" si="0"/>
        <v>2.4550515463917528</v>
      </c>
      <c r="J57" s="35">
        <v>2.0650497673216135</v>
      </c>
      <c r="M57" s="59">
        <v>1.4</v>
      </c>
      <c r="N57" s="51">
        <f t="shared" si="5"/>
        <v>0.38206728588765548</v>
      </c>
      <c r="O57" s="12">
        <f t="shared" si="6"/>
        <v>6.1130765742024877</v>
      </c>
      <c r="P57" s="12">
        <f t="shared" si="7"/>
        <v>6.4951438600901437</v>
      </c>
      <c r="Q57" s="12">
        <f t="shared" si="8"/>
        <v>6.8772111459777987</v>
      </c>
      <c r="R57" s="12">
        <f t="shared" si="9"/>
        <v>7.2592784318654537</v>
      </c>
      <c r="S57" s="12">
        <f t="shared" si="10"/>
        <v>7.6413457177531097</v>
      </c>
    </row>
    <row r="58" spans="1:20" x14ac:dyDescent="0.25">
      <c r="A58" s="104"/>
      <c r="B58">
        <v>95</v>
      </c>
      <c r="C58" t="s">
        <v>10</v>
      </c>
      <c r="D58">
        <v>3.879999999999999</v>
      </c>
      <c r="E58">
        <v>16</v>
      </c>
      <c r="F58" s="3">
        <v>17.675555555555547</v>
      </c>
      <c r="G58">
        <v>16.399999999999999</v>
      </c>
      <c r="H58" s="3">
        <f t="shared" si="4"/>
        <v>0.97560975609756106</v>
      </c>
      <c r="I58" s="3">
        <f t="shared" si="0"/>
        <v>3.5121951219512195</v>
      </c>
      <c r="J58" s="35">
        <v>2.5981710597095216</v>
      </c>
      <c r="M58" s="59">
        <v>1.6</v>
      </c>
      <c r="N58" s="51">
        <f t="shared" si="5"/>
        <v>0.42919247130163707</v>
      </c>
      <c r="O58" s="12">
        <f t="shared" si="6"/>
        <v>6.8670795408261931</v>
      </c>
      <c r="P58" s="12">
        <f t="shared" si="7"/>
        <v>7.2962720121278304</v>
      </c>
      <c r="Q58" s="12">
        <f t="shared" si="8"/>
        <v>7.7254644834294677</v>
      </c>
      <c r="R58" s="12">
        <f t="shared" si="9"/>
        <v>8.1546569547311041</v>
      </c>
      <c r="S58" s="12">
        <f t="shared" si="10"/>
        <v>8.5838494260327423</v>
      </c>
    </row>
    <row r="59" spans="1:20" x14ac:dyDescent="0.25">
      <c r="A59" s="104"/>
      <c r="B59">
        <v>114</v>
      </c>
      <c r="C59" t="s">
        <v>10</v>
      </c>
      <c r="D59">
        <v>2.0800000000000018</v>
      </c>
      <c r="E59">
        <v>9.6300000000000008</v>
      </c>
      <c r="F59" s="3">
        <v>10.862222222222231</v>
      </c>
      <c r="G59">
        <v>18.8</v>
      </c>
      <c r="H59" s="3">
        <f t="shared" si="4"/>
        <v>0.51223404255319149</v>
      </c>
      <c r="I59" s="3">
        <f t="shared" si="0"/>
        <v>1.8440425531914895</v>
      </c>
      <c r="J59" s="35">
        <v>1.5148807972902554</v>
      </c>
      <c r="M59" s="59">
        <v>1.8</v>
      </c>
      <c r="N59" s="51">
        <f t="shared" si="5"/>
        <v>0.47631765671561854</v>
      </c>
      <c r="O59" s="12">
        <f t="shared" si="6"/>
        <v>7.6210825074498967</v>
      </c>
      <c r="P59" s="12">
        <f t="shared" si="7"/>
        <v>8.0974001641655153</v>
      </c>
      <c r="Q59" s="12">
        <f t="shared" si="8"/>
        <v>8.573717820881134</v>
      </c>
      <c r="R59" s="12">
        <f t="shared" si="9"/>
        <v>9.0500354775967526</v>
      </c>
      <c r="S59" s="12">
        <f t="shared" si="10"/>
        <v>9.5263531343123713</v>
      </c>
    </row>
    <row r="60" spans="1:20" x14ac:dyDescent="0.25">
      <c r="A60" s="104"/>
      <c r="B60" s="45">
        <v>170</v>
      </c>
      <c r="C60" t="s">
        <v>10</v>
      </c>
      <c r="D60">
        <v>1.879999999999999</v>
      </c>
      <c r="E60">
        <v>10.38</v>
      </c>
      <c r="F60" s="3">
        <v>8.9299999999999962</v>
      </c>
      <c r="G60">
        <v>17.100000000000001</v>
      </c>
      <c r="H60" s="3">
        <f t="shared" si="4"/>
        <v>0.60701754385964912</v>
      </c>
      <c r="I60" s="3">
        <f t="shared" si="0"/>
        <v>2.1852631578947368</v>
      </c>
      <c r="J60" s="35">
        <v>1.66984412470024</v>
      </c>
      <c r="M60" s="59">
        <v>2</v>
      </c>
      <c r="N60" s="51">
        <f t="shared" si="5"/>
        <v>0.52344284212960002</v>
      </c>
      <c r="O60" s="12">
        <f t="shared" si="6"/>
        <v>8.3750854740736003</v>
      </c>
      <c r="P60" s="12">
        <f t="shared" si="7"/>
        <v>8.8985283162032012</v>
      </c>
      <c r="Q60" s="12">
        <f t="shared" si="8"/>
        <v>9.4219711583328003</v>
      </c>
      <c r="R60" s="12">
        <f t="shared" si="9"/>
        <v>9.9454140004623994</v>
      </c>
      <c r="S60" s="12">
        <f t="shared" si="10"/>
        <v>10.468856842592</v>
      </c>
    </row>
    <row r="61" spans="1:20" x14ac:dyDescent="0.25">
      <c r="A61" s="104"/>
      <c r="B61" s="46">
        <v>151</v>
      </c>
      <c r="C61" t="s">
        <v>10</v>
      </c>
      <c r="D61">
        <v>1</v>
      </c>
      <c r="E61">
        <v>4.72</v>
      </c>
      <c r="F61" s="3">
        <v>5.5555555555555554</v>
      </c>
      <c r="G61">
        <v>20</v>
      </c>
      <c r="H61" s="3">
        <f t="shared" si="4"/>
        <v>0.23599999999999999</v>
      </c>
      <c r="I61" s="3">
        <f t="shared" si="0"/>
        <v>0.84960000000000002</v>
      </c>
      <c r="J61" s="35">
        <v>0.73106721395587482</v>
      </c>
      <c r="M61" s="97" t="s">
        <v>65</v>
      </c>
      <c r="N61" s="97"/>
      <c r="O61" s="97"/>
      <c r="P61" s="97"/>
      <c r="Q61" s="97"/>
      <c r="R61" s="97"/>
      <c r="S61" s="97"/>
    </row>
    <row r="62" spans="1:20" x14ac:dyDescent="0.25">
      <c r="A62" s="104"/>
      <c r="B62" s="46">
        <v>173</v>
      </c>
      <c r="C62" t="s">
        <v>10</v>
      </c>
      <c r="D62">
        <v>0.87999999999999901</v>
      </c>
      <c r="E62">
        <v>5.84</v>
      </c>
      <c r="F62" s="3">
        <v>4.5711111111111062</v>
      </c>
      <c r="G62">
        <v>18.7</v>
      </c>
      <c r="H62" s="3">
        <f t="shared" si="4"/>
        <v>0.31229946524064173</v>
      </c>
      <c r="I62" s="3">
        <f t="shared" si="0"/>
        <v>1.1242780748663104</v>
      </c>
      <c r="J62" s="35">
        <v>0.91987998956431005</v>
      </c>
    </row>
    <row r="63" spans="1:20" x14ac:dyDescent="0.25">
      <c r="A63" s="104"/>
      <c r="B63" s="47">
        <v>185</v>
      </c>
      <c r="C63" t="s">
        <v>10</v>
      </c>
      <c r="D63">
        <v>1.3200000000000003</v>
      </c>
      <c r="E63">
        <v>7.06</v>
      </c>
      <c r="F63" s="3">
        <v>7.5533333333333355</v>
      </c>
      <c r="G63">
        <v>20.6</v>
      </c>
      <c r="H63" s="3">
        <f t="shared" si="4"/>
        <v>0.34271844660194173</v>
      </c>
      <c r="I63" s="3">
        <f t="shared" si="0"/>
        <v>1.2337864077669902</v>
      </c>
      <c r="J63" s="35">
        <v>1.0851514765784114</v>
      </c>
      <c r="M63" s="31" t="s">
        <v>42</v>
      </c>
      <c r="N63" s="30">
        <f>AVERAGEIF($G$3:$G$117,"&gt;0")</f>
        <v>20.46521738798722</v>
      </c>
      <c r="T63" t="s">
        <v>49</v>
      </c>
    </row>
    <row r="64" spans="1:20" x14ac:dyDescent="0.25">
      <c r="A64" s="104" t="s">
        <v>56</v>
      </c>
      <c r="B64" s="46">
        <v>85</v>
      </c>
      <c r="C64" t="s">
        <v>10</v>
      </c>
      <c r="D64">
        <v>2.5600000000000005</v>
      </c>
      <c r="E64">
        <v>10.02</v>
      </c>
      <c r="F64" s="3">
        <v>9.2444444444444471</v>
      </c>
      <c r="G64">
        <v>13</v>
      </c>
      <c r="H64" s="3">
        <f t="shared" ref="H64:H106" si="11">E64/G64</f>
        <v>0.77076923076923076</v>
      </c>
      <c r="I64" s="3">
        <f t="shared" si="0"/>
        <v>2.7747692307692304</v>
      </c>
      <c r="J64" s="35">
        <v>1.705066234498309</v>
      </c>
      <c r="M64" s="31" t="s">
        <v>44</v>
      </c>
      <c r="N64" s="30">
        <f>MIN($G$3:$G$117)</f>
        <v>11.9</v>
      </c>
      <c r="T64" t="s">
        <v>50</v>
      </c>
    </row>
    <row r="65" spans="1:20" x14ac:dyDescent="0.25">
      <c r="A65" s="104"/>
      <c r="B65" s="46">
        <v>65</v>
      </c>
      <c r="C65" t="s">
        <v>10</v>
      </c>
      <c r="D65">
        <v>1.7999999999999989</v>
      </c>
      <c r="E65">
        <v>7.94</v>
      </c>
      <c r="F65" s="3">
        <v>7.3499999999999952</v>
      </c>
      <c r="G65">
        <v>14.7</v>
      </c>
      <c r="H65" s="3">
        <f t="shared" si="11"/>
        <v>0.54013605442176871</v>
      </c>
      <c r="I65" s="3">
        <f t="shared" si="0"/>
        <v>1.9444897959183676</v>
      </c>
      <c r="J65" s="35">
        <v>1.3195086705202312</v>
      </c>
      <c r="M65" s="31" t="s">
        <v>43</v>
      </c>
      <c r="N65" s="30">
        <f>MAX($G$3:$G$117)</f>
        <v>31.3</v>
      </c>
      <c r="T65" t="s">
        <v>51</v>
      </c>
    </row>
    <row r="66" spans="1:20" x14ac:dyDescent="0.25">
      <c r="A66" s="105">
        <v>13</v>
      </c>
      <c r="B66" s="34">
        <v>39</v>
      </c>
      <c r="C66" s="34" t="s">
        <v>10</v>
      </c>
      <c r="D66" s="34">
        <v>1.5999999999999996</v>
      </c>
      <c r="E66" s="34">
        <v>9.4499999999999993</v>
      </c>
      <c r="F66" s="34">
        <v>9.1999999999999975</v>
      </c>
      <c r="G66" s="34">
        <v>20.7</v>
      </c>
      <c r="H66" s="39">
        <f t="shared" si="11"/>
        <v>0.45652173913043476</v>
      </c>
      <c r="I66" s="3">
        <f t="shared" si="0"/>
        <v>1.6434782608695651</v>
      </c>
      <c r="J66" s="40">
        <v>1.450657894736842</v>
      </c>
      <c r="M66" s="32" t="s">
        <v>45</v>
      </c>
      <c r="N66" s="30">
        <f>_xlfn.PERCENTILE.EXC($G$3:$G$117,0.25)</f>
        <v>17.399999999999999</v>
      </c>
    </row>
    <row r="67" spans="1:20" x14ac:dyDescent="0.25">
      <c r="A67" s="106"/>
      <c r="B67">
        <v>10</v>
      </c>
      <c r="C67" t="s">
        <v>10</v>
      </c>
      <c r="D67">
        <v>2.4000000000000004</v>
      </c>
      <c r="E67">
        <v>13.1</v>
      </c>
      <c r="F67">
        <v>11.600000000000001</v>
      </c>
      <c r="G67">
        <v>17.399999999999999</v>
      </c>
      <c r="H67" s="3">
        <f t="shared" si="11"/>
        <v>0.75287356321839083</v>
      </c>
      <c r="I67" s="3">
        <f t="shared" si="0"/>
        <v>2.7103448275862072</v>
      </c>
      <c r="J67" s="35">
        <v>2.0990246815286624</v>
      </c>
      <c r="M67" s="32" t="s">
        <v>46</v>
      </c>
      <c r="N67" s="30">
        <f>_xlfn.PERCENTILE.EXC($G$3:$G$117,0.5)</f>
        <v>20.2</v>
      </c>
    </row>
    <row r="68" spans="1:20" x14ac:dyDescent="0.25">
      <c r="A68" s="106"/>
      <c r="B68" s="46">
        <v>116</v>
      </c>
      <c r="C68" t="s">
        <v>10</v>
      </c>
      <c r="D68">
        <v>0.47999999999999687</v>
      </c>
      <c r="E68">
        <v>3.97</v>
      </c>
      <c r="F68" s="3">
        <v>2.6266666666666492</v>
      </c>
      <c r="G68">
        <v>19.7</v>
      </c>
      <c r="H68" s="3">
        <f t="shared" si="11"/>
        <v>0.20152284263959391</v>
      </c>
      <c r="I68" s="3">
        <f t="shared" ref="I68:I117" si="12">E68/(G68/3.6)</f>
        <v>0.72548223350253804</v>
      </c>
      <c r="J68" s="35">
        <v>0.61727723409734747</v>
      </c>
      <c r="M68" s="32" t="s">
        <v>47</v>
      </c>
      <c r="N68" s="30">
        <f>_xlfn.PERCENTILE.EXC($G$3:$G$117,0.75)</f>
        <v>23.4</v>
      </c>
    </row>
    <row r="69" spans="1:20" x14ac:dyDescent="0.25">
      <c r="A69" s="106"/>
      <c r="B69" s="46">
        <v>124</v>
      </c>
      <c r="C69" t="s">
        <v>10</v>
      </c>
      <c r="D69">
        <v>1.7200000000000024</v>
      </c>
      <c r="E69">
        <v>9.49</v>
      </c>
      <c r="F69" s="3">
        <v>13.043333333333351</v>
      </c>
      <c r="G69">
        <v>27.3</v>
      </c>
      <c r="H69" s="3">
        <f t="shared" si="11"/>
        <v>0.34761904761904761</v>
      </c>
      <c r="I69" s="3">
        <f t="shared" si="12"/>
        <v>1.2514285714285716</v>
      </c>
      <c r="J69" s="35">
        <v>1.3440270935960592</v>
      </c>
      <c r="M69" s="32" t="s">
        <v>48</v>
      </c>
      <c r="N69" s="30">
        <f>_xlfn.PERCENTILE.EXC($G$3:$G$117,0.9)</f>
        <v>26.26</v>
      </c>
    </row>
    <row r="70" spans="1:20" x14ac:dyDescent="0.25">
      <c r="A70" s="106"/>
      <c r="B70" s="46">
        <v>136</v>
      </c>
      <c r="C70" t="s">
        <v>10</v>
      </c>
      <c r="D70">
        <v>1.3999999999999986</v>
      </c>
      <c r="E70">
        <v>9.74</v>
      </c>
      <c r="F70" s="3">
        <v>11.005555555555544</v>
      </c>
      <c r="G70">
        <v>28.3</v>
      </c>
      <c r="H70" s="3">
        <f t="shared" si="11"/>
        <v>0.34416961130742052</v>
      </c>
      <c r="I70" s="3">
        <f t="shared" si="12"/>
        <v>1.2390106007067139</v>
      </c>
      <c r="J70" s="35">
        <v>1.3634419197774172</v>
      </c>
    </row>
    <row r="71" spans="1:20" x14ac:dyDescent="0.25">
      <c r="A71" s="106"/>
      <c r="B71" s="47">
        <v>149</v>
      </c>
      <c r="C71" t="s">
        <v>10</v>
      </c>
      <c r="D71">
        <v>2</v>
      </c>
      <c r="E71">
        <v>12.79</v>
      </c>
      <c r="F71" s="3">
        <v>13.5</v>
      </c>
      <c r="G71">
        <v>24.3</v>
      </c>
      <c r="H71" s="3">
        <f t="shared" si="11"/>
        <v>0.52633744855967068</v>
      </c>
      <c r="I71" s="3">
        <f t="shared" si="12"/>
        <v>1.8948148148148147</v>
      </c>
      <c r="J71" s="35">
        <v>1.8774525893508387</v>
      </c>
    </row>
    <row r="72" spans="1:20" x14ac:dyDescent="0.25">
      <c r="A72" s="106"/>
      <c r="B72">
        <v>201</v>
      </c>
      <c r="C72" t="s">
        <v>10</v>
      </c>
      <c r="D72">
        <v>1.8799999999999955</v>
      </c>
      <c r="E72">
        <v>7.41</v>
      </c>
      <c r="F72" s="3">
        <v>8.146666666666647</v>
      </c>
      <c r="G72">
        <v>15.6</v>
      </c>
      <c r="H72" s="3">
        <f t="shared" si="11"/>
        <v>0.47500000000000003</v>
      </c>
      <c r="I72" s="3">
        <f t="shared" si="12"/>
        <v>1.7100000000000002</v>
      </c>
      <c r="J72" s="35">
        <v>1.2163641924959219</v>
      </c>
    </row>
    <row r="73" spans="1:20" x14ac:dyDescent="0.25">
      <c r="A73" s="106" t="s">
        <v>57</v>
      </c>
      <c r="B73">
        <v>56</v>
      </c>
      <c r="C73" t="s">
        <v>10</v>
      </c>
      <c r="D73">
        <v>1.4800000000000004</v>
      </c>
      <c r="E73">
        <v>9.99</v>
      </c>
      <c r="F73" s="3">
        <v>9.7844444444444481</v>
      </c>
      <c r="G73">
        <v>23.8</v>
      </c>
      <c r="H73" s="3">
        <f t="shared" si="11"/>
        <v>0.41974789915966387</v>
      </c>
      <c r="I73" s="3">
        <f t="shared" si="12"/>
        <v>1.51109243697479</v>
      </c>
      <c r="J73" s="35">
        <v>1.4754066780821919</v>
      </c>
    </row>
    <row r="74" spans="1:20" x14ac:dyDescent="0.25">
      <c r="A74" s="107"/>
      <c r="B74" s="36">
        <v>68</v>
      </c>
      <c r="C74" s="36" t="s">
        <v>10</v>
      </c>
      <c r="D74" s="36">
        <v>2.0399999999999991</v>
      </c>
      <c r="E74" s="36">
        <v>12.84</v>
      </c>
      <c r="F74" s="37">
        <v>13.939999999999994</v>
      </c>
      <c r="G74" s="36">
        <v>24.6</v>
      </c>
      <c r="H74" s="37">
        <f t="shared" si="11"/>
        <v>0.52195121951219514</v>
      </c>
      <c r="I74" s="3">
        <f t="shared" si="12"/>
        <v>1.8790243902439023</v>
      </c>
      <c r="J74" s="38">
        <v>1.8779433139534885</v>
      </c>
    </row>
    <row r="75" spans="1:20" x14ac:dyDescent="0.25">
      <c r="A75" s="98">
        <v>13.04</v>
      </c>
      <c r="B75" s="41">
        <v>5</v>
      </c>
      <c r="C75" s="34" t="s">
        <v>10</v>
      </c>
      <c r="D75" s="34">
        <v>2.3199999999999998</v>
      </c>
      <c r="E75" s="34">
        <v>13.52</v>
      </c>
      <c r="F75" s="39">
        <v>13.726666666666665</v>
      </c>
      <c r="G75" s="34">
        <v>21.3</v>
      </c>
      <c r="H75" s="39">
        <f t="shared" si="11"/>
        <v>0.63474178403755865</v>
      </c>
      <c r="I75" s="3">
        <f t="shared" si="12"/>
        <v>2.285070422535211</v>
      </c>
      <c r="J75" s="40">
        <v>2.0597274791824374</v>
      </c>
    </row>
    <row r="76" spans="1:20" x14ac:dyDescent="0.25">
      <c r="A76" s="99"/>
      <c r="B76" s="42">
        <v>11</v>
      </c>
      <c r="C76" t="s">
        <v>10</v>
      </c>
      <c r="D76">
        <v>2</v>
      </c>
      <c r="E76">
        <v>11.45</v>
      </c>
      <c r="F76" s="3">
        <v>9.5555555555555554</v>
      </c>
      <c r="G76">
        <v>17.2</v>
      </c>
      <c r="H76" s="3">
        <f t="shared" si="11"/>
        <v>0.66569767441860461</v>
      </c>
      <c r="I76" s="3">
        <f t="shared" si="12"/>
        <v>2.3965116279069765</v>
      </c>
      <c r="J76" s="35">
        <v>1.8395256785524214</v>
      </c>
    </row>
    <row r="77" spans="1:20" x14ac:dyDescent="0.25">
      <c r="A77" s="99"/>
      <c r="B77" s="42">
        <v>31</v>
      </c>
      <c r="C77" t="s">
        <v>10</v>
      </c>
      <c r="D77">
        <v>1.2800000000000002</v>
      </c>
      <c r="E77">
        <v>7.14</v>
      </c>
      <c r="F77" s="3">
        <v>8.8533333333333335</v>
      </c>
      <c r="G77">
        <v>24.9</v>
      </c>
      <c r="H77" s="3">
        <f t="shared" si="11"/>
        <v>0.28674698795180725</v>
      </c>
      <c r="I77" s="3">
        <f t="shared" si="12"/>
        <v>1.032289156626506</v>
      </c>
      <c r="J77" s="35">
        <v>1.040496017378711</v>
      </c>
    </row>
    <row r="78" spans="1:20" x14ac:dyDescent="0.25">
      <c r="A78" s="99"/>
      <c r="B78" s="42">
        <v>48</v>
      </c>
      <c r="C78" t="s">
        <v>10</v>
      </c>
      <c r="D78">
        <v>2.08</v>
      </c>
      <c r="E78">
        <v>10.81</v>
      </c>
      <c r="F78" s="3">
        <v>11.671111111111111</v>
      </c>
      <c r="G78">
        <v>20.2</v>
      </c>
      <c r="H78" s="3">
        <f t="shared" si="11"/>
        <v>0.53514851485148518</v>
      </c>
      <c r="I78" s="3">
        <f t="shared" si="12"/>
        <v>1.9265346534653467</v>
      </c>
      <c r="J78" s="35">
        <v>1.6700454196519963</v>
      </c>
    </row>
    <row r="79" spans="1:20" x14ac:dyDescent="0.25">
      <c r="A79" s="99"/>
      <c r="B79">
        <v>107</v>
      </c>
      <c r="C79" t="s">
        <v>10</v>
      </c>
      <c r="D79">
        <v>2.240000000000002</v>
      </c>
      <c r="E79">
        <v>10.55</v>
      </c>
      <c r="F79" s="3">
        <v>12.008888888888901</v>
      </c>
      <c r="G79">
        <v>19.3</v>
      </c>
      <c r="H79" s="3">
        <f t="shared" si="11"/>
        <v>0.54663212435233166</v>
      </c>
      <c r="I79" s="3">
        <f t="shared" si="12"/>
        <v>1.9678756476683936</v>
      </c>
      <c r="J79" s="35">
        <v>1.6488642246958325</v>
      </c>
    </row>
    <row r="80" spans="1:20" x14ac:dyDescent="0.25">
      <c r="A80" s="99"/>
      <c r="B80">
        <v>105</v>
      </c>
      <c r="C80" t="s">
        <v>10</v>
      </c>
      <c r="D80">
        <v>1.5999999999999979</v>
      </c>
      <c r="E80">
        <v>8.68</v>
      </c>
      <c r="F80" s="3">
        <v>9.8666666666666529</v>
      </c>
      <c r="G80">
        <v>22.2</v>
      </c>
      <c r="H80" s="3">
        <f t="shared" si="11"/>
        <v>0.39099099099099099</v>
      </c>
      <c r="I80" s="3">
        <f t="shared" si="12"/>
        <v>1.4075675675675676</v>
      </c>
      <c r="J80" s="35">
        <v>1.3075224550898206</v>
      </c>
    </row>
    <row r="81" spans="1:10" x14ac:dyDescent="0.25">
      <c r="A81" s="99"/>
      <c r="B81">
        <v>116</v>
      </c>
      <c r="C81" t="s">
        <v>10</v>
      </c>
      <c r="D81">
        <v>1.6799999999999997</v>
      </c>
      <c r="E81">
        <v>10.74</v>
      </c>
      <c r="F81" s="3">
        <v>10.686666666666666</v>
      </c>
      <c r="G81">
        <v>22.9</v>
      </c>
      <c r="H81" s="3">
        <f t="shared" si="11"/>
        <v>0.46899563318777299</v>
      </c>
      <c r="I81" s="3">
        <f t="shared" si="12"/>
        <v>1.6883842794759827</v>
      </c>
      <c r="J81" s="35">
        <v>1.6038276032649026</v>
      </c>
    </row>
    <row r="82" spans="1:10" x14ac:dyDescent="0.25">
      <c r="A82" s="99"/>
      <c r="B82">
        <v>123</v>
      </c>
      <c r="C82" t="s">
        <v>10</v>
      </c>
      <c r="D82">
        <v>2</v>
      </c>
      <c r="E82">
        <v>11.23</v>
      </c>
      <c r="F82" s="3">
        <v>11.222222222222221</v>
      </c>
      <c r="G82">
        <v>20.2</v>
      </c>
      <c r="H82" s="3">
        <f t="shared" si="11"/>
        <v>0.55594059405940599</v>
      </c>
      <c r="I82" s="3">
        <f t="shared" si="12"/>
        <v>2.0013861386138614</v>
      </c>
      <c r="J82" s="35">
        <v>1.7349315506653022</v>
      </c>
    </row>
    <row r="83" spans="1:10" x14ac:dyDescent="0.25">
      <c r="A83" s="99" t="s">
        <v>58</v>
      </c>
      <c r="B83" s="42">
        <v>38</v>
      </c>
      <c r="C83" t="s">
        <v>10</v>
      </c>
      <c r="D83">
        <v>2</v>
      </c>
      <c r="E83">
        <v>11.8</v>
      </c>
      <c r="F83" s="3">
        <v>10.722222222222223</v>
      </c>
      <c r="G83">
        <v>19.3</v>
      </c>
      <c r="H83" s="3">
        <f t="shared" si="11"/>
        <v>0.61139896373057001</v>
      </c>
      <c r="I83" s="3">
        <f t="shared" si="12"/>
        <v>2.2010362694300518</v>
      </c>
      <c r="J83" s="35">
        <v>1.8442272844939169</v>
      </c>
    </row>
    <row r="84" spans="1:10" x14ac:dyDescent="0.25">
      <c r="A84" s="99"/>
      <c r="B84" s="42">
        <v>43</v>
      </c>
      <c r="C84" t="s">
        <v>10</v>
      </c>
      <c r="D84">
        <v>1.7999999999999998</v>
      </c>
      <c r="E84">
        <v>10.47</v>
      </c>
      <c r="F84" s="3">
        <v>8.7999999999999989</v>
      </c>
      <c r="G84">
        <v>17.600000000000001</v>
      </c>
      <c r="H84" s="3">
        <f t="shared" si="11"/>
        <v>0.5948863636363636</v>
      </c>
      <c r="I84" s="3">
        <f t="shared" si="12"/>
        <v>2.1415909090909091</v>
      </c>
      <c r="J84" s="35">
        <v>1.6731769454737957</v>
      </c>
    </row>
    <row r="85" spans="1:10" x14ac:dyDescent="0.25">
      <c r="A85" s="99"/>
      <c r="B85" s="42">
        <v>60</v>
      </c>
      <c r="C85" t="s">
        <v>10</v>
      </c>
      <c r="D85">
        <v>1.8000000000000007</v>
      </c>
      <c r="E85">
        <v>9.3000000000000007</v>
      </c>
      <c r="F85" s="3">
        <v>8.8000000000000043</v>
      </c>
      <c r="G85">
        <v>17.600000000000001</v>
      </c>
      <c r="H85" s="3">
        <f t="shared" si="11"/>
        <v>0.52840909090909094</v>
      </c>
      <c r="I85" s="3">
        <f t="shared" si="12"/>
        <v>1.9022727272727273</v>
      </c>
      <c r="J85" s="35">
        <v>1.4862030174695606</v>
      </c>
    </row>
    <row r="86" spans="1:10" x14ac:dyDescent="0.25">
      <c r="A86" s="99"/>
      <c r="B86" s="42">
        <v>61</v>
      </c>
      <c r="C86" t="s">
        <v>10</v>
      </c>
      <c r="D86">
        <v>2.0399999999999991</v>
      </c>
      <c r="E86">
        <v>11.75</v>
      </c>
      <c r="F86" s="3">
        <v>8.5566666666666631</v>
      </c>
      <c r="G86">
        <v>15.1</v>
      </c>
      <c r="H86" s="3">
        <f t="shared" si="11"/>
        <v>0.77814569536423839</v>
      </c>
      <c r="I86" s="3">
        <f t="shared" si="12"/>
        <v>2.8013245033112582</v>
      </c>
      <c r="J86" s="35">
        <v>1.9419826170271008</v>
      </c>
    </row>
    <row r="87" spans="1:10" x14ac:dyDescent="0.25">
      <c r="A87" s="103">
        <v>17.02</v>
      </c>
      <c r="B87" s="45">
        <v>3</v>
      </c>
      <c r="C87" s="34" t="s">
        <v>10</v>
      </c>
      <c r="D87" s="34">
        <v>1.72</v>
      </c>
      <c r="E87" s="34">
        <v>11.84</v>
      </c>
      <c r="F87" s="39">
        <v>11.896666666666665</v>
      </c>
      <c r="G87" s="34">
        <v>24.9</v>
      </c>
      <c r="H87" s="39">
        <f t="shared" si="11"/>
        <v>0.47550200803212855</v>
      </c>
      <c r="I87" s="3">
        <f t="shared" si="12"/>
        <v>1.7118072289156627</v>
      </c>
      <c r="J87" s="40">
        <v>1.7254163649529326</v>
      </c>
    </row>
    <row r="88" spans="1:10" x14ac:dyDescent="0.25">
      <c r="A88" s="104"/>
      <c r="B88" s="46">
        <v>14</v>
      </c>
      <c r="C88" t="s">
        <v>10</v>
      </c>
      <c r="D88">
        <v>1.7199999999999998</v>
      </c>
      <c r="E88">
        <v>10.9</v>
      </c>
      <c r="F88" s="3">
        <v>8.8388888888888886</v>
      </c>
      <c r="G88">
        <v>18.5</v>
      </c>
      <c r="H88" s="3">
        <f t="shared" si="11"/>
        <v>0.58918918918918917</v>
      </c>
      <c r="I88" s="3">
        <f t="shared" si="12"/>
        <v>2.1210810810810812</v>
      </c>
      <c r="J88" s="35">
        <v>1.7213902694219203</v>
      </c>
    </row>
    <row r="89" spans="1:10" x14ac:dyDescent="0.25">
      <c r="A89" s="104"/>
      <c r="B89" s="46">
        <v>10</v>
      </c>
      <c r="C89" t="s">
        <v>10</v>
      </c>
      <c r="D89">
        <v>1.96</v>
      </c>
      <c r="E89">
        <v>7.47</v>
      </c>
      <c r="F89" s="3">
        <v>8.1666666666666661</v>
      </c>
      <c r="G89">
        <v>15</v>
      </c>
      <c r="H89" s="3">
        <f t="shared" si="11"/>
        <v>0.498</v>
      </c>
      <c r="I89" s="3">
        <f t="shared" si="12"/>
        <v>1.7927999999999997</v>
      </c>
      <c r="J89" s="35">
        <v>1.2362972861842105</v>
      </c>
    </row>
    <row r="90" spans="1:10" x14ac:dyDescent="0.25">
      <c r="A90" s="104"/>
      <c r="B90" s="46">
        <v>11</v>
      </c>
      <c r="C90" t="s">
        <v>10</v>
      </c>
      <c r="D90">
        <v>1.2400000000000002</v>
      </c>
      <c r="E90">
        <v>8.75</v>
      </c>
      <c r="F90" s="3">
        <v>6.6822222222222223</v>
      </c>
      <c r="G90">
        <v>19.399999999999999</v>
      </c>
      <c r="H90" s="3">
        <f t="shared" si="11"/>
        <v>0.45103092783505155</v>
      </c>
      <c r="I90" s="3">
        <f t="shared" si="12"/>
        <v>1.6237113402061858</v>
      </c>
      <c r="J90" s="35">
        <v>1.3657736556359876</v>
      </c>
    </row>
    <row r="91" spans="1:10" x14ac:dyDescent="0.25">
      <c r="A91" s="104"/>
      <c r="B91" s="47">
        <v>18</v>
      </c>
      <c r="C91" t="s">
        <v>10</v>
      </c>
      <c r="D91">
        <v>1.1999999999999993</v>
      </c>
      <c r="E91">
        <v>4.05</v>
      </c>
      <c r="F91" s="3">
        <v>5.9999999999999964</v>
      </c>
      <c r="G91">
        <v>18</v>
      </c>
      <c r="H91" s="3">
        <f t="shared" si="11"/>
        <v>0.22499999999999998</v>
      </c>
      <c r="I91" s="3">
        <f t="shared" si="12"/>
        <v>0.80999999999999994</v>
      </c>
      <c r="J91" s="35">
        <v>0.64380924170616116</v>
      </c>
    </row>
    <row r="92" spans="1:10" x14ac:dyDescent="0.25">
      <c r="A92" s="104"/>
      <c r="B92" s="46">
        <v>19</v>
      </c>
      <c r="C92" t="s">
        <v>10</v>
      </c>
      <c r="D92">
        <v>0.80000000000000071</v>
      </c>
      <c r="E92">
        <v>7.41</v>
      </c>
      <c r="F92" s="3">
        <v>4.4666666666666712</v>
      </c>
      <c r="G92">
        <v>20.100000000000001</v>
      </c>
      <c r="H92" s="3">
        <f t="shared" si="11"/>
        <v>0.36865671641791042</v>
      </c>
      <c r="I92" s="3">
        <f t="shared" si="12"/>
        <v>1.3271641791044775</v>
      </c>
      <c r="J92" s="35">
        <v>1.1462432744043045</v>
      </c>
    </row>
    <row r="93" spans="1:10" x14ac:dyDescent="0.25">
      <c r="A93" s="104"/>
      <c r="B93" s="46">
        <v>79</v>
      </c>
      <c r="C93" t="s">
        <v>10</v>
      </c>
      <c r="D93">
        <v>0.24000000000000021</v>
      </c>
      <c r="E93">
        <v>1.05</v>
      </c>
      <c r="F93" s="3">
        <v>1.8333333333333348</v>
      </c>
      <c r="G93">
        <v>27.5</v>
      </c>
      <c r="H93" s="3">
        <f t="shared" si="11"/>
        <v>3.8181818181818185E-2</v>
      </c>
      <c r="I93" s="3">
        <f t="shared" si="12"/>
        <v>0.13745454545454547</v>
      </c>
      <c r="J93" s="35">
        <v>0.14835888134799907</v>
      </c>
    </row>
    <row r="94" spans="1:10" x14ac:dyDescent="0.25">
      <c r="A94" s="104"/>
      <c r="B94" s="47">
        <v>90</v>
      </c>
      <c r="C94" t="s">
        <v>10</v>
      </c>
      <c r="D94">
        <v>1.1999999999999993</v>
      </c>
      <c r="E94">
        <v>9.8800000000000008</v>
      </c>
      <c r="F94" s="3">
        <v>7.1333333333333284</v>
      </c>
      <c r="G94">
        <v>21.4</v>
      </c>
      <c r="H94" s="3">
        <f t="shared" si="11"/>
        <v>0.46168224299065425</v>
      </c>
      <c r="I94" s="3">
        <f t="shared" si="12"/>
        <v>1.6620560747663555</v>
      </c>
      <c r="J94" s="35">
        <v>1.5032888104838713</v>
      </c>
    </row>
    <row r="95" spans="1:10" x14ac:dyDescent="0.25">
      <c r="A95" s="104"/>
      <c r="B95" s="46">
        <v>159</v>
      </c>
      <c r="C95" t="s">
        <v>10</v>
      </c>
      <c r="D95">
        <v>1.3999999999999986</v>
      </c>
      <c r="E95">
        <v>9.75</v>
      </c>
      <c r="F95" s="3">
        <v>9.099999999999989</v>
      </c>
      <c r="G95">
        <v>23.4</v>
      </c>
      <c r="H95" s="3">
        <f t="shared" si="11"/>
        <v>0.41666666666666669</v>
      </c>
      <c r="I95" s="3">
        <f t="shared" si="12"/>
        <v>1.5000000000000002</v>
      </c>
      <c r="J95" s="35">
        <v>1.4470409292035398</v>
      </c>
    </row>
    <row r="96" spans="1:10" x14ac:dyDescent="0.25">
      <c r="A96" s="104"/>
      <c r="B96" s="46">
        <v>148</v>
      </c>
      <c r="C96" t="s">
        <v>10</v>
      </c>
      <c r="D96">
        <v>1.8000000000000007</v>
      </c>
      <c r="E96">
        <v>9.0299999999999994</v>
      </c>
      <c r="F96" s="3">
        <v>10.200000000000003</v>
      </c>
      <c r="G96">
        <v>20.399999999999999</v>
      </c>
      <c r="H96" s="3">
        <f t="shared" si="11"/>
        <v>0.44264705882352939</v>
      </c>
      <c r="I96" s="3">
        <f t="shared" si="12"/>
        <v>1.5935294117647059</v>
      </c>
      <c r="J96" s="35">
        <v>1.3914911944869832</v>
      </c>
    </row>
    <row r="97" spans="1:10" x14ac:dyDescent="0.25">
      <c r="A97" s="104" t="s">
        <v>59</v>
      </c>
      <c r="B97" s="45">
        <v>146</v>
      </c>
      <c r="C97" t="s">
        <v>10</v>
      </c>
      <c r="D97">
        <v>2.3599999999999994</v>
      </c>
      <c r="E97">
        <v>12.61</v>
      </c>
      <c r="F97" s="3">
        <v>14.618888888888884</v>
      </c>
      <c r="G97">
        <v>22.3</v>
      </c>
      <c r="H97" s="3">
        <f t="shared" si="11"/>
        <v>0.56547085201793723</v>
      </c>
      <c r="I97" s="3">
        <f t="shared" si="12"/>
        <v>2.0356950672645739</v>
      </c>
      <c r="J97" s="35">
        <v>1.8971561176177425</v>
      </c>
    </row>
    <row r="98" spans="1:10" x14ac:dyDescent="0.25">
      <c r="A98" s="108"/>
      <c r="B98" s="47">
        <v>181</v>
      </c>
      <c r="C98" s="36" t="s">
        <v>10</v>
      </c>
      <c r="D98" s="36">
        <v>1.4799999999999969</v>
      </c>
      <c r="E98" s="36">
        <v>9.58</v>
      </c>
      <c r="F98" s="37">
        <v>8.9622222222222039</v>
      </c>
      <c r="G98" s="36">
        <v>21.8</v>
      </c>
      <c r="H98" s="37">
        <f t="shared" si="11"/>
        <v>0.43944954128440367</v>
      </c>
      <c r="I98" s="3">
        <f t="shared" si="12"/>
        <v>1.5820183486238533</v>
      </c>
      <c r="J98" s="38">
        <v>1.4503322467402207</v>
      </c>
    </row>
    <row r="99" spans="1:10" x14ac:dyDescent="0.25">
      <c r="A99" s="98">
        <v>17.11</v>
      </c>
      <c r="B99">
        <v>5</v>
      </c>
      <c r="C99" s="34" t="s">
        <v>10</v>
      </c>
      <c r="D99" s="34">
        <v>1</v>
      </c>
      <c r="E99" s="34">
        <v>5.13</v>
      </c>
      <c r="F99" s="39">
        <v>5.6944444444444446</v>
      </c>
      <c r="G99" s="34">
        <v>20.5</v>
      </c>
      <c r="H99" s="39">
        <f t="shared" si="11"/>
        <v>0.25024390243902439</v>
      </c>
      <c r="I99" s="3">
        <f t="shared" si="12"/>
        <v>0.90087804878048772</v>
      </c>
      <c r="J99" s="40">
        <v>0.78950739230180988</v>
      </c>
    </row>
    <row r="100" spans="1:10" x14ac:dyDescent="0.25">
      <c r="A100" s="99"/>
      <c r="B100" s="45">
        <v>12</v>
      </c>
      <c r="C100" t="s">
        <v>10</v>
      </c>
      <c r="D100">
        <v>1.8000000000000007</v>
      </c>
      <c r="E100">
        <v>9.4499999999999993</v>
      </c>
      <c r="F100" s="3">
        <v>11.350000000000003</v>
      </c>
      <c r="G100">
        <v>22.7</v>
      </c>
      <c r="H100" s="3">
        <f t="shared" si="11"/>
        <v>0.4162995594713656</v>
      </c>
      <c r="I100" s="3">
        <f t="shared" si="12"/>
        <v>1.4986784140969163</v>
      </c>
      <c r="J100" s="35">
        <v>1.4146881973716836</v>
      </c>
    </row>
    <row r="101" spans="1:10" x14ac:dyDescent="0.25">
      <c r="A101" s="99"/>
      <c r="B101" s="46">
        <v>36</v>
      </c>
      <c r="C101" t="s">
        <v>10</v>
      </c>
      <c r="D101">
        <v>1.4000000000000004</v>
      </c>
      <c r="E101">
        <v>6.32</v>
      </c>
      <c r="F101" s="3">
        <v>5.522222222222223</v>
      </c>
      <c r="G101">
        <v>14.2</v>
      </c>
      <c r="H101" s="3">
        <f t="shared" si="11"/>
        <v>0.44507042253521129</v>
      </c>
      <c r="I101" s="3">
        <f t="shared" si="12"/>
        <v>1.6022535211267608</v>
      </c>
      <c r="J101" s="35">
        <v>1.0575665188470069</v>
      </c>
    </row>
    <row r="102" spans="1:10" x14ac:dyDescent="0.25">
      <c r="A102" s="99"/>
      <c r="B102" s="46">
        <v>37</v>
      </c>
      <c r="C102" t="s">
        <v>10</v>
      </c>
      <c r="D102">
        <v>1.6799999999999997</v>
      </c>
      <c r="E102">
        <v>9.7200000000000006</v>
      </c>
      <c r="F102" s="3">
        <v>7.7933333333333312</v>
      </c>
      <c r="G102">
        <v>16.7</v>
      </c>
      <c r="H102" s="3">
        <f t="shared" si="11"/>
        <v>0.58203592814371263</v>
      </c>
      <c r="I102" s="3">
        <f t="shared" si="12"/>
        <v>2.0953293413173655</v>
      </c>
      <c r="J102" s="35">
        <v>1.572046611304581</v>
      </c>
    </row>
    <row r="103" spans="1:10" x14ac:dyDescent="0.25">
      <c r="A103" s="99"/>
      <c r="B103" s="47">
        <v>68</v>
      </c>
      <c r="C103" t="s">
        <v>10</v>
      </c>
      <c r="D103">
        <v>0.24000000000000021</v>
      </c>
      <c r="E103">
        <v>0.56000000000000005</v>
      </c>
      <c r="F103" s="3">
        <v>0.82000000000000073</v>
      </c>
      <c r="G103">
        <v>12.3</v>
      </c>
      <c r="H103" s="3">
        <f t="shared" si="11"/>
        <v>4.5528455284552849E-2</v>
      </c>
      <c r="I103" s="3">
        <f t="shared" si="12"/>
        <v>0.16390243902439025</v>
      </c>
      <c r="J103" s="35">
        <v>9.6242527754056367E-2</v>
      </c>
    </row>
    <row r="104" spans="1:10" x14ac:dyDescent="0.25">
      <c r="A104" s="99"/>
      <c r="B104" s="45">
        <v>189</v>
      </c>
      <c r="C104" t="s">
        <v>10</v>
      </c>
      <c r="D104">
        <v>3.4799999999999969</v>
      </c>
      <c r="E104">
        <v>17.04</v>
      </c>
      <c r="F104" s="3">
        <v>19.043333333333315</v>
      </c>
      <c r="G104">
        <v>19.7</v>
      </c>
      <c r="H104" s="3">
        <f t="shared" si="11"/>
        <v>0.86497461928934005</v>
      </c>
      <c r="I104" s="3">
        <f t="shared" si="12"/>
        <v>3.1139086294416241</v>
      </c>
      <c r="J104" s="35">
        <v>2.6494720576873552</v>
      </c>
    </row>
    <row r="105" spans="1:10" x14ac:dyDescent="0.25">
      <c r="A105" s="99"/>
      <c r="B105" s="46">
        <v>144</v>
      </c>
      <c r="C105" t="s">
        <v>10</v>
      </c>
      <c r="D105">
        <v>0.20000000000000284</v>
      </c>
      <c r="E105">
        <v>0.23</v>
      </c>
      <c r="F105" s="3">
        <v>1.288888888888907</v>
      </c>
      <c r="G105">
        <v>23.2</v>
      </c>
      <c r="H105" s="3">
        <f t="shared" si="11"/>
        <v>9.9137931034482766E-3</v>
      </c>
      <c r="I105" s="3">
        <f t="shared" si="12"/>
        <v>3.5689655172413799E-2</v>
      </c>
      <c r="J105" s="35">
        <v>3.4219443075406614E-2</v>
      </c>
    </row>
    <row r="106" spans="1:10" x14ac:dyDescent="0.25">
      <c r="A106" s="99"/>
      <c r="B106" s="46">
        <v>210</v>
      </c>
      <c r="C106" t="s">
        <v>10</v>
      </c>
      <c r="D106">
        <v>1.3999999999999986</v>
      </c>
      <c r="E106">
        <v>9.6999999999999993</v>
      </c>
      <c r="F106" s="3">
        <v>11.161111111111099</v>
      </c>
      <c r="G106">
        <v>28.7</v>
      </c>
      <c r="H106" s="3">
        <f t="shared" si="11"/>
        <v>0.33797909407665505</v>
      </c>
      <c r="I106" s="3">
        <f t="shared" si="12"/>
        <v>1.2167247386759583</v>
      </c>
      <c r="J106" s="35">
        <v>1.3515751211631664</v>
      </c>
    </row>
    <row r="107" spans="1:10" x14ac:dyDescent="0.25">
      <c r="A107" s="99"/>
      <c r="B107" s="46">
        <v>213</v>
      </c>
      <c r="C107" t="s">
        <v>10</v>
      </c>
      <c r="D107">
        <v>1.6400000000000006</v>
      </c>
      <c r="E107">
        <v>11.11</v>
      </c>
      <c r="F107" s="3">
        <v>11.662222222222226</v>
      </c>
      <c r="G107">
        <v>25.6</v>
      </c>
      <c r="H107" s="3">
        <f t="shared" ref="H107:H117" si="13">E107/G107</f>
        <v>0.43398437499999998</v>
      </c>
      <c r="I107" s="3">
        <f t="shared" si="12"/>
        <v>1.5623437499999999</v>
      </c>
      <c r="J107" s="35">
        <v>1.6054721158449017</v>
      </c>
    </row>
    <row r="108" spans="1:10" x14ac:dyDescent="0.25">
      <c r="A108" s="99"/>
      <c r="B108" s="46">
        <v>229</v>
      </c>
      <c r="C108" t="s">
        <v>10</v>
      </c>
      <c r="D108">
        <v>2.4799999999999969</v>
      </c>
      <c r="E108">
        <v>17.23</v>
      </c>
      <c r="F108" s="3">
        <v>16.671111111111088</v>
      </c>
      <c r="G108">
        <v>24.2</v>
      </c>
      <c r="H108" s="3">
        <f t="shared" si="13"/>
        <v>0.7119834710743802</v>
      </c>
      <c r="I108" s="3">
        <f t="shared" si="12"/>
        <v>2.5631404958677688</v>
      </c>
      <c r="J108" s="35">
        <v>2.5322815238558913</v>
      </c>
    </row>
    <row r="109" spans="1:10" x14ac:dyDescent="0.25">
      <c r="A109" s="99"/>
      <c r="B109" s="46">
        <v>226</v>
      </c>
      <c r="C109" t="s">
        <v>10</v>
      </c>
      <c r="D109">
        <v>0.40000000000000568</v>
      </c>
      <c r="E109">
        <v>1.4</v>
      </c>
      <c r="F109" s="3">
        <v>2.9444444444444864</v>
      </c>
      <c r="G109">
        <v>26.5</v>
      </c>
      <c r="H109" s="3">
        <f t="shared" si="13"/>
        <v>5.2830188679245278E-2</v>
      </c>
      <c r="I109" s="3">
        <f t="shared" si="12"/>
        <v>0.19018867924528302</v>
      </c>
      <c r="J109" s="35">
        <v>0.2001539190149183</v>
      </c>
    </row>
    <row r="110" spans="1:10" x14ac:dyDescent="0.25">
      <c r="A110" s="99"/>
      <c r="B110" s="47">
        <v>237</v>
      </c>
      <c r="C110" t="s">
        <v>10</v>
      </c>
      <c r="D110">
        <v>1.8799999999999955</v>
      </c>
      <c r="E110">
        <v>13.42</v>
      </c>
      <c r="F110" s="3">
        <v>13.264444444444411</v>
      </c>
      <c r="G110">
        <v>25.4</v>
      </c>
      <c r="H110" s="3">
        <f t="shared" si="13"/>
        <v>0.52834645669291336</v>
      </c>
      <c r="I110" s="3">
        <f t="shared" si="12"/>
        <v>1.9020472440944882</v>
      </c>
      <c r="J110" s="35">
        <v>1.9439359404990406</v>
      </c>
    </row>
    <row r="111" spans="1:10" x14ac:dyDescent="0.25">
      <c r="A111" s="98">
        <v>17.21</v>
      </c>
      <c r="B111" s="34">
        <v>4</v>
      </c>
      <c r="C111" s="34" t="s">
        <v>10</v>
      </c>
      <c r="D111" s="34">
        <v>2.16</v>
      </c>
      <c r="E111" s="34">
        <v>10.54</v>
      </c>
      <c r="F111" s="34">
        <v>10.680000000000001</v>
      </c>
      <c r="G111" s="34">
        <v>17.8</v>
      </c>
      <c r="H111" s="39">
        <f t="shared" si="13"/>
        <v>0.59213483146067414</v>
      </c>
      <c r="I111" s="3">
        <f t="shared" si="12"/>
        <v>2.1316853932584268</v>
      </c>
      <c r="J111" s="40">
        <v>1.6799168426610349</v>
      </c>
    </row>
    <row r="112" spans="1:10" x14ac:dyDescent="0.25">
      <c r="A112" s="99"/>
      <c r="B112">
        <v>7</v>
      </c>
      <c r="C112" t="s">
        <v>10</v>
      </c>
      <c r="D112">
        <v>1.92</v>
      </c>
      <c r="E112">
        <v>11.88</v>
      </c>
      <c r="F112" s="3">
        <v>12.213333333333331</v>
      </c>
      <c r="G112">
        <v>22.9</v>
      </c>
      <c r="H112" s="3">
        <f t="shared" si="13"/>
        <v>0.51877729257641925</v>
      </c>
      <c r="I112" s="3">
        <f t="shared" si="12"/>
        <v>1.8675982532751094</v>
      </c>
      <c r="J112" s="35">
        <v>1.7740662874103392</v>
      </c>
    </row>
    <row r="113" spans="1:10" x14ac:dyDescent="0.25">
      <c r="A113" s="99"/>
      <c r="B113">
        <v>70</v>
      </c>
      <c r="C113" t="s">
        <v>10</v>
      </c>
      <c r="D113">
        <v>1.7200000000000006</v>
      </c>
      <c r="E113">
        <v>6.55</v>
      </c>
      <c r="F113" s="3">
        <v>11.275555555555561</v>
      </c>
      <c r="G113">
        <v>23.6</v>
      </c>
      <c r="H113" s="3">
        <f t="shared" si="13"/>
        <v>0.27754237288135591</v>
      </c>
      <c r="I113" s="3">
        <f t="shared" si="12"/>
        <v>0.99915254237288131</v>
      </c>
      <c r="J113" s="35">
        <v>0.9697308729769496</v>
      </c>
    </row>
    <row r="114" spans="1:10" x14ac:dyDescent="0.25">
      <c r="A114" s="99"/>
      <c r="B114">
        <v>69</v>
      </c>
      <c r="C114" t="s">
        <v>10</v>
      </c>
      <c r="D114">
        <v>1.2000000000000011</v>
      </c>
      <c r="E114">
        <v>7.33</v>
      </c>
      <c r="F114" s="3">
        <v>6.8666666666666734</v>
      </c>
      <c r="G114">
        <v>20.6</v>
      </c>
      <c r="H114" s="3">
        <f t="shared" si="13"/>
        <v>0.35582524271844657</v>
      </c>
      <c r="I114" s="3">
        <f t="shared" si="12"/>
        <v>1.2809708737864078</v>
      </c>
      <c r="J114" s="35">
        <v>1.1266516038696539</v>
      </c>
    </row>
    <row r="115" spans="1:10" x14ac:dyDescent="0.25">
      <c r="A115" s="99"/>
      <c r="B115">
        <v>93</v>
      </c>
      <c r="C115" t="s">
        <v>10</v>
      </c>
      <c r="D115">
        <v>0.35999999999999943</v>
      </c>
      <c r="E115">
        <v>1.93</v>
      </c>
      <c r="F115" s="3">
        <v>2.3599999999999963</v>
      </c>
      <c r="G115">
        <v>23.6</v>
      </c>
      <c r="H115" s="3">
        <f t="shared" si="13"/>
        <v>8.177966101694914E-2</v>
      </c>
      <c r="I115" s="3">
        <f t="shared" si="12"/>
        <v>0.29440677966101697</v>
      </c>
      <c r="J115" s="35">
        <v>0.28573749386954389</v>
      </c>
    </row>
    <row r="116" spans="1:10" x14ac:dyDescent="0.25">
      <c r="A116" s="99"/>
      <c r="B116">
        <v>104</v>
      </c>
      <c r="C116" t="s">
        <v>10</v>
      </c>
      <c r="D116">
        <v>1.3200000000000003</v>
      </c>
      <c r="E116">
        <v>8.1999999999999993</v>
      </c>
      <c r="F116" s="3">
        <v>7.7366666666666681</v>
      </c>
      <c r="G116">
        <v>21.1</v>
      </c>
      <c r="H116" s="3">
        <f t="shared" si="13"/>
        <v>0.38862559241706157</v>
      </c>
      <c r="I116" s="3">
        <f t="shared" si="12"/>
        <v>1.3990521327014216</v>
      </c>
      <c r="J116" s="35">
        <v>1.2524032380470529</v>
      </c>
    </row>
    <row r="117" spans="1:10" x14ac:dyDescent="0.25">
      <c r="A117" s="100"/>
      <c r="B117" s="36">
        <v>236</v>
      </c>
      <c r="C117" s="36" t="s">
        <v>10</v>
      </c>
      <c r="D117" s="36">
        <v>2.9199999999999946</v>
      </c>
      <c r="E117" s="36">
        <v>12.15</v>
      </c>
      <c r="F117" s="37">
        <v>24.171111111111063</v>
      </c>
      <c r="G117" s="36">
        <v>29.8</v>
      </c>
      <c r="H117" s="37">
        <f t="shared" si="13"/>
        <v>0.40771812080536912</v>
      </c>
      <c r="I117" s="3">
        <f t="shared" si="12"/>
        <v>1.4677852348993288</v>
      </c>
      <c r="J117" s="38">
        <v>1.671732566089335</v>
      </c>
    </row>
  </sheetData>
  <mergeCells count="22">
    <mergeCell ref="A73:A74"/>
    <mergeCell ref="A97:A98"/>
    <mergeCell ref="A111:A117"/>
    <mergeCell ref="A75:A82"/>
    <mergeCell ref="A83:A86"/>
    <mergeCell ref="A99:A110"/>
    <mergeCell ref="A87:A96"/>
    <mergeCell ref="A41:A48"/>
    <mergeCell ref="A49:A54"/>
    <mergeCell ref="A56:A63"/>
    <mergeCell ref="A66:A72"/>
    <mergeCell ref="A64:A65"/>
    <mergeCell ref="A2:A11"/>
    <mergeCell ref="A16:A23"/>
    <mergeCell ref="A24:A32"/>
    <mergeCell ref="A34:A40"/>
    <mergeCell ref="A12:A15"/>
    <mergeCell ref="N48:N49"/>
    <mergeCell ref="M48:M49"/>
    <mergeCell ref="O48:S48"/>
    <mergeCell ref="M47:S47"/>
    <mergeCell ref="M61:S61"/>
  </mergeCells>
  <phoneticPr fontId="28" type="noConversion"/>
  <conditionalFormatting sqref="E3:E120">
    <cfRule type="expression" dxfId="134" priority="3">
      <formula>$E3&gt;10</formula>
    </cfRule>
  </conditionalFormatting>
  <conditionalFormatting sqref="G1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{E6D4E5E8-0E4D-4876-ABB1-63ABBF94B833}</x14:id>
        </ext>
      </extLst>
    </cfRule>
  </conditionalFormatting>
  <conditionalFormatting sqref="H2:I117">
    <cfRule type="cellIs" dxfId="133" priority="1" operator="greaterThan">
      <formula>1</formula>
    </cfRule>
  </conditionalFormatting>
  <conditionalFormatting sqref="M3:M13">
    <cfRule type="cellIs" dxfId="132" priority="11" operator="between">
      <formula>4</formula>
      <formula>5</formula>
    </cfRule>
    <cfRule type="cellIs" dxfId="131" priority="12" operator="lessThan">
      <formula>3.99</formula>
    </cfRule>
    <cfRule type="cellIs" dxfId="130" priority="13" operator="greaterThan">
      <formula>5</formula>
    </cfRule>
  </conditionalFormatting>
  <conditionalFormatting sqref="N63:N6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{8FC31556-B28C-49E2-AF2D-AE8034B9CCDD}</x14:id>
        </ext>
      </extLst>
    </cfRule>
  </conditionalFormatting>
  <conditionalFormatting sqref="O50:S60">
    <cfRule type="cellIs" dxfId="129" priority="5" operator="between">
      <formula>4</formula>
      <formula>5</formula>
    </cfRule>
    <cfRule type="cellIs" dxfId="128" priority="6" operator="lessThan">
      <formula>3.99</formula>
    </cfRule>
    <cfRule type="cellIs" dxfId="127" priority="7" operator="greaterThan">
      <formula>5</formula>
    </cfRule>
  </conditionalFormatting>
  <pageMargins left="0.7" right="0.7" top="0.75" bottom="0.75" header="0.3" footer="0.3"/>
  <pageSetup scale="9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D4E5E8-0E4D-4876-ABB1-63ABBF94B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8FC31556-B28C-49E2-AF2D-AE8034B9C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N63:N69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1C77-3197-445B-A52C-9AFDEC4C7551}">
  <dimension ref="A1:AJ98"/>
  <sheetViews>
    <sheetView zoomScaleNormal="100" zoomScaleSheetLayoutView="110" workbookViewId="0">
      <pane ySplit="1" topLeftCell="A2" activePane="bottomLeft" state="frozen"/>
      <selection pane="bottomLeft" activeCell="H1" sqref="H1:I1"/>
    </sheetView>
  </sheetViews>
  <sheetFormatPr defaultRowHeight="15" x14ac:dyDescent="0.25"/>
  <cols>
    <col min="2" max="2" width="8.7109375" customWidth="1"/>
    <col min="6" max="6" width="11.28515625" customWidth="1"/>
    <col min="8" max="8" width="10.28515625" customWidth="1"/>
    <col min="9" max="9" width="10.42578125" customWidth="1"/>
    <col min="16" max="17" width="10.140625" customWidth="1"/>
    <col min="24" max="24" width="10.28515625" customWidth="1"/>
    <col min="29" max="30" width="9.28515625" bestFit="1" customWidth="1"/>
    <col min="31" max="31" width="10.140625" customWidth="1"/>
  </cols>
  <sheetData>
    <row r="1" spans="1:13" ht="45" x14ac:dyDescent="0.25">
      <c r="A1" s="2" t="s">
        <v>23</v>
      </c>
      <c r="B1" s="2" t="s">
        <v>27</v>
      </c>
      <c r="C1" s="2" t="s">
        <v>28</v>
      </c>
      <c r="D1" s="2" t="s">
        <v>15</v>
      </c>
      <c r="E1" s="2" t="s">
        <v>17</v>
      </c>
      <c r="F1" s="20" t="s">
        <v>29</v>
      </c>
      <c r="G1" s="2" t="s">
        <v>26</v>
      </c>
      <c r="H1" s="20" t="s">
        <v>79</v>
      </c>
      <c r="I1" s="20" t="s">
        <v>80</v>
      </c>
      <c r="J1" s="20" t="s">
        <v>52</v>
      </c>
    </row>
    <row r="2" spans="1:13" x14ac:dyDescent="0.25">
      <c r="A2" s="98">
        <v>8.15</v>
      </c>
      <c r="B2" s="33" t="s">
        <v>30</v>
      </c>
      <c r="C2" s="33" t="s">
        <v>30</v>
      </c>
      <c r="D2" s="34">
        <v>0</v>
      </c>
      <c r="E2" s="34">
        <v>0</v>
      </c>
      <c r="F2" s="39">
        <v>0</v>
      </c>
      <c r="G2" s="33" t="s">
        <v>30</v>
      </c>
      <c r="H2" s="34">
        <v>0</v>
      </c>
      <c r="I2" s="34">
        <v>0</v>
      </c>
      <c r="J2" s="48">
        <v>0</v>
      </c>
      <c r="L2" s="13" t="s">
        <v>15</v>
      </c>
      <c r="M2" s="13" t="s">
        <v>16</v>
      </c>
    </row>
    <row r="3" spans="1:13" x14ac:dyDescent="0.25">
      <c r="A3" s="99"/>
      <c r="B3">
        <v>50</v>
      </c>
      <c r="C3" t="s">
        <v>11</v>
      </c>
      <c r="D3">
        <v>0.40000000000000036</v>
      </c>
      <c r="E3">
        <v>4.5399999618530202</v>
      </c>
      <c r="F3" s="3">
        <v>3.8111110263400585</v>
      </c>
      <c r="G3" s="17">
        <v>34.299999237060497</v>
      </c>
      <c r="H3" s="3">
        <f t="shared" ref="H3:H20" si="0">E3/G3</f>
        <v>0.1323615178669636</v>
      </c>
      <c r="I3" s="3">
        <f>E3/(G3/3.6)</f>
        <v>0.47650146432106888</v>
      </c>
      <c r="J3" s="35">
        <v>0.59419575105907907</v>
      </c>
      <c r="L3" s="11">
        <v>0</v>
      </c>
      <c r="M3" s="23">
        <v>0</v>
      </c>
    </row>
    <row r="4" spans="1:13" x14ac:dyDescent="0.25">
      <c r="A4" s="99"/>
      <c r="B4">
        <v>76</v>
      </c>
      <c r="C4" t="s">
        <v>11</v>
      </c>
      <c r="D4">
        <v>0.19999999999999929</v>
      </c>
      <c r="E4">
        <v>0.28000000119209201</v>
      </c>
      <c r="F4" s="3">
        <v>1.272222201029451</v>
      </c>
      <c r="G4" s="17">
        <v>22.899999618530199</v>
      </c>
      <c r="H4" s="3">
        <f t="shared" si="0"/>
        <v>1.2227074491543742E-2</v>
      </c>
      <c r="I4" s="3">
        <f t="shared" ref="I4:I28" si="1">E4/(G4/3.6)</f>
        <v>4.4017468169557469E-2</v>
      </c>
      <c r="J4" s="35">
        <v>4.1813010516261587E-2</v>
      </c>
      <c r="L4" s="11">
        <v>0.1</v>
      </c>
      <c r="M4" s="23">
        <f>SLOPE($E$2:$E$28, $D$2:$D$28) * L4 + INTERCEPT($E$2:$E$28, $D$2:$D$28)</f>
        <v>0.61096570208831502</v>
      </c>
    </row>
    <row r="5" spans="1:13" x14ac:dyDescent="0.25">
      <c r="A5" s="100"/>
      <c r="B5" s="36">
        <v>96</v>
      </c>
      <c r="C5" s="36" t="s">
        <v>11</v>
      </c>
      <c r="D5" s="36">
        <v>0.4399999999999995</v>
      </c>
      <c r="E5" s="36">
        <v>1.75999999046325</v>
      </c>
      <c r="F5" s="37">
        <v>3.067777824401849</v>
      </c>
      <c r="G5" s="54">
        <v>25.100000381469702</v>
      </c>
      <c r="H5" s="37">
        <f t="shared" si="0"/>
        <v>7.0119520466724206E-2</v>
      </c>
      <c r="I5" s="3">
        <f t="shared" si="1"/>
        <v>0.25243027368020715</v>
      </c>
      <c r="J5" s="38">
        <v>0.25586322883746299</v>
      </c>
      <c r="L5" s="11">
        <v>0.2</v>
      </c>
      <c r="M5" s="23">
        <f t="shared" ref="M5:M13" si="2">SLOPE($E$2:$E$28, $D$2:$D$28) * L5 + INTERCEPT($E$2:$E$28, $D$2:$D$28)</f>
        <v>1.2936133306732889</v>
      </c>
    </row>
    <row r="6" spans="1:13" x14ac:dyDescent="0.25">
      <c r="A6" s="98">
        <v>8.58</v>
      </c>
      <c r="B6" s="34">
        <v>11</v>
      </c>
      <c r="C6" s="34" t="s">
        <v>11</v>
      </c>
      <c r="D6" s="34">
        <v>1.1600000000000001</v>
      </c>
      <c r="E6" s="34">
        <v>6.46000003814697</v>
      </c>
      <c r="F6" s="39">
        <v>7.7655556784735715</v>
      </c>
      <c r="G6" s="53">
        <v>24.100000381469702</v>
      </c>
      <c r="H6" s="39">
        <f t="shared" si="0"/>
        <v>0.26804978987112432</v>
      </c>
      <c r="I6" s="3">
        <f t="shared" si="1"/>
        <v>0.96497924353604769</v>
      </c>
      <c r="J6" s="40">
        <v>0.95057884594208664</v>
      </c>
      <c r="L6" s="11">
        <v>0.3</v>
      </c>
      <c r="M6" s="23">
        <f t="shared" si="2"/>
        <v>1.9762609592582625</v>
      </c>
    </row>
    <row r="7" spans="1:13" x14ac:dyDescent="0.25">
      <c r="A7" s="99"/>
      <c r="B7">
        <v>34</v>
      </c>
      <c r="C7" t="s">
        <v>11</v>
      </c>
      <c r="D7">
        <v>0.96000000000000085</v>
      </c>
      <c r="E7">
        <v>6.5900001525878897</v>
      </c>
      <c r="F7" s="3">
        <v>6.3466664632161383</v>
      </c>
      <c r="G7" s="17">
        <v>23.799999237060501</v>
      </c>
      <c r="H7" s="3">
        <f t="shared" si="0"/>
        <v>0.27689077158986541</v>
      </c>
      <c r="I7" s="3">
        <f t="shared" si="1"/>
        <v>0.99680677772351534</v>
      </c>
      <c r="J7" s="35">
        <v>0.9732662987407299</v>
      </c>
      <c r="L7" s="11">
        <v>0.4</v>
      </c>
      <c r="M7" s="23">
        <f t="shared" si="2"/>
        <v>2.6589085878432366</v>
      </c>
    </row>
    <row r="8" spans="1:13" x14ac:dyDescent="0.25">
      <c r="A8" s="99"/>
      <c r="B8">
        <v>48</v>
      </c>
      <c r="C8" t="s">
        <v>11</v>
      </c>
      <c r="D8">
        <v>8.0000000000000071E-2</v>
      </c>
      <c r="E8">
        <v>0.28999999165534901</v>
      </c>
      <c r="F8" s="3">
        <v>0.44444444444444481</v>
      </c>
      <c r="G8" s="17">
        <v>20</v>
      </c>
      <c r="H8" s="3">
        <f t="shared" si="0"/>
        <v>1.449999958276745E-2</v>
      </c>
      <c r="I8" s="3">
        <f t="shared" si="1"/>
        <v>5.2199998497962821E-2</v>
      </c>
      <c r="J8" s="35">
        <v>4.4917263971759103E-2</v>
      </c>
      <c r="L8" s="11">
        <v>0.5</v>
      </c>
      <c r="M8" s="23">
        <f t="shared" si="2"/>
        <v>3.3415562164282102</v>
      </c>
    </row>
    <row r="9" spans="1:13" x14ac:dyDescent="0.25">
      <c r="A9" s="99"/>
      <c r="B9">
        <v>31</v>
      </c>
      <c r="C9" t="s">
        <v>11</v>
      </c>
      <c r="D9">
        <v>0.5600000000000005</v>
      </c>
      <c r="E9">
        <v>5.0500001907348597</v>
      </c>
      <c r="F9" s="3">
        <v>2.4422221925523511</v>
      </c>
      <c r="G9" s="17">
        <v>15.699999809265099</v>
      </c>
      <c r="H9" s="3">
        <f t="shared" si="0"/>
        <v>0.32165606701184063</v>
      </c>
      <c r="I9" s="3">
        <f t="shared" si="1"/>
        <v>1.1579618412426262</v>
      </c>
      <c r="J9" s="35">
        <v>0.82784078822999674</v>
      </c>
      <c r="L9" s="11">
        <v>0.6</v>
      </c>
      <c r="M9" s="23">
        <f t="shared" si="2"/>
        <v>4.0242038450131838</v>
      </c>
    </row>
    <row r="10" spans="1:13" x14ac:dyDescent="0.25">
      <c r="A10" s="99"/>
      <c r="B10">
        <v>58</v>
      </c>
      <c r="C10" t="s">
        <v>11</v>
      </c>
      <c r="D10">
        <v>0.4399999999999995</v>
      </c>
      <c r="E10">
        <v>1.8600000143051101</v>
      </c>
      <c r="F10" s="3">
        <v>2.6033332400851696</v>
      </c>
      <c r="G10" s="17">
        <v>21.299999237060501</v>
      </c>
      <c r="H10" s="3">
        <f t="shared" si="0"/>
        <v>8.7323947461408397E-2</v>
      </c>
      <c r="I10" s="3">
        <f t="shared" si="1"/>
        <v>0.31436621086107025</v>
      </c>
      <c r="J10" s="35">
        <v>0.28336488000157034</v>
      </c>
      <c r="L10" s="11">
        <v>0.7</v>
      </c>
      <c r="M10" s="23">
        <f t="shared" si="2"/>
        <v>4.7068514735981575</v>
      </c>
    </row>
    <row r="11" spans="1:13" x14ac:dyDescent="0.25">
      <c r="A11" s="99"/>
      <c r="B11">
        <v>89</v>
      </c>
      <c r="C11" t="s">
        <v>11</v>
      </c>
      <c r="D11">
        <v>1.1600000000000001</v>
      </c>
      <c r="E11">
        <v>6.6500000953674299</v>
      </c>
      <c r="F11" s="3">
        <v>7.25</v>
      </c>
      <c r="G11" s="17">
        <v>22.5</v>
      </c>
      <c r="H11" s="3">
        <f t="shared" si="0"/>
        <v>0.29555555979410797</v>
      </c>
      <c r="I11" s="3">
        <f t="shared" si="1"/>
        <v>1.0640000152587887</v>
      </c>
      <c r="J11" s="35">
        <v>0.99799591289537304</v>
      </c>
      <c r="L11" s="11">
        <v>0.8</v>
      </c>
      <c r="M11" s="23">
        <f t="shared" si="2"/>
        <v>5.389499102183132</v>
      </c>
    </row>
    <row r="12" spans="1:13" x14ac:dyDescent="0.25">
      <c r="A12" s="99"/>
      <c r="B12">
        <v>82</v>
      </c>
      <c r="C12" t="s">
        <v>11</v>
      </c>
      <c r="D12">
        <v>0.59999999999999964</v>
      </c>
      <c r="E12">
        <v>4.9800000190734801</v>
      </c>
      <c r="F12" s="3">
        <v>1.4833332697550439</v>
      </c>
      <c r="G12" s="17">
        <v>8.8999996185302699</v>
      </c>
      <c r="H12" s="3">
        <f t="shared" si="0"/>
        <v>0.55955058792416767</v>
      </c>
      <c r="I12" s="3">
        <f t="shared" si="1"/>
        <v>2.0143821165270035</v>
      </c>
      <c r="J12" s="35">
        <v>0.89939426523188692</v>
      </c>
      <c r="L12" s="11">
        <v>0.9</v>
      </c>
      <c r="M12" s="23">
        <f t="shared" si="2"/>
        <v>6.0721467307681056</v>
      </c>
    </row>
    <row r="13" spans="1:13" x14ac:dyDescent="0.25">
      <c r="A13" s="99"/>
      <c r="B13">
        <v>139</v>
      </c>
      <c r="C13" t="s">
        <v>11</v>
      </c>
      <c r="D13">
        <v>0.32000000000000028</v>
      </c>
      <c r="E13">
        <v>2.4300000667571999</v>
      </c>
      <c r="F13" s="3">
        <v>1.9111111111111128</v>
      </c>
      <c r="G13" s="17">
        <v>21.5</v>
      </c>
      <c r="H13" s="3">
        <f t="shared" si="0"/>
        <v>0.11302325891893954</v>
      </c>
      <c r="I13" s="3">
        <f t="shared" si="1"/>
        <v>0.40688373210818229</v>
      </c>
      <c r="J13" s="35">
        <v>0.36927071238476206</v>
      </c>
      <c r="L13" s="11">
        <v>1</v>
      </c>
      <c r="M13" s="23">
        <f t="shared" si="2"/>
        <v>6.7547943593530793</v>
      </c>
    </row>
    <row r="14" spans="1:13" x14ac:dyDescent="0.25">
      <c r="A14" s="99"/>
      <c r="B14">
        <v>117</v>
      </c>
      <c r="C14" t="s">
        <v>11</v>
      </c>
      <c r="D14">
        <v>0.67999999999999972</v>
      </c>
      <c r="E14">
        <v>4.0199999809265101</v>
      </c>
      <c r="F14" s="3">
        <v>4.7222222222222205</v>
      </c>
      <c r="G14" s="17">
        <v>25</v>
      </c>
      <c r="H14" s="3">
        <f t="shared" si="0"/>
        <v>0.1607999992370604</v>
      </c>
      <c r="I14" s="3">
        <f t="shared" si="1"/>
        <v>0.57887999725341743</v>
      </c>
      <c r="J14" s="35">
        <v>0.58511933184290754</v>
      </c>
    </row>
    <row r="15" spans="1:13" x14ac:dyDescent="0.25">
      <c r="A15" s="99"/>
      <c r="B15">
        <v>146</v>
      </c>
      <c r="C15" t="s">
        <v>11</v>
      </c>
      <c r="D15">
        <v>1</v>
      </c>
      <c r="E15">
        <v>5.5199999809265101</v>
      </c>
      <c r="F15" s="3">
        <v>8.1388886769612494</v>
      </c>
      <c r="G15" s="17">
        <v>29.299999237060501</v>
      </c>
      <c r="H15" s="3">
        <f t="shared" si="0"/>
        <v>0.18839590869150821</v>
      </c>
      <c r="I15" s="3">
        <f t="shared" si="1"/>
        <v>0.67822527128942955</v>
      </c>
      <c r="J15" s="35">
        <v>0.76385514958128453</v>
      </c>
    </row>
    <row r="16" spans="1:13" x14ac:dyDescent="0.25">
      <c r="A16" s="99"/>
      <c r="B16">
        <v>183</v>
      </c>
      <c r="C16" t="s">
        <v>11</v>
      </c>
      <c r="D16">
        <v>1.120000000000001</v>
      </c>
      <c r="E16">
        <v>7.8099999427795401</v>
      </c>
      <c r="F16" s="3">
        <v>10.546667141384557</v>
      </c>
      <c r="G16" s="17">
        <v>33.900001525878899</v>
      </c>
      <c r="H16" s="3">
        <f t="shared" si="0"/>
        <v>0.23038346876820845</v>
      </c>
      <c r="I16" s="3">
        <f t="shared" si="1"/>
        <v>0.82938048756555049</v>
      </c>
      <c r="J16" s="35">
        <v>1.0266247304872407</v>
      </c>
    </row>
    <row r="17" spans="1:10" x14ac:dyDescent="0.25">
      <c r="A17" s="99"/>
      <c r="B17">
        <v>122</v>
      </c>
      <c r="C17" t="s">
        <v>11</v>
      </c>
      <c r="D17">
        <v>1.5999999999999979</v>
      </c>
      <c r="E17">
        <v>15.1300001144409</v>
      </c>
      <c r="F17" s="3">
        <v>7.6888885498046564</v>
      </c>
      <c r="G17" s="17">
        <v>17.299999237060501</v>
      </c>
      <c r="H17" s="3">
        <f t="shared" si="0"/>
        <v>0.87456651917238393</v>
      </c>
      <c r="I17" s="3">
        <f t="shared" si="1"/>
        <v>3.1484394690205826</v>
      </c>
      <c r="J17" s="35">
        <v>2.4275146589678545</v>
      </c>
    </row>
    <row r="18" spans="1:10" x14ac:dyDescent="0.25">
      <c r="A18" s="99"/>
      <c r="B18">
        <v>208</v>
      </c>
      <c r="C18" t="s">
        <v>11</v>
      </c>
      <c r="D18">
        <v>1.6799999999999997</v>
      </c>
      <c r="E18">
        <v>8.7399997711181605</v>
      </c>
      <c r="F18" s="3">
        <v>13.999999999999996</v>
      </c>
      <c r="G18" s="17">
        <v>30</v>
      </c>
      <c r="H18" s="3">
        <f t="shared" si="0"/>
        <v>0.29133332570393866</v>
      </c>
      <c r="I18" s="3">
        <f t="shared" si="1"/>
        <v>1.0487999725341792</v>
      </c>
      <c r="J18" s="35">
        <v>1.1998123833134582</v>
      </c>
    </row>
    <row r="19" spans="1:10" x14ac:dyDescent="0.25">
      <c r="A19" s="99"/>
      <c r="B19">
        <v>221</v>
      </c>
      <c r="C19" t="s">
        <v>11</v>
      </c>
      <c r="D19">
        <v>0.92000000000000171</v>
      </c>
      <c r="E19">
        <v>7.9800000190734801</v>
      </c>
      <c r="F19" s="3">
        <v>6.3122224171956365</v>
      </c>
      <c r="G19" s="17">
        <v>24.7000007629394</v>
      </c>
      <c r="H19" s="3">
        <f t="shared" si="0"/>
        <v>0.32307691386985316</v>
      </c>
      <c r="I19" s="3">
        <f t="shared" si="1"/>
        <v>1.1630768899314714</v>
      </c>
      <c r="J19" s="35">
        <v>1.1657210179160149</v>
      </c>
    </row>
    <row r="20" spans="1:10" x14ac:dyDescent="0.25">
      <c r="A20" s="100"/>
      <c r="B20" s="36">
        <v>248</v>
      </c>
      <c r="C20" s="36" t="s">
        <v>11</v>
      </c>
      <c r="D20" s="36">
        <v>1.1199999999999974</v>
      </c>
      <c r="E20" s="36">
        <v>8.7299995422363192</v>
      </c>
      <c r="F20" s="37">
        <v>8.8044442070854689</v>
      </c>
      <c r="G20" s="54">
        <v>28.299999237060501</v>
      </c>
      <c r="H20" s="37">
        <f t="shared" si="0"/>
        <v>0.3084805575119548</v>
      </c>
      <c r="I20" s="3">
        <f t="shared" si="1"/>
        <v>1.1105300070430373</v>
      </c>
      <c r="J20" s="38">
        <v>1.2220582588089506</v>
      </c>
    </row>
    <row r="21" spans="1:10" x14ac:dyDescent="0.25">
      <c r="A21" s="98">
        <v>9.0299999999999994</v>
      </c>
      <c r="B21" s="34">
        <v>17</v>
      </c>
      <c r="C21" s="34" t="s">
        <v>11</v>
      </c>
      <c r="D21" s="34">
        <v>0.20000000000000018</v>
      </c>
      <c r="E21" s="34">
        <v>1.7699999809265099</v>
      </c>
      <c r="F21" s="39">
        <v>1.1944444444444455</v>
      </c>
      <c r="G21" s="53">
        <v>21.5</v>
      </c>
      <c r="H21" s="39">
        <f t="shared" ref="H21:H26" si="3">E21/G21</f>
        <v>8.2325580508209761E-2</v>
      </c>
      <c r="I21" s="3">
        <f t="shared" si="1"/>
        <v>0.29637208982955515</v>
      </c>
      <c r="J21" s="40">
        <v>0.26897495305421104</v>
      </c>
    </row>
    <row r="22" spans="1:10" x14ac:dyDescent="0.25">
      <c r="A22" s="99"/>
      <c r="B22">
        <v>33</v>
      </c>
      <c r="C22" t="s">
        <v>11</v>
      </c>
      <c r="D22">
        <v>0.48</v>
      </c>
      <c r="E22">
        <v>3.1900000572204501</v>
      </c>
      <c r="F22" s="3">
        <v>2.9733332316080667</v>
      </c>
      <c r="G22" s="17">
        <v>22.299999237060501</v>
      </c>
      <c r="H22" s="3">
        <f t="shared" si="3"/>
        <v>0.14304933481427973</v>
      </c>
      <c r="I22" s="3">
        <f t="shared" si="1"/>
        <v>0.51497760533140702</v>
      </c>
      <c r="J22" s="35">
        <v>0.47993086290923442</v>
      </c>
    </row>
    <row r="23" spans="1:10" x14ac:dyDescent="0.25">
      <c r="A23" s="99"/>
      <c r="B23">
        <v>27</v>
      </c>
      <c r="C23" t="s">
        <v>11</v>
      </c>
      <c r="D23">
        <v>1.0000000000000004</v>
      </c>
      <c r="E23">
        <v>7.21000003814697</v>
      </c>
      <c r="F23" s="3">
        <v>5.7777775658501422</v>
      </c>
      <c r="G23" s="17">
        <v>20.799999237060501</v>
      </c>
      <c r="H23" s="3">
        <f t="shared" si="3"/>
        <v>0.34663462993308752</v>
      </c>
      <c r="I23" s="3">
        <f t="shared" si="1"/>
        <v>1.2478846677591153</v>
      </c>
      <c r="J23" s="35">
        <v>1.1053929825288553</v>
      </c>
    </row>
    <row r="24" spans="1:10" x14ac:dyDescent="0.25">
      <c r="A24" s="99"/>
      <c r="B24">
        <v>144</v>
      </c>
      <c r="C24" t="s">
        <v>11</v>
      </c>
      <c r="D24">
        <v>0.60000000000000142</v>
      </c>
      <c r="E24">
        <v>4.8099999427795401</v>
      </c>
      <c r="F24" s="3">
        <v>3.2000001271565739</v>
      </c>
      <c r="G24" s="17">
        <v>19.2000007629394</v>
      </c>
      <c r="H24" s="3">
        <f t="shared" si="3"/>
        <v>0.25052082039829876</v>
      </c>
      <c r="I24" s="3">
        <f t="shared" si="1"/>
        <v>0.90187495343387547</v>
      </c>
      <c r="J24" s="35">
        <v>0.75273132108313334</v>
      </c>
    </row>
    <row r="25" spans="1:10" x14ac:dyDescent="0.25">
      <c r="A25" s="100"/>
      <c r="B25" s="36">
        <v>276</v>
      </c>
      <c r="C25" s="36" t="s">
        <v>11</v>
      </c>
      <c r="D25" s="36">
        <v>1.480000000000004</v>
      </c>
      <c r="E25" s="36">
        <v>9.1899995803833008</v>
      </c>
      <c r="F25" s="37">
        <v>7.1533331765068784</v>
      </c>
      <c r="G25" s="54">
        <v>17.399999618530199</v>
      </c>
      <c r="H25" s="37">
        <f t="shared" si="3"/>
        <v>0.52816090700349061</v>
      </c>
      <c r="I25" s="3">
        <f t="shared" si="1"/>
        <v>1.9013792652125663</v>
      </c>
      <c r="J25" s="38">
        <v>1.4725218351227571</v>
      </c>
    </row>
    <row r="26" spans="1:10" x14ac:dyDescent="0.25">
      <c r="A26" s="98">
        <v>17.21</v>
      </c>
      <c r="B26" s="34">
        <v>12</v>
      </c>
      <c r="C26" s="34" t="s">
        <v>11</v>
      </c>
      <c r="D26" s="34">
        <v>0.60000000000000009</v>
      </c>
      <c r="E26" s="34">
        <v>2.85</v>
      </c>
      <c r="F26" s="39">
        <v>3.683333333333334</v>
      </c>
      <c r="G26" s="53">
        <v>22.1</v>
      </c>
      <c r="H26" s="39">
        <f t="shared" si="3"/>
        <v>0.12895927601809953</v>
      </c>
      <c r="I26" s="3">
        <f t="shared" si="1"/>
        <v>0.46425339366515833</v>
      </c>
      <c r="J26" s="40">
        <v>0.429849487884087</v>
      </c>
    </row>
    <row r="27" spans="1:10" x14ac:dyDescent="0.25">
      <c r="A27" s="99"/>
      <c r="B27">
        <v>30</v>
      </c>
      <c r="C27" t="s">
        <v>11</v>
      </c>
      <c r="D27">
        <v>0.79999999999999982</v>
      </c>
      <c r="E27">
        <v>4.34</v>
      </c>
      <c r="F27" s="3">
        <v>5.3999999999999995</v>
      </c>
      <c r="G27" s="17">
        <v>24.3</v>
      </c>
      <c r="H27" s="3">
        <f>E27/G27</f>
        <v>0.17860082304526748</v>
      </c>
      <c r="I27" s="3">
        <f t="shared" si="1"/>
        <v>0.64296296296296296</v>
      </c>
      <c r="J27" s="35">
        <v>0.63707148067104302</v>
      </c>
    </row>
    <row r="28" spans="1:10" x14ac:dyDescent="0.25">
      <c r="A28" s="100"/>
      <c r="B28" s="36">
        <v>35</v>
      </c>
      <c r="C28" s="36" t="s">
        <v>11</v>
      </c>
      <c r="D28" s="36">
        <v>1</v>
      </c>
      <c r="E28" s="36">
        <v>6.51</v>
      </c>
      <c r="F28" s="37">
        <v>6.75</v>
      </c>
      <c r="G28" s="54">
        <v>24.3</v>
      </c>
      <c r="H28" s="37">
        <f>E28/G28</f>
        <v>0.26790123456790121</v>
      </c>
      <c r="I28" s="3">
        <f t="shared" si="1"/>
        <v>0.96444444444444444</v>
      </c>
      <c r="J28" s="38">
        <v>0.95560722100656459</v>
      </c>
    </row>
    <row r="29" spans="1:10" x14ac:dyDescent="0.25">
      <c r="A29" s="52"/>
    </row>
    <row r="30" spans="1:10" x14ac:dyDescent="0.25">
      <c r="A30" s="52"/>
      <c r="F30" s="3"/>
      <c r="H30" s="3"/>
      <c r="I30" s="3"/>
      <c r="J30" s="3"/>
    </row>
    <row r="31" spans="1:10" x14ac:dyDescent="0.25">
      <c r="A31" s="52"/>
      <c r="F31" s="3"/>
      <c r="H31" s="3"/>
      <c r="I31" s="3"/>
      <c r="J31" s="3"/>
    </row>
    <row r="32" spans="1:10" x14ac:dyDescent="0.25">
      <c r="A32" s="52"/>
      <c r="F32" s="3"/>
      <c r="H32" s="3"/>
      <c r="I32" s="3"/>
      <c r="J32" s="3"/>
    </row>
    <row r="33" spans="1:22" x14ac:dyDescent="0.25">
      <c r="A33" s="52"/>
      <c r="F33" s="3"/>
      <c r="H33" s="3"/>
      <c r="I33" s="3"/>
      <c r="J33" s="3"/>
    </row>
    <row r="34" spans="1:22" x14ac:dyDescent="0.25">
      <c r="A34" s="52"/>
      <c r="F34" s="3"/>
      <c r="H34" s="3"/>
      <c r="I34" s="3"/>
      <c r="J34" s="3"/>
    </row>
    <row r="35" spans="1:22" x14ac:dyDescent="0.25">
      <c r="A35" s="52"/>
      <c r="F35" s="3"/>
      <c r="H35" s="3"/>
      <c r="I35" s="3"/>
      <c r="J35" s="3"/>
    </row>
    <row r="36" spans="1:22" x14ac:dyDescent="0.25">
      <c r="A36" s="52"/>
      <c r="F36" s="3"/>
      <c r="H36" s="3"/>
      <c r="I36" s="3"/>
      <c r="J36" s="3"/>
    </row>
    <row r="37" spans="1:22" x14ac:dyDescent="0.25">
      <c r="A37" s="52"/>
      <c r="F37" s="3"/>
      <c r="H37" s="3"/>
      <c r="I37" s="3"/>
      <c r="J37" s="3"/>
    </row>
    <row r="38" spans="1:22" ht="15.75" x14ac:dyDescent="0.25">
      <c r="A38" s="52"/>
      <c r="F38" s="3"/>
      <c r="H38" s="3"/>
      <c r="I38" s="3"/>
      <c r="J38" s="3"/>
      <c r="P38" s="96" t="s">
        <v>63</v>
      </c>
      <c r="Q38" s="96"/>
      <c r="R38" s="96"/>
      <c r="S38" s="96"/>
      <c r="T38" s="96"/>
      <c r="U38" s="96"/>
      <c r="V38" s="96"/>
    </row>
    <row r="39" spans="1:22" ht="15" customHeight="1" x14ac:dyDescent="0.25">
      <c r="A39" s="52"/>
      <c r="F39" s="3"/>
      <c r="H39" s="3"/>
      <c r="I39" s="3"/>
      <c r="J39" s="3"/>
      <c r="P39" s="101" t="s">
        <v>73</v>
      </c>
      <c r="Q39" s="101" t="s">
        <v>39</v>
      </c>
      <c r="R39" s="95" t="s">
        <v>62</v>
      </c>
      <c r="S39" s="95"/>
      <c r="T39" s="95"/>
      <c r="U39" s="95"/>
      <c r="V39" s="95"/>
    </row>
    <row r="40" spans="1:22" x14ac:dyDescent="0.25">
      <c r="F40" s="3"/>
      <c r="H40" s="3"/>
      <c r="I40" s="3"/>
      <c r="J40" s="3"/>
      <c r="P40" s="101"/>
      <c r="Q40" s="101"/>
      <c r="R40" s="58">
        <v>17</v>
      </c>
      <c r="S40" s="58">
        <v>18</v>
      </c>
      <c r="T40" s="58">
        <v>19</v>
      </c>
      <c r="U40" s="58">
        <v>20</v>
      </c>
      <c r="V40" s="58">
        <v>21</v>
      </c>
    </row>
    <row r="41" spans="1:22" x14ac:dyDescent="0.25">
      <c r="A41" s="52"/>
      <c r="F41" s="3"/>
      <c r="H41" s="3"/>
      <c r="I41" s="3"/>
      <c r="J41" s="3"/>
      <c r="P41" s="59">
        <v>0</v>
      </c>
      <c r="Q41" s="51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</row>
    <row r="42" spans="1:22" x14ac:dyDescent="0.25">
      <c r="A42" s="52"/>
      <c r="F42" s="3"/>
      <c r="H42" s="3"/>
      <c r="I42" s="3"/>
      <c r="J42" s="3"/>
      <c r="P42" s="59">
        <v>0.1</v>
      </c>
      <c r="Q42" s="51">
        <f t="shared" ref="Q42:Q51" si="4">SLOPE($H$2:$H$98, $D$2:$D$98) * P42 + INTERCEPT($H$2:$H$98, $D$2:$D$98)</f>
        <v>3.6872479194215116E-2</v>
      </c>
      <c r="R42" s="12">
        <f t="shared" ref="R42:R51" si="5">$R$40*Q42</f>
        <v>0.62683214630165696</v>
      </c>
      <c r="S42" s="12">
        <f t="shared" ref="S42:S51" si="6">$S$40*Q42</f>
        <v>0.66370462549587206</v>
      </c>
      <c r="T42" s="12">
        <f t="shared" ref="T42:T51" si="7">$T$40*Q42</f>
        <v>0.70057710469008716</v>
      </c>
      <c r="U42" s="12">
        <f t="shared" ref="U42:U51" si="8">$U$40*Q42</f>
        <v>0.73744958388430226</v>
      </c>
      <c r="V42" s="12">
        <f t="shared" ref="V42:V51" si="9">$V$40*Q42</f>
        <v>0.77432206307851748</v>
      </c>
    </row>
    <row r="43" spans="1:22" x14ac:dyDescent="0.25">
      <c r="A43" s="52"/>
      <c r="F43" s="3"/>
      <c r="H43" s="3"/>
      <c r="I43" s="3"/>
      <c r="J43" s="3"/>
      <c r="P43" s="59">
        <v>0.2</v>
      </c>
      <c r="Q43" s="51">
        <f t="shared" si="4"/>
        <v>6.7369073920355821E-2</v>
      </c>
      <c r="R43" s="12">
        <f t="shared" si="5"/>
        <v>1.145274256646049</v>
      </c>
      <c r="S43" s="12">
        <f t="shared" si="6"/>
        <v>1.2126433305664048</v>
      </c>
      <c r="T43" s="12">
        <f t="shared" si="7"/>
        <v>1.2800124044867607</v>
      </c>
      <c r="U43" s="12">
        <f t="shared" si="8"/>
        <v>1.3473814784071165</v>
      </c>
      <c r="V43" s="12">
        <f t="shared" si="9"/>
        <v>1.4147505523274722</v>
      </c>
    </row>
    <row r="44" spans="1:22" x14ac:dyDescent="0.25">
      <c r="A44" s="52"/>
      <c r="F44" s="3"/>
      <c r="H44" s="3"/>
      <c r="I44" s="3"/>
      <c r="J44" s="3"/>
      <c r="P44" s="59">
        <v>0.3</v>
      </c>
      <c r="Q44" s="51">
        <f t="shared" si="4"/>
        <v>9.7865668646496526E-2</v>
      </c>
      <c r="R44" s="12">
        <f t="shared" si="5"/>
        <v>1.6637163669904409</v>
      </c>
      <c r="S44" s="12">
        <f t="shared" si="6"/>
        <v>1.7615820356369374</v>
      </c>
      <c r="T44" s="12">
        <f t="shared" si="7"/>
        <v>1.8594477042834341</v>
      </c>
      <c r="U44" s="12">
        <f t="shared" si="8"/>
        <v>1.9573133729299306</v>
      </c>
      <c r="V44" s="12">
        <f t="shared" si="9"/>
        <v>2.0551790415764271</v>
      </c>
    </row>
    <row r="45" spans="1:22" ht="15.75" thickBot="1" x14ac:dyDescent="0.3">
      <c r="A45" s="52"/>
      <c r="F45" s="3"/>
      <c r="H45" s="3"/>
      <c r="I45" s="3"/>
      <c r="J45" s="3"/>
      <c r="P45" s="59">
        <v>0.4</v>
      </c>
      <c r="Q45" s="51">
        <f t="shared" si="4"/>
        <v>0.12836226337263723</v>
      </c>
      <c r="R45" s="12">
        <f t="shared" si="5"/>
        <v>2.1821584773348328</v>
      </c>
      <c r="S45" s="12">
        <f t="shared" si="6"/>
        <v>2.3105207407074699</v>
      </c>
      <c r="T45" s="91">
        <f t="shared" si="7"/>
        <v>2.4388830040801075</v>
      </c>
      <c r="U45" s="12">
        <f t="shared" si="8"/>
        <v>2.5672452674527446</v>
      </c>
      <c r="V45" s="12">
        <f t="shared" si="9"/>
        <v>2.6956075308253817</v>
      </c>
    </row>
    <row r="46" spans="1:22" ht="15.75" thickBot="1" x14ac:dyDescent="0.3">
      <c r="A46" s="52"/>
      <c r="F46" s="3"/>
      <c r="H46" s="3"/>
      <c r="I46" s="3"/>
      <c r="J46" s="3"/>
      <c r="M46" s="31" t="s">
        <v>42</v>
      </c>
      <c r="N46" s="30">
        <f>AVERAGEIF($G$3:$G$98,"&gt;0")</f>
        <v>23.096153706770643</v>
      </c>
      <c r="P46" s="84">
        <v>0.5</v>
      </c>
      <c r="Q46" s="51">
        <f t="shared" si="4"/>
        <v>0.15885885809877795</v>
      </c>
      <c r="R46" s="12">
        <f t="shared" si="5"/>
        <v>2.700600587679225</v>
      </c>
      <c r="S46" s="60">
        <f t="shared" si="6"/>
        <v>2.8594594457780032</v>
      </c>
      <c r="T46" s="92">
        <f t="shared" si="7"/>
        <v>3.0183183038767809</v>
      </c>
      <c r="U46" s="61">
        <f t="shared" si="8"/>
        <v>3.1771771619755591</v>
      </c>
      <c r="V46" s="12">
        <f t="shared" si="9"/>
        <v>3.3360360200743369</v>
      </c>
    </row>
    <row r="47" spans="1:22" x14ac:dyDescent="0.25">
      <c r="F47" s="3"/>
      <c r="H47" s="3"/>
      <c r="I47" s="3"/>
      <c r="J47" s="3"/>
      <c r="M47" s="31" t="s">
        <v>44</v>
      </c>
      <c r="N47" s="30">
        <f>MIN($G$3:$G$98)</f>
        <v>8.8999996185302699</v>
      </c>
      <c r="P47" s="59">
        <v>0.6</v>
      </c>
      <c r="Q47" s="51">
        <f t="shared" si="4"/>
        <v>0.18935545282491864</v>
      </c>
      <c r="R47" s="12">
        <f t="shared" si="5"/>
        <v>3.2190426980236171</v>
      </c>
      <c r="S47" s="12">
        <f t="shared" si="6"/>
        <v>3.4083981508485355</v>
      </c>
      <c r="T47" s="62">
        <f t="shared" si="7"/>
        <v>3.5977536036734543</v>
      </c>
      <c r="U47" s="12">
        <f t="shared" si="8"/>
        <v>3.7871090564983727</v>
      </c>
      <c r="V47" s="12">
        <f t="shared" si="9"/>
        <v>3.9764645093232915</v>
      </c>
    </row>
    <row r="48" spans="1:22" x14ac:dyDescent="0.25">
      <c r="A48" s="52"/>
      <c r="F48" s="3"/>
      <c r="H48" s="3"/>
      <c r="I48" s="3"/>
      <c r="J48" s="3"/>
      <c r="M48" s="31" t="s">
        <v>43</v>
      </c>
      <c r="N48" s="30">
        <f>MAX($G$3:$G$98)</f>
        <v>34.299999237060497</v>
      </c>
      <c r="P48" s="59">
        <v>0.7</v>
      </c>
      <c r="Q48" s="51">
        <f t="shared" si="4"/>
        <v>0.21985204755105936</v>
      </c>
      <c r="R48" s="12">
        <f t="shared" si="5"/>
        <v>3.7374848083680092</v>
      </c>
      <c r="S48" s="12">
        <f t="shared" si="6"/>
        <v>3.9573368559190687</v>
      </c>
      <c r="T48" s="12">
        <f t="shared" si="7"/>
        <v>4.1771889034701282</v>
      </c>
      <c r="U48" s="12">
        <f t="shared" si="8"/>
        <v>4.3970409510211876</v>
      </c>
      <c r="V48" s="12">
        <f t="shared" si="9"/>
        <v>4.6168929985722462</v>
      </c>
    </row>
    <row r="49" spans="1:36" x14ac:dyDescent="0.25">
      <c r="A49" s="52"/>
      <c r="F49" s="3"/>
      <c r="H49" s="3"/>
      <c r="I49" s="3"/>
      <c r="J49" s="3"/>
      <c r="M49" s="32" t="s">
        <v>45</v>
      </c>
      <c r="N49" s="30">
        <f>_xlfn.PERCENTILE.EXC($G$3:$G$98,0.25)</f>
        <v>20.599999427795375</v>
      </c>
      <c r="P49" s="59">
        <v>0.8</v>
      </c>
      <c r="Q49" s="51">
        <f t="shared" si="4"/>
        <v>0.25034864227720011</v>
      </c>
      <c r="R49" s="12">
        <f t="shared" si="5"/>
        <v>4.2559269187124018</v>
      </c>
      <c r="S49" s="12">
        <f t="shared" si="6"/>
        <v>4.5062755609896019</v>
      </c>
      <c r="T49" s="12">
        <f t="shared" si="7"/>
        <v>4.756624203266802</v>
      </c>
      <c r="U49" s="12">
        <f t="shared" si="8"/>
        <v>5.0069728455440021</v>
      </c>
      <c r="V49" s="12">
        <f t="shared" si="9"/>
        <v>5.2573214878212022</v>
      </c>
    </row>
    <row r="50" spans="1:36" x14ac:dyDescent="0.25">
      <c r="A50" s="52"/>
      <c r="F50" s="3"/>
      <c r="H50" s="3"/>
      <c r="I50" s="3"/>
      <c r="J50" s="3"/>
      <c r="M50" s="32" t="s">
        <v>46</v>
      </c>
      <c r="N50" s="30">
        <f>_xlfn.PERCENTILE.EXC($G$3:$G$98,0.5)</f>
        <v>22.699999809265101</v>
      </c>
      <c r="P50" s="59">
        <v>0.9</v>
      </c>
      <c r="Q50" s="51">
        <f t="shared" si="4"/>
        <v>0.2808452370033408</v>
      </c>
      <c r="R50" s="12">
        <f t="shared" si="5"/>
        <v>4.7743690290567935</v>
      </c>
      <c r="S50" s="12">
        <f t="shared" si="6"/>
        <v>5.0552142660601342</v>
      </c>
      <c r="T50" s="12">
        <f t="shared" si="7"/>
        <v>5.336059503063475</v>
      </c>
      <c r="U50" s="12">
        <f t="shared" si="8"/>
        <v>5.6169047400668157</v>
      </c>
      <c r="V50" s="12">
        <f t="shared" si="9"/>
        <v>5.8977499770701565</v>
      </c>
    </row>
    <row r="51" spans="1:36" x14ac:dyDescent="0.25">
      <c r="A51" s="52"/>
      <c r="F51" s="3"/>
      <c r="H51" s="3"/>
      <c r="I51" s="3"/>
      <c r="J51" s="3"/>
      <c r="M51" s="32" t="s">
        <v>47</v>
      </c>
      <c r="N51" s="30">
        <f>_xlfn.PERCENTILE.EXC($G$3:$G$98,0.75)</f>
        <v>25.025000095367425</v>
      </c>
      <c r="P51" s="59">
        <v>1</v>
      </c>
      <c r="Q51" s="51">
        <f t="shared" si="4"/>
        <v>0.31134183172948149</v>
      </c>
      <c r="R51" s="12">
        <f t="shared" si="5"/>
        <v>5.2928111394011852</v>
      </c>
      <c r="S51" s="12">
        <f t="shared" si="6"/>
        <v>5.6041529711306666</v>
      </c>
      <c r="T51" s="12">
        <f t="shared" si="7"/>
        <v>5.9154948028601479</v>
      </c>
      <c r="U51" s="12">
        <f t="shared" si="8"/>
        <v>6.2268366345896293</v>
      </c>
      <c r="V51" s="12">
        <f t="shared" si="9"/>
        <v>6.5381784663191116</v>
      </c>
    </row>
    <row r="52" spans="1:36" x14ac:dyDescent="0.25">
      <c r="A52" s="52"/>
      <c r="F52" s="3"/>
      <c r="H52" s="3"/>
      <c r="I52" s="3"/>
      <c r="J52" s="3"/>
      <c r="M52" s="32" t="s">
        <v>48</v>
      </c>
      <c r="N52" s="30">
        <f>_xlfn.PERCENTILE.EXC($G$3:$G$98,0.9)</f>
        <v>31.170000457763674</v>
      </c>
      <c r="P52" s="97" t="s">
        <v>64</v>
      </c>
      <c r="Q52" s="97"/>
      <c r="R52" s="97"/>
      <c r="S52" s="97"/>
      <c r="T52" s="97"/>
      <c r="U52" s="97"/>
      <c r="V52" s="97"/>
    </row>
    <row r="53" spans="1:36" x14ac:dyDescent="0.25">
      <c r="A53" s="52"/>
      <c r="F53" s="3"/>
      <c r="H53" s="3"/>
      <c r="I53" s="3"/>
      <c r="J53" s="3"/>
    </row>
    <row r="54" spans="1:36" x14ac:dyDescent="0.25">
      <c r="A54" s="52"/>
      <c r="F54" s="3"/>
      <c r="H54" s="3"/>
      <c r="I54" s="3"/>
      <c r="J54" s="3"/>
    </row>
    <row r="55" spans="1:36" x14ac:dyDescent="0.25">
      <c r="A55" s="55"/>
      <c r="H55" s="3"/>
      <c r="I55" s="3"/>
      <c r="J55" s="3"/>
      <c r="X55" s="85"/>
      <c r="Y55" s="86"/>
      <c r="Z55" s="86" t="s">
        <v>78</v>
      </c>
      <c r="AA55" s="86"/>
      <c r="AB55" s="86"/>
      <c r="AC55" s="87"/>
      <c r="AE55" s="85"/>
      <c r="AF55" s="86"/>
      <c r="AG55" s="86" t="s">
        <v>63</v>
      </c>
      <c r="AH55" s="86"/>
      <c r="AI55" s="86"/>
      <c r="AJ55" s="87"/>
    </row>
    <row r="56" spans="1:36" ht="15.75" customHeight="1" x14ac:dyDescent="0.25">
      <c r="A56" s="55"/>
      <c r="H56" s="3"/>
      <c r="I56" s="3"/>
      <c r="J56" s="3"/>
      <c r="X56" s="93" t="s">
        <v>73</v>
      </c>
      <c r="Y56" s="94" t="s">
        <v>62</v>
      </c>
      <c r="Z56" s="94"/>
      <c r="AA56" s="94"/>
      <c r="AB56" s="94"/>
      <c r="AC56" s="94"/>
      <c r="AE56" s="93" t="s">
        <v>73</v>
      </c>
      <c r="AF56" s="94" t="s">
        <v>62</v>
      </c>
      <c r="AG56" s="94"/>
      <c r="AH56" s="94"/>
      <c r="AI56" s="94"/>
      <c r="AJ56" s="94"/>
    </row>
    <row r="57" spans="1:36" x14ac:dyDescent="0.25">
      <c r="A57" s="55"/>
      <c r="F57" s="3"/>
      <c r="H57" s="3"/>
      <c r="I57" s="3"/>
      <c r="J57" s="3"/>
      <c r="X57" s="93"/>
      <c r="Y57" s="80">
        <v>16</v>
      </c>
      <c r="Z57" s="80">
        <v>17</v>
      </c>
      <c r="AA57" s="81">
        <v>18</v>
      </c>
      <c r="AB57" s="80">
        <v>19</v>
      </c>
      <c r="AC57" s="80">
        <v>20</v>
      </c>
      <c r="AE57" s="93"/>
      <c r="AF57" s="83">
        <v>17</v>
      </c>
      <c r="AG57" s="80">
        <v>18</v>
      </c>
      <c r="AH57" s="81">
        <v>19</v>
      </c>
      <c r="AI57" s="80">
        <v>20</v>
      </c>
      <c r="AJ57" s="80">
        <v>21</v>
      </c>
    </row>
    <row r="58" spans="1:36" ht="15.75" customHeight="1" x14ac:dyDescent="0.25">
      <c r="A58" s="55"/>
      <c r="F58" s="3"/>
      <c r="H58" s="3"/>
      <c r="I58" s="3"/>
      <c r="J58" s="3"/>
      <c r="X58" s="65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E58" s="65">
        <v>0</v>
      </c>
      <c r="AF58" s="72">
        <v>0</v>
      </c>
      <c r="AG58" s="72">
        <v>0</v>
      </c>
      <c r="AH58" s="72">
        <v>0</v>
      </c>
      <c r="AI58" s="72">
        <v>0</v>
      </c>
      <c r="AJ58" s="72">
        <v>0</v>
      </c>
    </row>
    <row r="59" spans="1:36" x14ac:dyDescent="0.25">
      <c r="A59" s="55"/>
      <c r="F59" s="3"/>
      <c r="H59" s="3"/>
      <c r="I59" s="3"/>
      <c r="J59" s="3"/>
      <c r="X59" s="65">
        <v>0.2</v>
      </c>
      <c r="Y59" s="72">
        <v>1.5890587744602618</v>
      </c>
      <c r="Z59" s="72">
        <v>1.6883749478640282</v>
      </c>
      <c r="AA59" s="72">
        <v>1.7876911212677946</v>
      </c>
      <c r="AB59" s="72">
        <v>1.8870072946715608</v>
      </c>
      <c r="AC59" s="72">
        <v>1.9863234680753272</v>
      </c>
      <c r="AE59" s="65">
        <v>0.1</v>
      </c>
      <c r="AF59" s="72">
        <v>0.62683214630165696</v>
      </c>
      <c r="AG59" s="72">
        <v>0.66370462549587206</v>
      </c>
      <c r="AH59" s="72">
        <v>0.70057710469008716</v>
      </c>
      <c r="AI59" s="72">
        <v>0.73744958388430226</v>
      </c>
      <c r="AJ59" s="72">
        <v>0.77432206307851748</v>
      </c>
    </row>
    <row r="60" spans="1:36" x14ac:dyDescent="0.25">
      <c r="F60" s="3"/>
      <c r="H60" s="3"/>
      <c r="I60" s="3"/>
      <c r="J60" s="3"/>
      <c r="X60" s="65">
        <v>0.4</v>
      </c>
      <c r="Y60" s="72">
        <v>2.3430617410839663</v>
      </c>
      <c r="Z60" s="72">
        <v>2.489503099901714</v>
      </c>
      <c r="AA60" s="72">
        <v>2.6359444587194618</v>
      </c>
      <c r="AB60" s="72">
        <v>2.78238581753721</v>
      </c>
      <c r="AC60" s="72">
        <v>2.9288271763549578</v>
      </c>
      <c r="AE60" s="65">
        <v>0.2</v>
      </c>
      <c r="AF60" s="72">
        <v>1.145274256646049</v>
      </c>
      <c r="AG60" s="72">
        <v>1.2126433305664048</v>
      </c>
      <c r="AH60" s="72">
        <v>1.2800124044867607</v>
      </c>
      <c r="AI60" s="72">
        <v>1.3473814784071165</v>
      </c>
      <c r="AJ60" s="72">
        <v>1.4147505523274722</v>
      </c>
    </row>
    <row r="61" spans="1:36" x14ac:dyDescent="0.25">
      <c r="A61" s="55"/>
      <c r="F61" s="3"/>
      <c r="H61" s="3"/>
      <c r="I61" s="3"/>
      <c r="J61" s="3"/>
      <c r="X61" s="65">
        <v>0.6</v>
      </c>
      <c r="Y61" s="72">
        <v>3.0970647077076703</v>
      </c>
      <c r="Z61" s="72">
        <v>3.2906312519393999</v>
      </c>
      <c r="AA61" s="72">
        <v>3.484197796171129</v>
      </c>
      <c r="AB61" s="72">
        <v>3.6777643404028586</v>
      </c>
      <c r="AC61" s="72">
        <v>3.8713308846345877</v>
      </c>
      <c r="AE61" s="65">
        <v>0.3</v>
      </c>
      <c r="AF61" s="72">
        <v>1.6637163669904409</v>
      </c>
      <c r="AG61" s="72">
        <v>1.7615820356369374</v>
      </c>
      <c r="AH61" s="72">
        <v>1.8594477042834341</v>
      </c>
      <c r="AI61" s="73">
        <v>1.9573133729299306</v>
      </c>
      <c r="AJ61" s="73">
        <v>2.0551790415764271</v>
      </c>
    </row>
    <row r="62" spans="1:36" ht="15.75" thickBot="1" x14ac:dyDescent="0.3">
      <c r="A62" s="52"/>
      <c r="F62" s="3"/>
      <c r="H62" s="3"/>
      <c r="I62" s="3"/>
      <c r="J62" s="3"/>
      <c r="X62" s="65">
        <v>0.8</v>
      </c>
      <c r="Y62" s="72">
        <v>3.8510676743313752</v>
      </c>
      <c r="Z62" s="73">
        <v>4.0917594039770862</v>
      </c>
      <c r="AA62" s="73">
        <v>4.3324511336227971</v>
      </c>
      <c r="AB62" s="73">
        <v>4.5731428632685081</v>
      </c>
      <c r="AC62" s="73">
        <v>4.813834592914219</v>
      </c>
      <c r="AE62" s="65">
        <v>0.4</v>
      </c>
      <c r="AF62" s="73">
        <v>2.1821584773348328</v>
      </c>
      <c r="AG62" s="73">
        <v>2.3105207407074699</v>
      </c>
      <c r="AH62" s="77">
        <v>2.4388830040801075</v>
      </c>
      <c r="AI62" s="73">
        <v>2.5672452674527446</v>
      </c>
      <c r="AJ62" s="73">
        <v>2.6956075308253817</v>
      </c>
    </row>
    <row r="63" spans="1:36" ht="15.75" thickBot="1" x14ac:dyDescent="0.3">
      <c r="A63" s="52"/>
      <c r="F63" s="3"/>
      <c r="H63" s="3"/>
      <c r="I63" s="3"/>
      <c r="J63" s="3"/>
      <c r="X63" s="82">
        <v>1</v>
      </c>
      <c r="Y63" s="73">
        <v>4.6050706409550788</v>
      </c>
      <c r="Z63" s="73">
        <v>4.8928875560147711</v>
      </c>
      <c r="AA63" s="74">
        <v>5.1807044710744634</v>
      </c>
      <c r="AB63" s="71">
        <v>5.4685213861341557</v>
      </c>
      <c r="AC63" s="71">
        <v>5.756338301193848</v>
      </c>
      <c r="AE63" s="82">
        <v>0.5</v>
      </c>
      <c r="AF63" s="73">
        <v>2.700600587679225</v>
      </c>
      <c r="AG63" s="75">
        <v>2.8594594457780032</v>
      </c>
      <c r="AH63" s="79">
        <v>3.0183183038767809</v>
      </c>
      <c r="AI63" s="76">
        <v>3.1771771619755591</v>
      </c>
      <c r="AJ63" s="71">
        <v>3.3360360200743369</v>
      </c>
    </row>
    <row r="64" spans="1:36" x14ac:dyDescent="0.25">
      <c r="A64" s="52"/>
      <c r="F64" s="3"/>
      <c r="H64" s="3"/>
      <c r="I64" s="3"/>
      <c r="J64" s="3"/>
      <c r="X64" s="65">
        <v>1.2</v>
      </c>
      <c r="Y64" s="71">
        <v>5.3590736075787833</v>
      </c>
      <c r="Z64" s="71">
        <v>5.6940157080524569</v>
      </c>
      <c r="AA64" s="71">
        <v>6.0289578085261315</v>
      </c>
      <c r="AB64" s="71">
        <v>6.3638999089998052</v>
      </c>
      <c r="AC64" s="71">
        <v>6.6988420094734789</v>
      </c>
      <c r="AE64" s="65">
        <v>0.6</v>
      </c>
      <c r="AF64" s="71">
        <v>3.2190426980236171</v>
      </c>
      <c r="AG64" s="71">
        <v>3.4083981508485355</v>
      </c>
      <c r="AH64" s="78">
        <v>3.5977536036734543</v>
      </c>
      <c r="AI64" s="71">
        <v>3.7871090564983727</v>
      </c>
      <c r="AJ64" s="71">
        <v>3.9764645093232915</v>
      </c>
    </row>
    <row r="65" spans="1:36" x14ac:dyDescent="0.25">
      <c r="A65" s="52"/>
      <c r="F65" s="3"/>
      <c r="H65" s="3"/>
      <c r="I65" s="3"/>
      <c r="J65" s="3"/>
      <c r="X65" s="65">
        <v>1.4</v>
      </c>
      <c r="Y65" s="71">
        <v>6.1130765742024877</v>
      </c>
      <c r="Z65" s="71">
        <v>6.4951438600901437</v>
      </c>
      <c r="AA65" s="71">
        <v>6.8772111459777987</v>
      </c>
      <c r="AB65" s="71">
        <v>7.2592784318654537</v>
      </c>
      <c r="AC65" s="71">
        <v>7.6413457177531097</v>
      </c>
      <c r="AE65" s="65">
        <v>0.7</v>
      </c>
      <c r="AF65" s="71">
        <v>3.7374848083680092</v>
      </c>
      <c r="AG65" s="71">
        <v>3.9573368559190687</v>
      </c>
      <c r="AH65" s="71">
        <v>4.1771889034701282</v>
      </c>
      <c r="AI65" s="71">
        <v>4.3970409510211876</v>
      </c>
      <c r="AJ65" s="71">
        <v>4.6168929985722462</v>
      </c>
    </row>
    <row r="66" spans="1:36" x14ac:dyDescent="0.25">
      <c r="A66" s="52"/>
      <c r="F66" s="3"/>
      <c r="H66" s="3"/>
      <c r="I66" s="3"/>
      <c r="J66" s="3"/>
      <c r="X66" s="65">
        <v>1.6</v>
      </c>
      <c r="Y66" s="71">
        <v>6.8670795408261931</v>
      </c>
      <c r="Z66" s="71">
        <v>7.2962720121278304</v>
      </c>
      <c r="AA66" s="71">
        <v>7.7254644834294677</v>
      </c>
      <c r="AB66" s="71">
        <v>8.1546569547311041</v>
      </c>
      <c r="AC66" s="71">
        <v>8.5838494260327423</v>
      </c>
      <c r="AE66" s="65">
        <v>0.8</v>
      </c>
      <c r="AF66" s="71">
        <v>4.2559269187124018</v>
      </c>
      <c r="AG66" s="71">
        <v>4.5062755609896019</v>
      </c>
      <c r="AH66" s="71">
        <v>4.756624203266802</v>
      </c>
      <c r="AI66" s="71">
        <v>5.0069728455440021</v>
      </c>
      <c r="AJ66" s="71">
        <v>5.2573214878212022</v>
      </c>
    </row>
    <row r="67" spans="1:36" x14ac:dyDescent="0.25">
      <c r="A67" s="52"/>
      <c r="F67" s="3"/>
      <c r="H67" s="3"/>
      <c r="I67" s="3"/>
      <c r="J67" s="3"/>
      <c r="X67" s="65">
        <v>1.8</v>
      </c>
      <c r="Y67" s="71">
        <v>7.6210825074498967</v>
      </c>
      <c r="Z67" s="71">
        <v>8.0974001641655153</v>
      </c>
      <c r="AA67" s="71">
        <v>8.573717820881134</v>
      </c>
      <c r="AB67" s="71">
        <v>9.0500354775967526</v>
      </c>
      <c r="AC67" s="71">
        <v>9.5263531343123713</v>
      </c>
      <c r="AE67" s="65">
        <v>0.9</v>
      </c>
      <c r="AF67" s="71">
        <v>4.7743690290567935</v>
      </c>
      <c r="AG67" s="71">
        <v>5.0552142660601342</v>
      </c>
      <c r="AH67" s="71">
        <v>5.336059503063475</v>
      </c>
      <c r="AI67" s="71">
        <v>5.6169047400668157</v>
      </c>
      <c r="AJ67" s="71">
        <v>5.8977499770701565</v>
      </c>
    </row>
    <row r="68" spans="1:36" x14ac:dyDescent="0.25">
      <c r="A68" s="52"/>
      <c r="F68" s="3"/>
      <c r="H68" s="3"/>
      <c r="I68" s="3"/>
      <c r="J68" s="3"/>
      <c r="X68" s="65">
        <v>2</v>
      </c>
      <c r="Y68" s="71">
        <v>8.3750854740736003</v>
      </c>
      <c r="Z68" s="71">
        <v>8.8985283162032012</v>
      </c>
      <c r="AA68" s="71">
        <v>9.4219711583328003</v>
      </c>
      <c r="AB68" s="71">
        <v>9.9454140004623994</v>
      </c>
      <c r="AC68" s="71">
        <v>10.468856842592</v>
      </c>
      <c r="AE68" s="65">
        <v>1</v>
      </c>
      <c r="AF68" s="71">
        <v>5.2928111394011852</v>
      </c>
      <c r="AG68" s="71">
        <v>5.6041529711306666</v>
      </c>
      <c r="AH68" s="71">
        <v>5.9154948028601479</v>
      </c>
      <c r="AI68" s="71">
        <v>6.2268366345896293</v>
      </c>
      <c r="AJ68" s="71">
        <v>6.5381784663191116</v>
      </c>
    </row>
    <row r="69" spans="1:36" x14ac:dyDescent="0.25">
      <c r="A69" s="52"/>
      <c r="F69" s="3"/>
      <c r="H69" s="3"/>
      <c r="I69" s="3"/>
      <c r="J69" s="3"/>
      <c r="X69" s="88"/>
      <c r="Y69" s="89"/>
      <c r="Z69" s="89" t="s">
        <v>65</v>
      </c>
      <c r="AA69" s="89"/>
      <c r="AB69" s="89"/>
      <c r="AC69" s="90"/>
      <c r="AE69" s="88"/>
      <c r="AF69" s="89"/>
      <c r="AG69" s="89" t="s">
        <v>64</v>
      </c>
      <c r="AH69" s="89"/>
      <c r="AI69" s="89"/>
      <c r="AJ69" s="90"/>
    </row>
    <row r="70" spans="1:36" x14ac:dyDescent="0.25">
      <c r="A70" s="52"/>
      <c r="F70" s="3"/>
      <c r="H70" s="3"/>
      <c r="I70" s="3"/>
      <c r="J70" s="3"/>
    </row>
    <row r="71" spans="1:36" x14ac:dyDescent="0.25">
      <c r="A71" s="52"/>
      <c r="F71" s="3"/>
      <c r="H71" s="3"/>
      <c r="I71" s="3"/>
      <c r="J71" s="3"/>
      <c r="M71" t="s">
        <v>49</v>
      </c>
    </row>
    <row r="72" spans="1:36" x14ac:dyDescent="0.25">
      <c r="A72" s="52"/>
      <c r="F72" s="3"/>
      <c r="H72" s="3"/>
      <c r="I72" s="3"/>
      <c r="J72" s="3"/>
      <c r="M72" t="s">
        <v>50</v>
      </c>
    </row>
    <row r="73" spans="1:36" x14ac:dyDescent="0.25">
      <c r="A73" s="52"/>
      <c r="F73" s="3"/>
      <c r="H73" s="3"/>
      <c r="I73" s="3"/>
      <c r="J73" s="3"/>
      <c r="M73" t="s">
        <v>51</v>
      </c>
    </row>
    <row r="74" spans="1:36" x14ac:dyDescent="0.25">
      <c r="A74" s="52"/>
      <c r="F74" s="3"/>
      <c r="H74" s="3"/>
      <c r="I74" s="3"/>
      <c r="J74" s="3"/>
    </row>
    <row r="75" spans="1:36" x14ac:dyDescent="0.25">
      <c r="A75" s="52"/>
      <c r="F75" s="3"/>
      <c r="H75" s="3"/>
      <c r="I75" s="3"/>
      <c r="J75" s="3"/>
    </row>
    <row r="76" spans="1:36" x14ac:dyDescent="0.25">
      <c r="A76" s="52"/>
      <c r="F76" s="3"/>
      <c r="H76" s="3"/>
      <c r="I76" s="3"/>
      <c r="J76" s="3"/>
    </row>
    <row r="77" spans="1:36" x14ac:dyDescent="0.25">
      <c r="A77" s="52"/>
      <c r="F77" s="3"/>
      <c r="H77" s="3"/>
      <c r="I77" s="3"/>
      <c r="J77" s="3"/>
    </row>
    <row r="78" spans="1:36" x14ac:dyDescent="0.25">
      <c r="A78" s="52"/>
      <c r="F78" s="3"/>
      <c r="H78" s="3"/>
      <c r="I78" s="3"/>
      <c r="J78" s="3"/>
    </row>
    <row r="79" spans="1:36" x14ac:dyDescent="0.25">
      <c r="A79" s="52"/>
      <c r="F79" s="3"/>
      <c r="H79" s="3"/>
      <c r="I79" s="3"/>
      <c r="J79" s="3"/>
    </row>
    <row r="80" spans="1:36" x14ac:dyDescent="0.25">
      <c r="A80" s="52"/>
      <c r="F80" s="3"/>
      <c r="H80" s="3"/>
      <c r="I80" s="3"/>
      <c r="J80" s="3"/>
    </row>
    <row r="81" spans="1:10" x14ac:dyDescent="0.25">
      <c r="A81" s="52"/>
      <c r="F81" s="3"/>
      <c r="H81" s="3"/>
      <c r="I81" s="3"/>
      <c r="J81" s="3"/>
    </row>
    <row r="82" spans="1:10" x14ac:dyDescent="0.25">
      <c r="A82" s="52"/>
      <c r="F82" s="3"/>
      <c r="H82" s="3"/>
      <c r="I82" s="3"/>
      <c r="J82" s="3"/>
    </row>
    <row r="83" spans="1:10" x14ac:dyDescent="0.25">
      <c r="A83" s="52"/>
      <c r="F83" s="3"/>
      <c r="H83" s="3"/>
      <c r="I83" s="3"/>
      <c r="J83" s="3"/>
    </row>
    <row r="84" spans="1:10" x14ac:dyDescent="0.25">
      <c r="A84" s="52"/>
      <c r="F84" s="3"/>
      <c r="H84" s="3"/>
      <c r="I84" s="3"/>
      <c r="J84" s="3"/>
    </row>
    <row r="85" spans="1:10" x14ac:dyDescent="0.25">
      <c r="A85" s="52"/>
      <c r="F85" s="3"/>
      <c r="H85" s="3"/>
      <c r="I85" s="3"/>
      <c r="J85" s="3"/>
    </row>
    <row r="86" spans="1:10" x14ac:dyDescent="0.25">
      <c r="A86" s="52"/>
      <c r="F86" s="3"/>
      <c r="H86" s="3"/>
      <c r="I86" s="3"/>
      <c r="J86" s="3"/>
    </row>
    <row r="87" spans="1:10" x14ac:dyDescent="0.25">
      <c r="A87" s="52"/>
      <c r="F87" s="3"/>
      <c r="H87" s="3"/>
      <c r="I87" s="3"/>
      <c r="J87" s="3"/>
    </row>
    <row r="88" spans="1:10" x14ac:dyDescent="0.25">
      <c r="A88" s="52"/>
      <c r="F88" s="3"/>
      <c r="H88" s="3"/>
      <c r="I88" s="3"/>
      <c r="J88" s="3"/>
    </row>
    <row r="89" spans="1:10" x14ac:dyDescent="0.25">
      <c r="A89" s="52"/>
      <c r="F89" s="3"/>
      <c r="H89" s="3"/>
      <c r="I89" s="3"/>
      <c r="J89" s="3"/>
    </row>
    <row r="90" spans="1:10" x14ac:dyDescent="0.25">
      <c r="A90" s="52"/>
      <c r="F90" s="3"/>
      <c r="H90" s="3"/>
      <c r="I90" s="3"/>
      <c r="J90" s="3"/>
    </row>
    <row r="91" spans="1:10" x14ac:dyDescent="0.25">
      <c r="A91" s="52"/>
      <c r="F91" s="3"/>
      <c r="H91" s="3"/>
      <c r="I91" s="3"/>
      <c r="J91" s="3"/>
    </row>
    <row r="92" spans="1:10" x14ac:dyDescent="0.25">
      <c r="H92" s="3"/>
      <c r="I92" s="3"/>
      <c r="J92" s="3"/>
    </row>
    <row r="93" spans="1:10" x14ac:dyDescent="0.25">
      <c r="A93" s="52"/>
      <c r="F93" s="3"/>
      <c r="H93" s="3"/>
      <c r="I93" s="3"/>
      <c r="J93" s="3"/>
    </row>
    <row r="94" spans="1:10" x14ac:dyDescent="0.25">
      <c r="A94" s="52"/>
      <c r="F94" s="3"/>
      <c r="H94" s="3"/>
      <c r="I94" s="3"/>
      <c r="J94" s="3"/>
    </row>
    <row r="95" spans="1:10" x14ac:dyDescent="0.25">
      <c r="A95" s="52"/>
      <c r="F95" s="3"/>
      <c r="H95" s="3"/>
      <c r="I95" s="3"/>
      <c r="J95" s="3"/>
    </row>
    <row r="96" spans="1:10" x14ac:dyDescent="0.25">
      <c r="A96" s="52"/>
      <c r="F96" s="3"/>
      <c r="H96" s="3"/>
      <c r="I96" s="3"/>
      <c r="J96" s="3"/>
    </row>
    <row r="97" spans="1:10" x14ac:dyDescent="0.25">
      <c r="A97" s="52"/>
      <c r="F97" s="3"/>
      <c r="H97" s="3"/>
      <c r="I97" s="3"/>
      <c r="J97" s="3"/>
    </row>
    <row r="98" spans="1:10" x14ac:dyDescent="0.25">
      <c r="A98" s="52"/>
      <c r="F98" s="3"/>
      <c r="H98" s="3"/>
      <c r="I98" s="3"/>
      <c r="J98" s="3"/>
    </row>
  </sheetData>
  <mergeCells count="13">
    <mergeCell ref="P38:V38"/>
    <mergeCell ref="P52:V52"/>
    <mergeCell ref="A2:A5"/>
    <mergeCell ref="A6:A20"/>
    <mergeCell ref="A21:A25"/>
    <mergeCell ref="A26:A28"/>
    <mergeCell ref="Q39:Q40"/>
    <mergeCell ref="P39:P40"/>
    <mergeCell ref="X56:X57"/>
    <mergeCell ref="Y56:AC56"/>
    <mergeCell ref="AE56:AE57"/>
    <mergeCell ref="AF56:AJ56"/>
    <mergeCell ref="R39:V39"/>
  </mergeCells>
  <conditionalFormatting sqref="E3:E20 E24:E28 E30:E101">
    <cfRule type="expression" dxfId="126" priority="24">
      <formula>$E3&gt;10</formula>
    </cfRule>
  </conditionalFormatting>
  <conditionalFormatting sqref="G30:G1048576 G1:G28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{D5B29F2D-CA1F-404B-B827-87665AE4B313}</x14:id>
        </ext>
      </extLst>
    </cfRule>
  </conditionalFormatting>
  <conditionalFormatting sqref="H2:I28 J3:J28 J30:J46 H30:I98">
    <cfRule type="cellIs" dxfId="125" priority="22" operator="greaterThan">
      <formula>1</formula>
    </cfRule>
  </conditionalFormatting>
  <conditionalFormatting sqref="M3:M13">
    <cfRule type="cellIs" dxfId="124" priority="16" operator="between">
      <formula>2</formula>
      <formula>3</formula>
    </cfRule>
    <cfRule type="cellIs" dxfId="123" priority="17" operator="lessThan">
      <formula>2.99</formula>
    </cfRule>
    <cfRule type="cellIs" dxfId="122" priority="18" operator="greaterThan">
      <formula>3</formula>
    </cfRule>
  </conditionalFormatting>
  <conditionalFormatting sqref="N46:N5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{D856C7A3-F6F2-40AD-9B35-6AA2F54922AA}</x14:id>
        </ext>
      </extLst>
    </cfRule>
  </conditionalFormatting>
  <conditionalFormatting sqref="R41:V51">
    <cfRule type="cellIs" dxfId="121" priority="19" operator="between">
      <formula>2</formula>
      <formula>3</formula>
    </cfRule>
    <cfRule type="cellIs" dxfId="120" priority="20" operator="lessThan">
      <formula>2.99</formula>
    </cfRule>
    <cfRule type="cellIs" dxfId="119" priority="21" operator="greaterThan">
      <formula>3</formula>
    </cfRule>
  </conditionalFormatting>
  <pageMargins left="0.7" right="0.7" top="0.75" bottom="0.75" header="0.3" footer="0.3"/>
  <pageSetup scale="9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B29F2D-CA1F-404B-B827-87665AE4B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G30:G1048576 G1:G28</xm:sqref>
        </x14:conditionalFormatting>
        <x14:conditionalFormatting xmlns:xm="http://schemas.microsoft.com/office/excel/2006/main">
          <x14:cfRule type="dataBar" id="{D856C7A3-F6F2-40AD-9B35-6AA2F5492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N46:N52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C520-417E-49A9-BD2B-CE720B9A2C75}">
  <sheetPr codeName="Sheet2"/>
  <dimension ref="A1:AG83"/>
  <sheetViews>
    <sheetView workbookViewId="0">
      <selection activeCell="B21" sqref="B21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9</v>
      </c>
      <c r="B3" t="s">
        <v>11</v>
      </c>
      <c r="C3">
        <v>1.48</v>
      </c>
      <c r="D3" s="7">
        <v>0</v>
      </c>
      <c r="E3" s="1">
        <v>0</v>
      </c>
      <c r="F3" s="7">
        <v>0</v>
      </c>
      <c r="G3">
        <v>23.9</v>
      </c>
      <c r="J3" s="11">
        <v>0</v>
      </c>
      <c r="K3" s="11">
        <v>0</v>
      </c>
      <c r="X3" s="1">
        <f t="shared" ref="X3:X27" si="0">D4</f>
        <v>0.39999999999999991</v>
      </c>
      <c r="Y3" s="1">
        <f t="shared" ref="Y3:Y27" si="1">E4</f>
        <v>2.13</v>
      </c>
      <c r="Z3" s="1">
        <f t="shared" ref="Z3:Z27" si="2">G4</f>
        <v>21.1</v>
      </c>
      <c r="AA3" s="4">
        <f t="shared" ref="AA3:AA27" si="3">G3</f>
        <v>23.9</v>
      </c>
      <c r="AB3" s="1" t="s">
        <v>10</v>
      </c>
      <c r="AC3" s="1" t="s">
        <v>10</v>
      </c>
    </row>
    <row r="4" spans="1:29" x14ac:dyDescent="0.25">
      <c r="A4">
        <v>17</v>
      </c>
      <c r="B4" t="s">
        <v>11</v>
      </c>
      <c r="C4">
        <v>1.88</v>
      </c>
      <c r="D4" s="7">
        <f>C4-C3</f>
        <v>0.39999999999999991</v>
      </c>
      <c r="E4" s="2">
        <v>2.13</v>
      </c>
      <c r="F4" s="9">
        <f t="shared" ref="F4:F25" si="4">D4*G4/3.6</f>
        <v>2.3444444444444441</v>
      </c>
      <c r="G4">
        <v>21.1</v>
      </c>
      <c r="H4" s="5">
        <f>ABS(G4-G3)</f>
        <v>2.7999999999999972</v>
      </c>
      <c r="J4" s="11">
        <v>0.2</v>
      </c>
      <c r="K4" s="12">
        <f>SLOPE($E$3:$E$27, $D$3:$D$27) * J4 + INTERCEPT($E$3:$E$27, $D$3:$D$27)</f>
        <v>1.0960889556902549</v>
      </c>
      <c r="X4" s="1">
        <f t="shared" si="0"/>
        <v>1.04</v>
      </c>
      <c r="Y4" s="1">
        <f t="shared" si="1"/>
        <v>3.33</v>
      </c>
      <c r="Z4" s="1">
        <f t="shared" si="2"/>
        <v>26.9</v>
      </c>
      <c r="AA4" s="4">
        <f t="shared" si="3"/>
        <v>21.1</v>
      </c>
      <c r="AB4" s="1" t="s">
        <v>10</v>
      </c>
      <c r="AC4" s="1" t="s">
        <v>10</v>
      </c>
    </row>
    <row r="5" spans="1:29" x14ac:dyDescent="0.25">
      <c r="A5">
        <v>3</v>
      </c>
      <c r="B5" t="s">
        <v>10</v>
      </c>
      <c r="C5">
        <v>2.92</v>
      </c>
      <c r="D5" s="7">
        <f t="shared" ref="D5:D25" si="5">C5-C4</f>
        <v>1.04</v>
      </c>
      <c r="E5" s="2">
        <v>3.33</v>
      </c>
      <c r="F5" s="9">
        <f t="shared" si="4"/>
        <v>7.7711111111111109</v>
      </c>
      <c r="G5">
        <v>26.9</v>
      </c>
      <c r="H5" s="5">
        <f t="shared" ref="H5:H25" si="6">ABS(G5-G4)</f>
        <v>5.7999999999999972</v>
      </c>
      <c r="J5" s="11">
        <v>0.4</v>
      </c>
      <c r="K5" s="12">
        <f t="shared" ref="K5:K13" si="7">SLOPE($E$3:$E$27, $D$3:$D$27) * J5 + INTERCEPT($E$3:$E$27, $D$3:$D$27)</f>
        <v>1.9297425070948968</v>
      </c>
      <c r="X5" s="1">
        <f t="shared" si="0"/>
        <v>1.1600000000000001</v>
      </c>
      <c r="Y5" s="1">
        <f t="shared" si="1"/>
        <v>9.33</v>
      </c>
      <c r="Z5" s="1">
        <f t="shared" si="2"/>
        <v>17.899999999999999</v>
      </c>
      <c r="AA5" s="4">
        <f t="shared" si="3"/>
        <v>26.9</v>
      </c>
      <c r="AB5" s="1" t="s">
        <v>10</v>
      </c>
      <c r="AC5" s="1" t="s">
        <v>10</v>
      </c>
    </row>
    <row r="6" spans="1:29" x14ac:dyDescent="0.25">
      <c r="A6">
        <v>21</v>
      </c>
      <c r="B6" t="s">
        <v>11</v>
      </c>
      <c r="C6">
        <v>4.08</v>
      </c>
      <c r="D6" s="7">
        <f t="shared" si="5"/>
        <v>1.1600000000000001</v>
      </c>
      <c r="E6" s="2">
        <v>9.33</v>
      </c>
      <c r="F6" s="9">
        <f t="shared" si="4"/>
        <v>5.7677777777777779</v>
      </c>
      <c r="G6">
        <v>17.899999999999999</v>
      </c>
      <c r="H6" s="5">
        <f t="shared" si="6"/>
        <v>9</v>
      </c>
      <c r="J6" s="11">
        <v>0.6</v>
      </c>
      <c r="K6" s="12">
        <f t="shared" si="7"/>
        <v>2.7633960584995387</v>
      </c>
      <c r="X6" s="1">
        <f t="shared" si="0"/>
        <v>1.2400000000000002</v>
      </c>
      <c r="Y6" s="1">
        <f t="shared" si="1"/>
        <v>5.05</v>
      </c>
      <c r="Z6" s="1">
        <f t="shared" si="2"/>
        <v>19</v>
      </c>
      <c r="AA6" s="4">
        <f t="shared" si="3"/>
        <v>17.899999999999999</v>
      </c>
    </row>
    <row r="7" spans="1:29" x14ac:dyDescent="0.25">
      <c r="A7">
        <v>4</v>
      </c>
      <c r="B7" t="s">
        <v>10</v>
      </c>
      <c r="C7">
        <v>5.32</v>
      </c>
      <c r="D7" s="7">
        <f t="shared" si="5"/>
        <v>1.2400000000000002</v>
      </c>
      <c r="E7" s="2">
        <v>5.05</v>
      </c>
      <c r="F7" s="9">
        <f t="shared" si="4"/>
        <v>6.5444444444444452</v>
      </c>
      <c r="G7">
        <v>19</v>
      </c>
      <c r="H7" s="5">
        <f t="shared" si="6"/>
        <v>1.1000000000000014</v>
      </c>
      <c r="J7" s="11">
        <v>0.8</v>
      </c>
      <c r="K7" s="12">
        <f t="shared" si="7"/>
        <v>3.5970496099041807</v>
      </c>
      <c r="X7" s="1">
        <f t="shared" si="0"/>
        <v>2.16</v>
      </c>
      <c r="Y7" s="1">
        <f t="shared" si="1"/>
        <v>9.4</v>
      </c>
      <c r="Z7" s="1">
        <f t="shared" si="2"/>
        <v>16.600000000000001</v>
      </c>
      <c r="AA7" s="4">
        <f t="shared" si="3"/>
        <v>19</v>
      </c>
    </row>
    <row r="8" spans="1:29" x14ac:dyDescent="0.25">
      <c r="A8">
        <v>12</v>
      </c>
      <c r="B8" t="s">
        <v>10</v>
      </c>
      <c r="C8">
        <v>7.48</v>
      </c>
      <c r="D8" s="7">
        <f>C8-C7</f>
        <v>2.16</v>
      </c>
      <c r="E8" s="2">
        <v>9.4</v>
      </c>
      <c r="F8" s="9">
        <f t="shared" si="4"/>
        <v>9.9600000000000026</v>
      </c>
      <c r="G8">
        <v>16.600000000000001</v>
      </c>
      <c r="H8" s="5">
        <f t="shared" si="6"/>
        <v>2.3999999999999986</v>
      </c>
      <c r="J8" s="11">
        <v>1</v>
      </c>
      <c r="K8" s="12">
        <f t="shared" si="7"/>
        <v>4.4307031613088226</v>
      </c>
      <c r="X8" s="1">
        <f t="shared" si="0"/>
        <v>2.6399999999999988</v>
      </c>
      <c r="Y8" s="1">
        <f t="shared" si="1"/>
        <v>10.42</v>
      </c>
      <c r="Z8" s="1">
        <f t="shared" si="2"/>
        <v>17.600000000000001</v>
      </c>
      <c r="AA8" s="4">
        <f t="shared" si="3"/>
        <v>16.600000000000001</v>
      </c>
    </row>
    <row r="9" spans="1:29" x14ac:dyDescent="0.25">
      <c r="A9">
        <v>52</v>
      </c>
      <c r="B9" t="s">
        <v>10</v>
      </c>
      <c r="C9">
        <v>10.119999999999999</v>
      </c>
      <c r="D9" s="7">
        <f t="shared" si="5"/>
        <v>2.6399999999999988</v>
      </c>
      <c r="E9" s="2">
        <v>10.42</v>
      </c>
      <c r="F9" s="9">
        <f t="shared" si="4"/>
        <v>12.906666666666663</v>
      </c>
      <c r="G9">
        <v>17.600000000000001</v>
      </c>
      <c r="H9" s="5">
        <f t="shared" si="6"/>
        <v>1</v>
      </c>
      <c r="J9" s="11">
        <v>1.2</v>
      </c>
      <c r="K9" s="12">
        <f t="shared" si="7"/>
        <v>5.2643567127134645</v>
      </c>
      <c r="X9" s="1">
        <f t="shared" si="0"/>
        <v>2.2000000000000011</v>
      </c>
      <c r="Y9" s="1">
        <f t="shared" si="1"/>
        <v>6.72</v>
      </c>
      <c r="Z9" s="1">
        <f t="shared" si="2"/>
        <v>16.2</v>
      </c>
      <c r="AA9" s="4">
        <f t="shared" si="3"/>
        <v>17.600000000000001</v>
      </c>
    </row>
    <row r="10" spans="1:29" x14ac:dyDescent="0.25">
      <c r="A10">
        <v>85</v>
      </c>
      <c r="B10" t="s">
        <v>36</v>
      </c>
      <c r="C10">
        <v>12.32</v>
      </c>
      <c r="D10" s="7">
        <f t="shared" si="5"/>
        <v>2.2000000000000011</v>
      </c>
      <c r="E10" s="2">
        <v>6.72</v>
      </c>
      <c r="F10" s="9">
        <f t="shared" si="4"/>
        <v>9.9000000000000039</v>
      </c>
      <c r="G10">
        <v>16.2</v>
      </c>
      <c r="H10" s="5">
        <f t="shared" si="6"/>
        <v>1.4000000000000021</v>
      </c>
      <c r="J10" s="11">
        <v>1.4</v>
      </c>
      <c r="K10" s="12">
        <f t="shared" si="7"/>
        <v>6.0980102641181064</v>
      </c>
      <c r="X10" s="1">
        <f t="shared" si="0"/>
        <v>2.6799999999999997</v>
      </c>
      <c r="Y10" s="1">
        <f t="shared" si="1"/>
        <v>11.78</v>
      </c>
      <c r="Z10" s="1">
        <f t="shared" si="2"/>
        <v>21.8</v>
      </c>
      <c r="AA10" s="4">
        <f t="shared" si="3"/>
        <v>16.2</v>
      </c>
    </row>
    <row r="11" spans="1:29" x14ac:dyDescent="0.25">
      <c r="A11">
        <v>97</v>
      </c>
      <c r="B11" t="s">
        <v>10</v>
      </c>
      <c r="C11">
        <v>15</v>
      </c>
      <c r="D11" s="7">
        <f t="shared" si="5"/>
        <v>2.6799999999999997</v>
      </c>
      <c r="E11" s="2">
        <v>11.78</v>
      </c>
      <c r="F11" s="9">
        <f t="shared" si="4"/>
        <v>16.228888888888886</v>
      </c>
      <c r="G11">
        <v>21.8</v>
      </c>
      <c r="H11" s="5">
        <f t="shared" si="6"/>
        <v>5.6000000000000014</v>
      </c>
      <c r="J11" s="11">
        <v>1.6</v>
      </c>
      <c r="K11" s="12">
        <f t="shared" si="7"/>
        <v>6.9316638155227484</v>
      </c>
      <c r="X11" s="1">
        <f t="shared" si="0"/>
        <v>1.4800000000000004</v>
      </c>
      <c r="Y11" s="1">
        <f t="shared" si="1"/>
        <v>6.75</v>
      </c>
      <c r="Z11" s="1">
        <f t="shared" si="2"/>
        <v>17.600000000000001</v>
      </c>
      <c r="AA11" s="4">
        <f t="shared" si="3"/>
        <v>21.8</v>
      </c>
    </row>
    <row r="12" spans="1:29" x14ac:dyDescent="0.25">
      <c r="A12">
        <v>106</v>
      </c>
      <c r="B12" t="s">
        <v>12</v>
      </c>
      <c r="C12">
        <v>16.48</v>
      </c>
      <c r="D12" s="7">
        <f t="shared" si="5"/>
        <v>1.4800000000000004</v>
      </c>
      <c r="E12" s="2">
        <v>6.75</v>
      </c>
      <c r="F12" s="9">
        <f t="shared" si="4"/>
        <v>7.2355555555555577</v>
      </c>
      <c r="G12">
        <v>17.600000000000001</v>
      </c>
      <c r="H12" s="5">
        <f t="shared" si="6"/>
        <v>4.1999999999999993</v>
      </c>
      <c r="J12" s="11">
        <v>1.8</v>
      </c>
      <c r="K12" s="12">
        <f t="shared" si="7"/>
        <v>7.7653173669273903</v>
      </c>
      <c r="X12" s="1">
        <f t="shared" si="0"/>
        <v>1.6400000000000006</v>
      </c>
      <c r="Y12" s="1">
        <f t="shared" si="1"/>
        <v>5.56</v>
      </c>
      <c r="Z12" s="1">
        <f t="shared" si="2"/>
        <v>20.5</v>
      </c>
      <c r="AA12" s="4">
        <f t="shared" si="3"/>
        <v>17.600000000000001</v>
      </c>
    </row>
    <row r="13" spans="1:29" x14ac:dyDescent="0.25">
      <c r="A13">
        <v>126</v>
      </c>
      <c r="B13" t="s">
        <v>10</v>
      </c>
      <c r="C13">
        <v>18.12</v>
      </c>
      <c r="D13" s="7">
        <f t="shared" si="5"/>
        <v>1.6400000000000006</v>
      </c>
      <c r="E13" s="2">
        <v>5.56</v>
      </c>
      <c r="F13" s="9">
        <f t="shared" si="4"/>
        <v>9.3388888888888921</v>
      </c>
      <c r="G13">
        <v>20.5</v>
      </c>
      <c r="H13" s="5">
        <f t="shared" si="6"/>
        <v>2.8999999999999986</v>
      </c>
      <c r="J13" s="11">
        <v>2</v>
      </c>
      <c r="K13" s="12">
        <f t="shared" si="7"/>
        <v>8.5989709183320322</v>
      </c>
      <c r="X13" s="1">
        <f t="shared" si="0"/>
        <v>1.6799999999999997</v>
      </c>
      <c r="Y13" s="1">
        <f t="shared" si="1"/>
        <v>8.8800000000000008</v>
      </c>
      <c r="Z13" s="1">
        <f t="shared" si="2"/>
        <v>24</v>
      </c>
      <c r="AA13" s="4">
        <f t="shared" si="3"/>
        <v>20.5</v>
      </c>
    </row>
    <row r="14" spans="1:29" x14ac:dyDescent="0.25">
      <c r="A14">
        <v>120</v>
      </c>
      <c r="B14" t="s">
        <v>10</v>
      </c>
      <c r="C14">
        <v>19.8</v>
      </c>
      <c r="D14" s="7">
        <f t="shared" si="5"/>
        <v>1.6799999999999997</v>
      </c>
      <c r="E14" s="2">
        <v>8.8800000000000008</v>
      </c>
      <c r="F14" s="9">
        <f t="shared" si="4"/>
        <v>11.199999999999998</v>
      </c>
      <c r="G14">
        <v>24</v>
      </c>
      <c r="H14" s="5">
        <f t="shared" si="6"/>
        <v>3.5</v>
      </c>
      <c r="X14" s="1">
        <f t="shared" si="0"/>
        <v>1.6799999999999997</v>
      </c>
      <c r="Y14" s="1">
        <f t="shared" si="1"/>
        <v>11</v>
      </c>
      <c r="Z14" s="1">
        <f t="shared" si="2"/>
        <v>20</v>
      </c>
      <c r="AA14" s="4">
        <f t="shared" si="3"/>
        <v>24</v>
      </c>
    </row>
    <row r="15" spans="1:29" x14ac:dyDescent="0.25">
      <c r="A15">
        <v>153</v>
      </c>
      <c r="B15" t="s">
        <v>12</v>
      </c>
      <c r="C15">
        <v>21.48</v>
      </c>
      <c r="D15" s="7">
        <f>C15-C14</f>
        <v>1.6799999999999997</v>
      </c>
      <c r="E15" s="2">
        <v>11</v>
      </c>
      <c r="F15" s="9">
        <f t="shared" si="4"/>
        <v>9.3333333333333321</v>
      </c>
      <c r="G15">
        <v>20</v>
      </c>
      <c r="H15" s="5">
        <f t="shared" si="6"/>
        <v>4</v>
      </c>
      <c r="J15" s="109" t="s">
        <v>66</v>
      </c>
      <c r="K15" s="109"/>
      <c r="X15" s="1">
        <f t="shared" si="0"/>
        <v>1</v>
      </c>
      <c r="Y15" s="1">
        <f t="shared" si="1"/>
        <v>3.12</v>
      </c>
      <c r="Z15" s="1">
        <f t="shared" si="2"/>
        <v>19.8</v>
      </c>
      <c r="AA15" s="4">
        <f t="shared" si="3"/>
        <v>20</v>
      </c>
    </row>
    <row r="16" spans="1:29" x14ac:dyDescent="0.25">
      <c r="A16">
        <v>142</v>
      </c>
      <c r="B16" t="s">
        <v>10</v>
      </c>
      <c r="C16">
        <v>22.48</v>
      </c>
      <c r="D16" s="7">
        <f t="shared" si="5"/>
        <v>1</v>
      </c>
      <c r="E16" s="2">
        <v>3.12</v>
      </c>
      <c r="F16" s="9">
        <f t="shared" si="4"/>
        <v>5.5</v>
      </c>
      <c r="G16">
        <v>19.8</v>
      </c>
      <c r="H16" s="5">
        <f t="shared" si="6"/>
        <v>0.19999999999999929</v>
      </c>
      <c r="J16" s="63" t="s">
        <v>10</v>
      </c>
      <c r="K16" s="64">
        <f>AVERAGEIFS($G$3:$G$30, $B$3:$B$30, J16, $G$3:$G$30, "&lt;&gt;0")</f>
        <v>19.586666666666666</v>
      </c>
      <c r="X16" s="1">
        <f t="shared" si="0"/>
        <v>3.4400000000000013</v>
      </c>
      <c r="Y16" s="1">
        <f t="shared" si="1"/>
        <v>15.85</v>
      </c>
      <c r="Z16" s="1">
        <f t="shared" si="2"/>
        <v>16.600000000000001</v>
      </c>
      <c r="AA16" s="4">
        <f t="shared" si="3"/>
        <v>19.8</v>
      </c>
    </row>
    <row r="17" spans="1:33" x14ac:dyDescent="0.25">
      <c r="A17">
        <v>157</v>
      </c>
      <c r="B17" t="s">
        <v>12</v>
      </c>
      <c r="C17">
        <v>25.92</v>
      </c>
      <c r="D17" s="7">
        <f t="shared" si="5"/>
        <v>3.4400000000000013</v>
      </c>
      <c r="E17" s="2">
        <v>15.85</v>
      </c>
      <c r="F17" s="9">
        <f t="shared" si="4"/>
        <v>15.862222222222229</v>
      </c>
      <c r="G17">
        <v>16.600000000000001</v>
      </c>
      <c r="H17" s="5">
        <f t="shared" si="6"/>
        <v>3.1999999999999993</v>
      </c>
      <c r="J17" s="63" t="s">
        <v>11</v>
      </c>
      <c r="K17" s="64">
        <f t="shared" ref="K17:K18" si="8">AVERAGEIFS($G$3:$G$30, $B$3:$B$30, J17, $G$3:$G$30, "&lt;&gt;0")</f>
        <v>19.475000000000001</v>
      </c>
      <c r="X17" s="1">
        <f t="shared" si="0"/>
        <v>1.1999999999999993</v>
      </c>
      <c r="Y17" s="1">
        <f t="shared" si="1"/>
        <v>4.82</v>
      </c>
      <c r="Z17" s="1">
        <f t="shared" si="2"/>
        <v>33</v>
      </c>
      <c r="AA17" s="4">
        <f t="shared" si="3"/>
        <v>16.600000000000001</v>
      </c>
    </row>
    <row r="18" spans="1:33" x14ac:dyDescent="0.25">
      <c r="A18">
        <v>162</v>
      </c>
      <c r="B18" t="s">
        <v>10</v>
      </c>
      <c r="C18">
        <v>27.12</v>
      </c>
      <c r="D18" s="7">
        <f t="shared" si="5"/>
        <v>1.1999999999999993</v>
      </c>
      <c r="E18" s="2">
        <v>4.82</v>
      </c>
      <c r="F18" s="9">
        <f t="shared" si="4"/>
        <v>10.999999999999995</v>
      </c>
      <c r="G18">
        <v>33</v>
      </c>
      <c r="H18" s="5">
        <f t="shared" si="6"/>
        <v>16.399999999999999</v>
      </c>
      <c r="J18" s="63" t="s">
        <v>12</v>
      </c>
      <c r="K18" s="64">
        <f t="shared" si="8"/>
        <v>18.066666666666666</v>
      </c>
      <c r="X18" s="1">
        <f t="shared" si="0"/>
        <v>2.6799999999999997</v>
      </c>
      <c r="Y18" s="1">
        <f t="shared" si="1"/>
        <v>11.16</v>
      </c>
      <c r="Z18" s="1">
        <f t="shared" si="2"/>
        <v>17.399999999999999</v>
      </c>
      <c r="AA18" s="4">
        <f t="shared" si="3"/>
        <v>33</v>
      </c>
    </row>
    <row r="19" spans="1:33" x14ac:dyDescent="0.25">
      <c r="A19">
        <v>189</v>
      </c>
      <c r="B19" t="s">
        <v>10</v>
      </c>
      <c r="C19">
        <v>29.8</v>
      </c>
      <c r="D19" s="7">
        <f t="shared" si="5"/>
        <v>2.6799999999999997</v>
      </c>
      <c r="E19" s="2">
        <v>11.16</v>
      </c>
      <c r="F19" s="9">
        <f t="shared" si="4"/>
        <v>12.95333333333333</v>
      </c>
      <c r="G19">
        <v>17.399999999999999</v>
      </c>
      <c r="H19" s="5">
        <f t="shared" si="6"/>
        <v>15.600000000000001</v>
      </c>
      <c r="J19" s="6"/>
      <c r="X19" s="1">
        <f t="shared" si="0"/>
        <v>1.5999999999999979</v>
      </c>
      <c r="Y19" s="1">
        <f t="shared" si="1"/>
        <v>7.12</v>
      </c>
      <c r="Z19" s="1">
        <f t="shared" si="2"/>
        <v>15.5</v>
      </c>
      <c r="AA19" s="4">
        <f t="shared" si="3"/>
        <v>17.399999999999999</v>
      </c>
    </row>
    <row r="20" spans="1:33" x14ac:dyDescent="0.25">
      <c r="A20">
        <v>177</v>
      </c>
      <c r="B20" t="s">
        <v>10</v>
      </c>
      <c r="C20">
        <v>31.4</v>
      </c>
      <c r="D20" s="7">
        <f t="shared" si="5"/>
        <v>1.5999999999999979</v>
      </c>
      <c r="E20" s="2">
        <v>7.12</v>
      </c>
      <c r="F20" s="9">
        <f t="shared" si="4"/>
        <v>6.8888888888888804</v>
      </c>
      <c r="G20">
        <v>15.5</v>
      </c>
      <c r="H20" s="5">
        <f t="shared" si="6"/>
        <v>1.8999999999999986</v>
      </c>
      <c r="J20" s="6"/>
      <c r="X20" s="1">
        <f t="shared" si="0"/>
        <v>1.6000000000000014</v>
      </c>
      <c r="Y20" s="1">
        <f t="shared" si="1"/>
        <v>5.01</v>
      </c>
      <c r="Z20" s="1">
        <f t="shared" si="2"/>
        <v>11.9</v>
      </c>
      <c r="AA20" s="4">
        <f t="shared" si="3"/>
        <v>15.5</v>
      </c>
    </row>
    <row r="21" spans="1:33" x14ac:dyDescent="0.25">
      <c r="A21">
        <v>197</v>
      </c>
      <c r="B21" t="s">
        <v>10</v>
      </c>
      <c r="C21">
        <v>33</v>
      </c>
      <c r="D21" s="7">
        <f t="shared" si="5"/>
        <v>1.6000000000000014</v>
      </c>
      <c r="E21" s="2">
        <v>5.01</v>
      </c>
      <c r="F21" s="9">
        <f t="shared" si="4"/>
        <v>5.2888888888888932</v>
      </c>
      <c r="G21">
        <v>11.9</v>
      </c>
      <c r="H21" s="5">
        <f t="shared" si="6"/>
        <v>3.5999999999999996</v>
      </c>
      <c r="J21" s="6"/>
      <c r="X21" s="1">
        <f t="shared" si="0"/>
        <v>1.2000000000000028</v>
      </c>
      <c r="Y21" s="1">
        <f t="shared" si="1"/>
        <v>4.9000000000000004</v>
      </c>
      <c r="Z21" s="1">
        <f t="shared" si="2"/>
        <v>17.5</v>
      </c>
      <c r="AA21" s="4">
        <f t="shared" si="3"/>
        <v>11.9</v>
      </c>
    </row>
    <row r="22" spans="1:33" x14ac:dyDescent="0.25">
      <c r="A22">
        <v>203</v>
      </c>
      <c r="B22" t="s">
        <v>10</v>
      </c>
      <c r="C22">
        <v>34.200000000000003</v>
      </c>
      <c r="D22" s="7">
        <f t="shared" si="5"/>
        <v>1.2000000000000028</v>
      </c>
      <c r="E22" s="2">
        <v>4.9000000000000004</v>
      </c>
      <c r="F22" s="9">
        <f t="shared" si="4"/>
        <v>5.8333333333333472</v>
      </c>
      <c r="G22">
        <v>17.5</v>
      </c>
      <c r="H22" s="5">
        <f t="shared" si="6"/>
        <v>5.6</v>
      </c>
      <c r="J22" s="6"/>
      <c r="X22" s="1">
        <f t="shared" si="0"/>
        <v>0.79999999999999716</v>
      </c>
      <c r="Y22" s="1">
        <f t="shared" si="1"/>
        <v>3.62</v>
      </c>
      <c r="Z22" s="1">
        <f t="shared" si="2"/>
        <v>17.2</v>
      </c>
      <c r="AA22" s="4">
        <f t="shared" si="3"/>
        <v>17.5</v>
      </c>
    </row>
    <row r="23" spans="1:33" x14ac:dyDescent="0.25">
      <c r="A23">
        <v>212</v>
      </c>
      <c r="B23" t="s">
        <v>10</v>
      </c>
      <c r="C23">
        <v>35</v>
      </c>
      <c r="D23" s="7">
        <f t="shared" si="5"/>
        <v>0.79999999999999716</v>
      </c>
      <c r="E23" s="2">
        <v>3.62</v>
      </c>
      <c r="F23" s="9">
        <f t="shared" si="4"/>
        <v>3.8222222222222082</v>
      </c>
      <c r="G23">
        <v>17.2</v>
      </c>
      <c r="H23" s="5">
        <f t="shared" si="6"/>
        <v>0.30000000000000071</v>
      </c>
      <c r="J23" s="6"/>
      <c r="X23" s="1">
        <f t="shared" si="0"/>
        <v>1.4799999999999969</v>
      </c>
      <c r="Y23" s="1">
        <f t="shared" si="1"/>
        <v>4.8099999999999996</v>
      </c>
      <c r="Z23" s="1">
        <f t="shared" si="2"/>
        <v>15.1</v>
      </c>
      <c r="AA23" s="4">
        <f t="shared" si="3"/>
        <v>17.2</v>
      </c>
    </row>
    <row r="24" spans="1:33" x14ac:dyDescent="0.25">
      <c r="A24">
        <v>233</v>
      </c>
      <c r="B24" t="s">
        <v>10</v>
      </c>
      <c r="C24">
        <v>36.479999999999997</v>
      </c>
      <c r="D24" s="7">
        <f t="shared" si="5"/>
        <v>1.4799999999999969</v>
      </c>
      <c r="E24" s="2">
        <v>4.8099999999999996</v>
      </c>
      <c r="F24" s="9">
        <f t="shared" si="4"/>
        <v>6.2077777777777641</v>
      </c>
      <c r="G24">
        <v>15.1</v>
      </c>
      <c r="H24" s="5">
        <f t="shared" si="6"/>
        <v>2.0999999999999996</v>
      </c>
      <c r="J24" s="6"/>
      <c r="X24" s="1">
        <f t="shared" si="0"/>
        <v>0.80000000000000426</v>
      </c>
      <c r="Y24" s="1">
        <f t="shared" si="1"/>
        <v>4.5</v>
      </c>
      <c r="Z24" s="1">
        <f t="shared" si="2"/>
        <v>15</v>
      </c>
      <c r="AA24" s="4">
        <f t="shared" si="3"/>
        <v>15.1</v>
      </c>
    </row>
    <row r="25" spans="1:33" x14ac:dyDescent="0.25">
      <c r="A25">
        <v>242</v>
      </c>
      <c r="B25" t="s">
        <v>11</v>
      </c>
      <c r="C25">
        <v>37.28</v>
      </c>
      <c r="D25" s="7">
        <f t="shared" si="5"/>
        <v>0.80000000000000426</v>
      </c>
      <c r="E25" s="2">
        <v>4.5</v>
      </c>
      <c r="F25" s="9">
        <f t="shared" si="4"/>
        <v>3.3333333333333508</v>
      </c>
      <c r="G25">
        <v>15</v>
      </c>
      <c r="H25" s="5">
        <f t="shared" si="6"/>
        <v>9.9999999999999645E-2</v>
      </c>
      <c r="J25" s="6"/>
      <c r="X25" s="1">
        <f t="shared" si="0"/>
        <v>0</v>
      </c>
      <c r="Y25" s="1">
        <f t="shared" si="1"/>
        <v>0</v>
      </c>
      <c r="Z25" s="1">
        <f t="shared" si="2"/>
        <v>0</v>
      </c>
      <c r="AA25" s="4">
        <f t="shared" si="3"/>
        <v>15</v>
      </c>
    </row>
    <row r="26" spans="1:33" x14ac:dyDescent="0.25">
      <c r="D26" s="7"/>
      <c r="E26" s="2"/>
      <c r="F26" s="9"/>
      <c r="H26" s="5"/>
      <c r="J26" s="6"/>
      <c r="X26" s="1">
        <f t="shared" si="0"/>
        <v>0</v>
      </c>
      <c r="Y26" s="1">
        <f t="shared" si="1"/>
        <v>0</v>
      </c>
      <c r="Z26" s="1">
        <f t="shared" si="2"/>
        <v>0</v>
      </c>
      <c r="AA26" s="4">
        <f t="shared" si="3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1"/>
        <v>0</v>
      </c>
      <c r="Z27" s="1">
        <f t="shared" si="2"/>
        <v>0</v>
      </c>
      <c r="AA27" s="4">
        <f t="shared" si="3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9">E4/G4</f>
        <v>0.10094786729857819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8</v>
      </c>
      <c r="B35" t="s">
        <v>12</v>
      </c>
      <c r="C35">
        <v>3.6</v>
      </c>
      <c r="D35" s="7">
        <v>0</v>
      </c>
      <c r="E35" s="1">
        <v>0</v>
      </c>
      <c r="F35" s="7">
        <v>0</v>
      </c>
      <c r="G35">
        <v>18.100000000000001</v>
      </c>
      <c r="J35" s="11">
        <v>0.2</v>
      </c>
      <c r="K35" s="12">
        <f t="shared" ref="K35:K44" si="10">SLOPE($E$35:$E$58, $D$35:$D$58) * J35 + INTERCEPT($E$35:$E$58, $D$35:$D$58)</f>
        <v>1.5838711524065361</v>
      </c>
      <c r="X35" s="6"/>
      <c r="Y35" s="22">
        <f t="shared" si="9"/>
        <v>0.12379182156133831</v>
      </c>
      <c r="Z35" s="1">
        <v>1.04</v>
      </c>
      <c r="AB35" s="11">
        <v>0.4</v>
      </c>
      <c r="AC35" s="23" t="e">
        <f t="shared" ref="AC35:AC43" si="11">SLOPE($Y$33:$Y$57, $Z$33:$Z$57) * AB35 + INTERCEPT($Y$33:$Y$57, $Z$33:$Z$57)</f>
        <v>#DIV/0!</v>
      </c>
      <c r="AD35" s="23" t="e">
        <f t="shared" ref="AD35:AD43" si="12">$AD$32*AC35</f>
        <v>#DIV/0!</v>
      </c>
      <c r="AE35" s="23" t="e">
        <f t="shared" ref="AE35:AE43" si="13">$AE$32*AC35</f>
        <v>#DIV/0!</v>
      </c>
      <c r="AF35" s="23" t="e">
        <f t="shared" ref="AF35:AF43" si="14">$AF$32*AC35</f>
        <v>#DIV/0!</v>
      </c>
      <c r="AG35" s="23" t="e">
        <f t="shared" ref="AG35:AG43" si="15">$AG$32*AC35</f>
        <v>#DIV/0!</v>
      </c>
    </row>
    <row r="36" spans="1:33" x14ac:dyDescent="0.25">
      <c r="A36">
        <v>56</v>
      </c>
      <c r="B36" t="s">
        <v>11</v>
      </c>
      <c r="C36">
        <v>4.5999999999999996</v>
      </c>
      <c r="D36" s="7">
        <f>C36-C35</f>
        <v>0.99999999999999956</v>
      </c>
      <c r="E36" s="2">
        <v>2.92</v>
      </c>
      <c r="F36" s="9">
        <f t="shared" ref="F36:F55" si="16">D36*G36/3.6</f>
        <v>0</v>
      </c>
      <c r="G36">
        <v>0</v>
      </c>
      <c r="H36" s="5"/>
      <c r="J36" s="11">
        <v>0.4</v>
      </c>
      <c r="K36" s="12">
        <f t="shared" si="10"/>
        <v>2.176553569069533</v>
      </c>
      <c r="X36" s="6"/>
      <c r="Y36" s="22">
        <f t="shared" si="9"/>
        <v>0.52122905027932964</v>
      </c>
      <c r="Z36" s="1">
        <v>1.1600000000000001</v>
      </c>
      <c r="AB36" s="11">
        <v>0.6</v>
      </c>
      <c r="AC36" s="23" t="e">
        <f t="shared" si="11"/>
        <v>#DIV/0!</v>
      </c>
      <c r="AD36" s="23" t="e">
        <f t="shared" si="12"/>
        <v>#DIV/0!</v>
      </c>
      <c r="AE36" s="23" t="e">
        <f t="shared" si="13"/>
        <v>#DIV/0!</v>
      </c>
      <c r="AF36" s="23" t="e">
        <f t="shared" si="14"/>
        <v>#DIV/0!</v>
      </c>
      <c r="AG36" s="23" t="e">
        <f t="shared" si="15"/>
        <v>#DIV/0!</v>
      </c>
    </row>
    <row r="37" spans="1:33" x14ac:dyDescent="0.25">
      <c r="A37">
        <v>38</v>
      </c>
      <c r="B37" t="s">
        <v>11</v>
      </c>
      <c r="C37">
        <v>5.4</v>
      </c>
      <c r="D37" s="7">
        <f t="shared" ref="D37:D55" si="17">C37-C36</f>
        <v>0.80000000000000071</v>
      </c>
      <c r="E37" s="2">
        <v>5.23</v>
      </c>
      <c r="F37" s="9">
        <f t="shared" si="16"/>
        <v>4.2444444444444489</v>
      </c>
      <c r="G37">
        <v>19.100000000000001</v>
      </c>
      <c r="H37" s="5"/>
      <c r="J37" s="11">
        <v>0.6</v>
      </c>
      <c r="K37" s="12">
        <f t="shared" si="10"/>
        <v>2.7692359857325304</v>
      </c>
      <c r="Y37" s="22">
        <f t="shared" si="9"/>
        <v>0.26578947368421052</v>
      </c>
      <c r="Z37" s="1">
        <v>1.2400000000000002</v>
      </c>
      <c r="AB37" s="11">
        <v>0.8</v>
      </c>
      <c r="AC37" s="23" t="e">
        <f t="shared" si="11"/>
        <v>#DIV/0!</v>
      </c>
      <c r="AD37" s="23" t="e">
        <f t="shared" si="12"/>
        <v>#DIV/0!</v>
      </c>
      <c r="AE37" s="23" t="e">
        <f t="shared" si="13"/>
        <v>#DIV/0!</v>
      </c>
      <c r="AF37" s="23" t="e">
        <f t="shared" si="14"/>
        <v>#DIV/0!</v>
      </c>
      <c r="AG37" s="23" t="e">
        <f t="shared" si="15"/>
        <v>#DIV/0!</v>
      </c>
    </row>
    <row r="38" spans="1:33" x14ac:dyDescent="0.25">
      <c r="A38">
        <v>7</v>
      </c>
      <c r="B38" t="s">
        <v>10</v>
      </c>
      <c r="C38">
        <v>5.72</v>
      </c>
      <c r="D38" s="7">
        <f t="shared" si="17"/>
        <v>0.3199999999999994</v>
      </c>
      <c r="E38" s="2">
        <v>1.41</v>
      </c>
      <c r="F38" s="9">
        <f t="shared" si="16"/>
        <v>1.4755555555555528</v>
      </c>
      <c r="G38">
        <v>16.600000000000001</v>
      </c>
      <c r="H38" s="5"/>
      <c r="J38" s="11">
        <v>0.8</v>
      </c>
      <c r="K38" s="12">
        <f t="shared" si="10"/>
        <v>3.3619184023955273</v>
      </c>
      <c r="Y38" s="22">
        <f t="shared" si="9"/>
        <v>0.56626506024096379</v>
      </c>
      <c r="Z38" s="1">
        <v>2.16</v>
      </c>
      <c r="AB38" s="11">
        <v>1</v>
      </c>
      <c r="AC38" s="23" t="e">
        <f t="shared" si="11"/>
        <v>#DIV/0!</v>
      </c>
      <c r="AD38" s="23" t="e">
        <f t="shared" si="12"/>
        <v>#DIV/0!</v>
      </c>
      <c r="AE38" s="23" t="e">
        <f t="shared" si="13"/>
        <v>#DIV/0!</v>
      </c>
      <c r="AF38" s="23" t="e">
        <f t="shared" si="14"/>
        <v>#DIV/0!</v>
      </c>
      <c r="AG38" s="23" t="e">
        <f t="shared" si="15"/>
        <v>#DIV/0!</v>
      </c>
    </row>
    <row r="39" spans="1:33" x14ac:dyDescent="0.25">
      <c r="A39">
        <v>22</v>
      </c>
      <c r="B39" t="s">
        <v>10</v>
      </c>
      <c r="C39">
        <v>7.52</v>
      </c>
      <c r="D39" s="7">
        <f t="shared" si="17"/>
        <v>1.7999999999999998</v>
      </c>
      <c r="E39" s="2">
        <v>8.2200000000000006</v>
      </c>
      <c r="F39" s="9">
        <f t="shared" si="16"/>
        <v>10.199999999999998</v>
      </c>
      <c r="G39">
        <v>20.399999999999999</v>
      </c>
      <c r="H39" s="5"/>
      <c r="J39" s="11">
        <v>1</v>
      </c>
      <c r="K39" s="12">
        <f t="shared" si="10"/>
        <v>3.9546008190585242</v>
      </c>
      <c r="Y39" s="22">
        <f t="shared" si="9"/>
        <v>0.59204545454545454</v>
      </c>
      <c r="Z39" s="1">
        <v>2.6399999999999988</v>
      </c>
      <c r="AB39" s="11">
        <v>1.2</v>
      </c>
      <c r="AC39" s="23" t="e">
        <f t="shared" si="11"/>
        <v>#DIV/0!</v>
      </c>
      <c r="AD39" s="23" t="e">
        <f t="shared" si="12"/>
        <v>#DIV/0!</v>
      </c>
      <c r="AE39" s="23" t="e">
        <f t="shared" si="13"/>
        <v>#DIV/0!</v>
      </c>
      <c r="AF39" s="23" t="e">
        <f t="shared" si="14"/>
        <v>#DIV/0!</v>
      </c>
      <c r="AG39" s="23" t="e">
        <f t="shared" si="15"/>
        <v>#DIV/0!</v>
      </c>
    </row>
    <row r="40" spans="1:33" x14ac:dyDescent="0.25">
      <c r="A40">
        <v>33</v>
      </c>
      <c r="B40" t="s">
        <v>10</v>
      </c>
      <c r="C40">
        <v>8.6</v>
      </c>
      <c r="D40" s="7">
        <f t="shared" si="17"/>
        <v>1.08</v>
      </c>
      <c r="E40" s="2">
        <v>3.4</v>
      </c>
      <c r="F40" s="9">
        <f t="shared" si="16"/>
        <v>4.7400000000000011</v>
      </c>
      <c r="G40">
        <v>15.8</v>
      </c>
      <c r="H40" s="5"/>
      <c r="J40" s="11">
        <v>1.2</v>
      </c>
      <c r="K40" s="12">
        <f t="shared" si="10"/>
        <v>4.5472832357215207</v>
      </c>
      <c r="Y40" s="22">
        <f t="shared" si="9"/>
        <v>0.4148148148148148</v>
      </c>
      <c r="Z40" s="1">
        <v>2.2000000000000011</v>
      </c>
      <c r="AB40" s="11">
        <v>1.4</v>
      </c>
      <c r="AC40" s="23" t="e">
        <f t="shared" si="11"/>
        <v>#DIV/0!</v>
      </c>
      <c r="AD40" s="23" t="e">
        <f t="shared" si="12"/>
        <v>#DIV/0!</v>
      </c>
      <c r="AE40" s="23" t="e">
        <f t="shared" si="13"/>
        <v>#DIV/0!</v>
      </c>
      <c r="AF40" s="23" t="e">
        <f t="shared" si="14"/>
        <v>#DIV/0!</v>
      </c>
      <c r="AG40" s="23" t="e">
        <f t="shared" si="15"/>
        <v>#DIV/0!</v>
      </c>
    </row>
    <row r="41" spans="1:33" x14ac:dyDescent="0.25">
      <c r="A41">
        <v>78</v>
      </c>
      <c r="B41" t="s">
        <v>11</v>
      </c>
      <c r="C41">
        <v>9.6</v>
      </c>
      <c r="D41" s="7">
        <f t="shared" si="17"/>
        <v>1</v>
      </c>
      <c r="E41" s="2">
        <v>5.75</v>
      </c>
      <c r="F41" s="9">
        <f t="shared" si="16"/>
        <v>4.8611111111111107</v>
      </c>
      <c r="G41">
        <v>17.5</v>
      </c>
      <c r="H41" s="5"/>
      <c r="J41" s="11">
        <v>1.4</v>
      </c>
      <c r="K41" s="12">
        <f t="shared" si="10"/>
        <v>5.1399656523845181</v>
      </c>
      <c r="Y41" s="22">
        <f t="shared" si="9"/>
        <v>0.54036697247706422</v>
      </c>
      <c r="Z41" s="1">
        <v>2.6799999999999997</v>
      </c>
      <c r="AB41" s="11">
        <v>1.6</v>
      </c>
      <c r="AC41" s="23" t="e">
        <f t="shared" si="11"/>
        <v>#DIV/0!</v>
      </c>
      <c r="AD41" s="23" t="e">
        <f t="shared" si="12"/>
        <v>#DIV/0!</v>
      </c>
      <c r="AE41" s="23" t="e">
        <f t="shared" si="13"/>
        <v>#DIV/0!</v>
      </c>
      <c r="AF41" s="23" t="e">
        <f t="shared" si="14"/>
        <v>#DIV/0!</v>
      </c>
      <c r="AG41" s="23" t="e">
        <f t="shared" si="15"/>
        <v>#DIV/0!</v>
      </c>
    </row>
    <row r="42" spans="1:33" x14ac:dyDescent="0.25">
      <c r="A42">
        <v>60</v>
      </c>
      <c r="B42" t="s">
        <v>12</v>
      </c>
      <c r="C42">
        <v>11.48</v>
      </c>
      <c r="D42" s="7">
        <f t="shared" si="17"/>
        <v>1.8800000000000008</v>
      </c>
      <c r="E42" s="2">
        <v>8.01</v>
      </c>
      <c r="F42" s="9">
        <f t="shared" si="16"/>
        <v>8.773333333333337</v>
      </c>
      <c r="G42">
        <v>16.8</v>
      </c>
      <c r="H42" s="5"/>
      <c r="J42" s="11">
        <v>1.6</v>
      </c>
      <c r="K42" s="12">
        <f t="shared" si="10"/>
        <v>5.7326480690475154</v>
      </c>
      <c r="Y42" s="22">
        <f t="shared" si="9"/>
        <v>0.38352272727272724</v>
      </c>
      <c r="Z42" s="1">
        <v>1.4800000000000004</v>
      </c>
      <c r="AB42" s="11">
        <v>1.8</v>
      </c>
      <c r="AC42" s="23" t="e">
        <f t="shared" si="11"/>
        <v>#DIV/0!</v>
      </c>
      <c r="AD42" s="23" t="e">
        <f t="shared" si="12"/>
        <v>#DIV/0!</v>
      </c>
      <c r="AE42" s="23" t="e">
        <f t="shared" si="13"/>
        <v>#DIV/0!</v>
      </c>
      <c r="AF42" s="23" t="e">
        <f t="shared" si="14"/>
        <v>#DIV/0!</v>
      </c>
      <c r="AG42" s="23" t="e">
        <f t="shared" si="15"/>
        <v>#DIV/0!</v>
      </c>
    </row>
    <row r="43" spans="1:33" x14ac:dyDescent="0.25">
      <c r="A43">
        <v>50</v>
      </c>
      <c r="B43" t="s">
        <v>10</v>
      </c>
      <c r="C43">
        <v>12.68</v>
      </c>
      <c r="D43" s="7">
        <f t="shared" si="17"/>
        <v>1.1999999999999993</v>
      </c>
      <c r="E43" s="2">
        <v>5.78</v>
      </c>
      <c r="F43" s="9">
        <f t="shared" si="16"/>
        <v>5.6999999999999966</v>
      </c>
      <c r="G43">
        <v>17.100000000000001</v>
      </c>
      <c r="H43" s="5"/>
      <c r="J43" s="11">
        <v>1.8</v>
      </c>
      <c r="K43" s="12">
        <f t="shared" si="10"/>
        <v>6.3253304857105128</v>
      </c>
      <c r="Y43" s="22">
        <f t="shared" si="9"/>
        <v>0.27121951219512191</v>
      </c>
      <c r="Z43" s="1">
        <v>1.6400000000000006</v>
      </c>
      <c r="AB43" s="11">
        <v>2</v>
      </c>
      <c r="AC43" s="23" t="e">
        <f t="shared" si="11"/>
        <v>#DIV/0!</v>
      </c>
      <c r="AD43" s="23" t="e">
        <f t="shared" si="12"/>
        <v>#DIV/0!</v>
      </c>
      <c r="AE43" s="23" t="e">
        <f t="shared" si="13"/>
        <v>#DIV/0!</v>
      </c>
      <c r="AF43" s="23" t="e">
        <f t="shared" si="14"/>
        <v>#DIV/0!</v>
      </c>
      <c r="AG43" s="23" t="e">
        <f t="shared" si="15"/>
        <v>#DIV/0!</v>
      </c>
    </row>
    <row r="44" spans="1:33" x14ac:dyDescent="0.25">
      <c r="A44">
        <v>80</v>
      </c>
      <c r="B44" t="s">
        <v>10</v>
      </c>
      <c r="C44">
        <v>14.72</v>
      </c>
      <c r="D44" s="7">
        <f t="shared" si="17"/>
        <v>2.0400000000000009</v>
      </c>
      <c r="E44" s="2">
        <v>8.91</v>
      </c>
      <c r="F44" s="9">
        <f t="shared" si="16"/>
        <v>13.600000000000005</v>
      </c>
      <c r="G44">
        <v>24</v>
      </c>
      <c r="H44" s="5"/>
      <c r="J44" s="11">
        <v>2</v>
      </c>
      <c r="K44" s="12">
        <f t="shared" si="10"/>
        <v>6.9180129023735093</v>
      </c>
      <c r="Y44" s="22">
        <f t="shared" si="9"/>
        <v>0.37000000000000005</v>
      </c>
      <c r="Z44" s="1">
        <v>1.6799999999999997</v>
      </c>
    </row>
    <row r="45" spans="1:33" x14ac:dyDescent="0.25">
      <c r="A45">
        <v>115</v>
      </c>
      <c r="B45" t="s">
        <v>12</v>
      </c>
      <c r="C45">
        <v>16.8</v>
      </c>
      <c r="D45" s="7">
        <f t="shared" si="17"/>
        <v>2.08</v>
      </c>
      <c r="E45" s="2">
        <v>7.58</v>
      </c>
      <c r="F45" s="9">
        <f t="shared" si="16"/>
        <v>8.4933333333333341</v>
      </c>
      <c r="G45">
        <v>14.7</v>
      </c>
      <c r="H45" s="5"/>
      <c r="Y45" s="22">
        <f t="shared" si="9"/>
        <v>0.55000000000000004</v>
      </c>
      <c r="Z45" s="1">
        <v>1.6799999999999997</v>
      </c>
    </row>
    <row r="46" spans="1:33" x14ac:dyDescent="0.25">
      <c r="A46">
        <v>145</v>
      </c>
      <c r="B46" t="s">
        <v>11</v>
      </c>
      <c r="C46">
        <v>17.2</v>
      </c>
      <c r="D46" s="7">
        <f t="shared" si="17"/>
        <v>0.39999999999999858</v>
      </c>
      <c r="E46" s="2">
        <v>1.31</v>
      </c>
      <c r="F46" s="9">
        <f t="shared" si="16"/>
        <v>0</v>
      </c>
      <c r="G46">
        <v>0</v>
      </c>
      <c r="H46" s="5"/>
      <c r="J46" s="109" t="s">
        <v>66</v>
      </c>
      <c r="K46" s="109"/>
      <c r="Y46" s="22">
        <f t="shared" si="9"/>
        <v>0.15757575757575756</v>
      </c>
      <c r="Z46" s="1">
        <v>1</v>
      </c>
    </row>
    <row r="47" spans="1:33" x14ac:dyDescent="0.25">
      <c r="A47">
        <v>117</v>
      </c>
      <c r="B47" t="s">
        <v>10</v>
      </c>
      <c r="C47">
        <v>18.600000000000001</v>
      </c>
      <c r="D47" s="7">
        <f t="shared" si="17"/>
        <v>1.4000000000000021</v>
      </c>
      <c r="E47" s="2">
        <v>2.1</v>
      </c>
      <c r="F47" s="9">
        <f t="shared" si="16"/>
        <v>6.4166666666666767</v>
      </c>
      <c r="G47">
        <v>16.5</v>
      </c>
      <c r="H47" s="5"/>
      <c r="J47" s="63" t="s">
        <v>10</v>
      </c>
      <c r="K47" s="64">
        <f>AVERAGEIFS($G$35:$G$80, $B$35:$B$80, J47, $G$35:$G$80, "&lt;&gt;0")</f>
        <v>16.100000000000001</v>
      </c>
      <c r="Y47" s="22">
        <f t="shared" si="9"/>
        <v>0.95481927710843362</v>
      </c>
      <c r="Z47" s="1">
        <v>3.4400000000000013</v>
      </c>
    </row>
    <row r="48" spans="1:33" x14ac:dyDescent="0.25">
      <c r="A48">
        <v>127</v>
      </c>
      <c r="B48" t="s">
        <v>10</v>
      </c>
      <c r="C48">
        <v>20.399999999999999</v>
      </c>
      <c r="D48" s="7">
        <f t="shared" si="17"/>
        <v>1.7999999999999972</v>
      </c>
      <c r="E48" s="2">
        <v>7.97</v>
      </c>
      <c r="F48" s="9">
        <f t="shared" si="16"/>
        <v>6.9499999999999886</v>
      </c>
      <c r="G48">
        <v>13.9</v>
      </c>
      <c r="H48" s="5"/>
      <c r="J48" s="63" t="s">
        <v>11</v>
      </c>
      <c r="K48" s="64">
        <f t="shared" ref="K48:K49" si="18">AVERAGEIFS($G$35:$G$80, $B$35:$B$80, J48, $G$35:$G$80, "&lt;&gt;0")</f>
        <v>18.3</v>
      </c>
      <c r="Y48" s="22">
        <f t="shared" si="9"/>
        <v>0.14606060606060606</v>
      </c>
      <c r="Z48" s="1">
        <v>1.1999999999999993</v>
      </c>
    </row>
    <row r="49" spans="1:26" x14ac:dyDescent="0.25">
      <c r="A49">
        <v>156</v>
      </c>
      <c r="B49" t="s">
        <v>10</v>
      </c>
      <c r="C49">
        <v>24.08</v>
      </c>
      <c r="D49" s="7">
        <f t="shared" si="17"/>
        <v>3.6799999999999997</v>
      </c>
      <c r="E49" s="2">
        <v>11.83</v>
      </c>
      <c r="F49" s="9">
        <f t="shared" si="16"/>
        <v>19.524444444444445</v>
      </c>
      <c r="G49">
        <v>19.100000000000001</v>
      </c>
      <c r="H49" s="5"/>
      <c r="J49" s="63" t="s">
        <v>12</v>
      </c>
      <c r="K49" s="64">
        <f t="shared" si="18"/>
        <v>18.275000000000002</v>
      </c>
      <c r="Y49" s="22">
        <f t="shared" si="9"/>
        <v>0.64137931034482765</v>
      </c>
      <c r="Z49" s="1">
        <v>2.6799999999999997</v>
      </c>
    </row>
    <row r="50" spans="1:26" x14ac:dyDescent="0.25">
      <c r="A50">
        <v>148</v>
      </c>
      <c r="B50" t="s">
        <v>10</v>
      </c>
      <c r="C50">
        <v>27.88</v>
      </c>
      <c r="D50" s="7">
        <f t="shared" si="17"/>
        <v>3.8000000000000007</v>
      </c>
      <c r="E50" s="2">
        <v>15.95</v>
      </c>
      <c r="F50" s="9">
        <f t="shared" si="16"/>
        <v>7.283333333333335</v>
      </c>
      <c r="G50">
        <v>6.9</v>
      </c>
      <c r="H50" s="5"/>
      <c r="Y50" s="22">
        <f t="shared" si="9"/>
        <v>0.45935483870967742</v>
      </c>
      <c r="Z50" s="1">
        <v>1.5999999999999979</v>
      </c>
    </row>
    <row r="51" spans="1:26" x14ac:dyDescent="0.25">
      <c r="A51">
        <v>220</v>
      </c>
      <c r="B51" t="s">
        <v>12</v>
      </c>
      <c r="C51">
        <v>30.8</v>
      </c>
      <c r="D51" s="7">
        <f t="shared" si="17"/>
        <v>2.9200000000000017</v>
      </c>
      <c r="E51" s="2">
        <v>0.82</v>
      </c>
      <c r="F51" s="9">
        <f t="shared" si="16"/>
        <v>0</v>
      </c>
      <c r="G51">
        <v>0</v>
      </c>
      <c r="H51" s="5"/>
      <c r="Y51" s="22">
        <f t="shared" si="9"/>
        <v>0.42100840336134449</v>
      </c>
      <c r="Z51" s="1">
        <v>1.6000000000000014</v>
      </c>
    </row>
    <row r="52" spans="1:26" x14ac:dyDescent="0.25">
      <c r="A52">
        <v>192</v>
      </c>
      <c r="B52" t="s">
        <v>10</v>
      </c>
      <c r="C52">
        <v>32</v>
      </c>
      <c r="D52" s="7">
        <f t="shared" si="17"/>
        <v>1.1999999999999993</v>
      </c>
      <c r="E52" s="2">
        <v>1.6</v>
      </c>
      <c r="F52" s="9">
        <f t="shared" si="16"/>
        <v>5.7999999999999954</v>
      </c>
      <c r="G52">
        <v>17.399999999999999</v>
      </c>
      <c r="H52" s="5"/>
      <c r="Y52" s="22">
        <f t="shared" si="9"/>
        <v>0.28000000000000003</v>
      </c>
      <c r="Z52" s="1">
        <v>1.2000000000000028</v>
      </c>
    </row>
    <row r="53" spans="1:26" x14ac:dyDescent="0.25">
      <c r="A53">
        <v>197</v>
      </c>
      <c r="B53" t="s">
        <v>10</v>
      </c>
      <c r="C53">
        <v>33.479999999999997</v>
      </c>
      <c r="D53" s="7">
        <f t="shared" si="17"/>
        <v>1.4799999999999969</v>
      </c>
      <c r="E53" s="2">
        <v>4.7</v>
      </c>
      <c r="F53" s="9">
        <f t="shared" si="16"/>
        <v>4.5633333333333237</v>
      </c>
      <c r="G53">
        <v>11.1</v>
      </c>
      <c r="H53" s="5"/>
      <c r="Y53" s="22">
        <f t="shared" si="9"/>
        <v>0.21046511627906977</v>
      </c>
      <c r="Z53" s="1">
        <v>0.79999999999999716</v>
      </c>
    </row>
    <row r="54" spans="1:26" x14ac:dyDescent="0.25">
      <c r="A54">
        <v>215</v>
      </c>
      <c r="B54" t="s">
        <v>12</v>
      </c>
      <c r="C54">
        <v>34.4</v>
      </c>
      <c r="D54" s="7">
        <f t="shared" si="17"/>
        <v>0.92000000000000171</v>
      </c>
      <c r="E54" s="2">
        <v>7.03</v>
      </c>
      <c r="F54" s="9">
        <f t="shared" si="16"/>
        <v>6.0055555555555662</v>
      </c>
      <c r="G54">
        <v>23.5</v>
      </c>
      <c r="H54" s="5"/>
      <c r="Y54" s="22">
        <f t="shared" si="9"/>
        <v>0.31854304635761588</v>
      </c>
      <c r="Z54" s="1">
        <v>1.4799999999999969</v>
      </c>
    </row>
    <row r="55" spans="1:26" x14ac:dyDescent="0.25">
      <c r="A55">
        <v>231</v>
      </c>
      <c r="B55" t="s">
        <v>10</v>
      </c>
      <c r="C55">
        <v>37.08</v>
      </c>
      <c r="D55" s="7">
        <f t="shared" si="17"/>
        <v>2.6799999999999997</v>
      </c>
      <c r="E55" s="2">
        <v>9.51</v>
      </c>
      <c r="F55" s="9">
        <f t="shared" si="16"/>
        <v>10.719999999999999</v>
      </c>
      <c r="G55">
        <v>14.4</v>
      </c>
      <c r="H55" s="5"/>
      <c r="Y55" s="22">
        <f t="shared" si="9"/>
        <v>0.3</v>
      </c>
      <c r="Z55" s="1">
        <v>0.80000000000000426</v>
      </c>
    </row>
    <row r="56" spans="1:26" x14ac:dyDescent="0.25">
      <c r="D56" s="7"/>
      <c r="F56" s="9"/>
      <c r="H56" s="5"/>
      <c r="Y56" s="22" t="e">
        <f t="shared" si="9"/>
        <v>#DIV/0!</v>
      </c>
      <c r="Z56" s="1">
        <v>6</v>
      </c>
    </row>
    <row r="57" spans="1:26" x14ac:dyDescent="0.25">
      <c r="E57" s="2"/>
      <c r="F57" s="9"/>
      <c r="H57" s="5"/>
      <c r="Y57" s="22"/>
    </row>
    <row r="58" spans="1:26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Z1:AA1"/>
    <mergeCell ref="X1:Y1"/>
    <mergeCell ref="A1:E1"/>
    <mergeCell ref="A33:E33"/>
    <mergeCell ref="AB1:AC1"/>
    <mergeCell ref="J15:K15"/>
  </mergeCells>
  <conditionalFormatting sqref="G3:G27 F3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{1C09D3D7-93A0-4D16-B031-1EB6F02589FE}</x14:id>
        </ext>
      </extLst>
    </cfRule>
  </conditionalFormatting>
  <conditionalFormatting sqref="G57:G58 F35 G35:G55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{D56AA8EC-A614-471F-8D74-61C481FC0833}</x14:id>
        </ext>
      </extLst>
    </cfRule>
  </conditionalFormatting>
  <conditionalFormatting sqref="K3:K13">
    <cfRule type="cellIs" dxfId="110" priority="21" operator="between">
      <formula>4</formula>
      <formula>5</formula>
    </cfRule>
    <cfRule type="cellIs" dxfId="109" priority="22" operator="lessThan">
      <formula>3.99</formula>
    </cfRule>
    <cfRule type="cellIs" dxfId="108" priority="23" operator="greaterThan">
      <formula>5</formula>
    </cfRule>
  </conditionalFormatting>
  <conditionalFormatting sqref="K34:K44">
    <cfRule type="cellIs" dxfId="107" priority="13" operator="between">
      <formula>4</formula>
      <formula>5</formula>
    </cfRule>
    <cfRule type="cellIs" dxfId="106" priority="14" operator="lessThan">
      <formula>3.99</formula>
    </cfRule>
    <cfRule type="cellIs" dxfId="105" priority="15" operator="greaterThan">
      <formula>5</formula>
    </cfRule>
  </conditionalFormatting>
  <conditionalFormatting sqref="AC33:AG43">
    <cfRule type="cellIs" dxfId="104" priority="1" operator="between">
      <formula>4</formula>
      <formula>5</formula>
    </cfRule>
    <cfRule type="cellIs" dxfId="103" priority="2" operator="lessThan">
      <formula>3.99</formula>
    </cfRule>
    <cfRule type="cellIs" dxfId="102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09D3D7-93A0-4D16-B031-1EB6F0258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D56AA8EC-A614-471F-8D74-61C481FC0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BCB9-38C2-40DD-BEBD-862785D82062}">
  <sheetPr codeName="Sheet3"/>
  <dimension ref="A1:AG83"/>
  <sheetViews>
    <sheetView workbookViewId="0">
      <selection activeCell="E29" sqref="E29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33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C1" t="s">
        <v>31</v>
      </c>
      <c r="AD1" t="s">
        <v>32</v>
      </c>
      <c r="AE1" t="s">
        <v>33</v>
      </c>
      <c r="AF1" t="s">
        <v>34</v>
      </c>
      <c r="AG1" t="s">
        <v>35</v>
      </c>
    </row>
    <row r="2" spans="1:33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C2">
        <v>5</v>
      </c>
      <c r="AD2" t="s">
        <v>10</v>
      </c>
      <c r="AE2">
        <v>5.32</v>
      </c>
      <c r="AF2">
        <v>14.5</v>
      </c>
    </row>
    <row r="3" spans="1:33" x14ac:dyDescent="0.25">
      <c r="A3">
        <v>71</v>
      </c>
      <c r="B3" t="s">
        <v>10</v>
      </c>
      <c r="C3">
        <v>12.4</v>
      </c>
      <c r="D3" s="7">
        <v>0</v>
      </c>
      <c r="E3" s="1">
        <v>0</v>
      </c>
      <c r="F3" s="7">
        <v>0</v>
      </c>
      <c r="G3">
        <v>28.8</v>
      </c>
      <c r="J3" s="11">
        <v>0</v>
      </c>
      <c r="K3" s="11">
        <v>0</v>
      </c>
      <c r="X3" s="1">
        <f t="shared" ref="X3:X18" si="0">D4</f>
        <v>1.2400000000000002</v>
      </c>
      <c r="Y3" s="1">
        <f t="shared" ref="Y3:Y18" si="1">E4</f>
        <v>8.11</v>
      </c>
      <c r="Z3" s="1">
        <f t="shared" ref="Z3:Z27" si="2">G4</f>
        <v>18</v>
      </c>
      <c r="AA3" s="4">
        <f t="shared" ref="AA3:AA27" si="3">G3</f>
        <v>28.8</v>
      </c>
      <c r="AC3">
        <v>2</v>
      </c>
      <c r="AD3" t="s">
        <v>10</v>
      </c>
      <c r="AE3">
        <v>7.64</v>
      </c>
      <c r="AF3">
        <v>14.1000003814697</v>
      </c>
      <c r="AG3">
        <v>2.3599998950958199</v>
      </c>
    </row>
    <row r="4" spans="1:33" x14ac:dyDescent="0.25">
      <c r="A4">
        <v>62</v>
      </c>
      <c r="B4" t="s">
        <v>10</v>
      </c>
      <c r="C4">
        <v>13.64</v>
      </c>
      <c r="D4" s="7">
        <f t="shared" ref="D4:D18" si="4">C4-C3</f>
        <v>1.2400000000000002</v>
      </c>
      <c r="E4" s="2">
        <v>8.11</v>
      </c>
      <c r="F4" s="9">
        <f t="shared" ref="F4:F18" si="5">D4*G4/3.6</f>
        <v>6.2000000000000011</v>
      </c>
      <c r="G4">
        <v>18</v>
      </c>
      <c r="H4" s="5"/>
      <c r="J4" s="11">
        <v>0.2</v>
      </c>
      <c r="K4" s="12">
        <f t="shared" ref="K4:K13" si="6">SLOPE($E$3:$E$27, $D$3:$D$27) * J4 + INTERCEPT($E$3:$E$27, $D$3:$D$27)</f>
        <v>3.4007836915586473</v>
      </c>
      <c r="X4" s="1">
        <f t="shared" si="0"/>
        <v>1.3599999999999994</v>
      </c>
      <c r="Y4" s="1">
        <f t="shared" si="1"/>
        <v>3.83</v>
      </c>
      <c r="Z4" s="1">
        <f t="shared" si="2"/>
        <v>17</v>
      </c>
      <c r="AA4" s="4">
        <f t="shared" si="3"/>
        <v>18</v>
      </c>
      <c r="AC4">
        <v>3</v>
      </c>
      <c r="AD4" t="s">
        <v>10</v>
      </c>
      <c r="AE4">
        <v>8</v>
      </c>
      <c r="AF4">
        <v>13.199999809265099</v>
      </c>
      <c r="AG4">
        <v>3.6900000572204501</v>
      </c>
    </row>
    <row r="5" spans="1:33" x14ac:dyDescent="0.25">
      <c r="A5">
        <v>10</v>
      </c>
      <c r="B5" t="s">
        <v>10</v>
      </c>
      <c r="C5">
        <v>15</v>
      </c>
      <c r="D5" s="7">
        <f t="shared" si="4"/>
        <v>1.3599999999999994</v>
      </c>
      <c r="E5" s="2">
        <v>3.83</v>
      </c>
      <c r="F5" s="9">
        <f t="shared" si="5"/>
        <v>6.4222222222222189</v>
      </c>
      <c r="G5">
        <v>17</v>
      </c>
      <c r="H5" s="5"/>
      <c r="J5" s="11">
        <v>0.4</v>
      </c>
      <c r="K5" s="12">
        <f t="shared" si="6"/>
        <v>3.8960239417961922</v>
      </c>
      <c r="X5" s="1">
        <f t="shared" si="0"/>
        <v>1.6000000000000014</v>
      </c>
      <c r="Y5" s="1">
        <f t="shared" si="1"/>
        <v>9.01</v>
      </c>
      <c r="Z5" s="1">
        <f t="shared" si="2"/>
        <v>14.2</v>
      </c>
      <c r="AA5" s="4">
        <f t="shared" si="3"/>
        <v>17</v>
      </c>
      <c r="AC5">
        <v>14</v>
      </c>
      <c r="AD5" t="s">
        <v>36</v>
      </c>
      <c r="AE5">
        <v>10.199999999999999</v>
      </c>
      <c r="AF5">
        <v>19.600000381469702</v>
      </c>
      <c r="AG5">
        <v>-0.270000010728836</v>
      </c>
    </row>
    <row r="6" spans="1:33" x14ac:dyDescent="0.25">
      <c r="A6">
        <v>61</v>
      </c>
      <c r="B6" t="s">
        <v>10</v>
      </c>
      <c r="C6">
        <v>16.600000000000001</v>
      </c>
      <c r="D6" s="7">
        <f t="shared" si="4"/>
        <v>1.6000000000000014</v>
      </c>
      <c r="E6" s="2">
        <v>9.01</v>
      </c>
      <c r="F6" s="9">
        <f t="shared" si="5"/>
        <v>6.3111111111111162</v>
      </c>
      <c r="G6">
        <v>14.2</v>
      </c>
      <c r="H6" s="5"/>
      <c r="J6" s="11">
        <v>0.6</v>
      </c>
      <c r="K6" s="12">
        <f t="shared" si="6"/>
        <v>4.391264192033737</v>
      </c>
      <c r="X6" s="1">
        <f t="shared" si="0"/>
        <v>3.9999999999999147E-2</v>
      </c>
      <c r="Y6" s="1">
        <f t="shared" si="1"/>
        <v>0.26</v>
      </c>
      <c r="Z6" s="1">
        <f t="shared" si="2"/>
        <v>18.7</v>
      </c>
      <c r="AA6" s="4">
        <f t="shared" si="3"/>
        <v>14.2</v>
      </c>
      <c r="AC6">
        <v>64</v>
      </c>
      <c r="AD6" t="s">
        <v>10</v>
      </c>
      <c r="AE6">
        <v>11.2</v>
      </c>
      <c r="AF6">
        <v>19.7000007629394</v>
      </c>
      <c r="AG6">
        <v>8.5</v>
      </c>
    </row>
    <row r="7" spans="1:33" x14ac:dyDescent="0.25">
      <c r="A7">
        <v>82</v>
      </c>
      <c r="B7" t="s">
        <v>10</v>
      </c>
      <c r="C7">
        <v>16.64</v>
      </c>
      <c r="D7" s="7">
        <f t="shared" si="4"/>
        <v>3.9999999999999147E-2</v>
      </c>
      <c r="E7" s="2">
        <v>0.26</v>
      </c>
      <c r="F7" s="9">
        <f t="shared" si="5"/>
        <v>0.20777777777777334</v>
      </c>
      <c r="G7">
        <v>18.7</v>
      </c>
      <c r="H7" s="5"/>
      <c r="J7" s="11">
        <v>0.8</v>
      </c>
      <c r="K7" s="12">
        <f t="shared" si="6"/>
        <v>4.8865044422712822</v>
      </c>
      <c r="X7" s="1">
        <f t="shared" si="0"/>
        <v>2.0799999999999983</v>
      </c>
      <c r="Y7" s="1">
        <f t="shared" si="1"/>
        <v>10.18</v>
      </c>
      <c r="Z7" s="1">
        <f t="shared" si="2"/>
        <v>14.9</v>
      </c>
      <c r="AA7" s="4">
        <f t="shared" si="3"/>
        <v>18.7</v>
      </c>
      <c r="AC7">
        <v>69</v>
      </c>
      <c r="AD7" t="s">
        <v>10</v>
      </c>
      <c r="AE7">
        <v>15</v>
      </c>
      <c r="AF7">
        <v>20.299999237060501</v>
      </c>
      <c r="AG7">
        <v>19.7199993133544</v>
      </c>
    </row>
    <row r="8" spans="1:33" x14ac:dyDescent="0.25">
      <c r="A8">
        <v>92</v>
      </c>
      <c r="B8" t="s">
        <v>10</v>
      </c>
      <c r="C8">
        <v>18.72</v>
      </c>
      <c r="D8" s="7">
        <f t="shared" si="4"/>
        <v>2.0799999999999983</v>
      </c>
      <c r="E8" s="2">
        <v>10.18</v>
      </c>
      <c r="F8" s="9">
        <f t="shared" si="5"/>
        <v>8.6088888888888828</v>
      </c>
      <c r="G8">
        <v>14.9</v>
      </c>
      <c r="H8" s="5"/>
      <c r="J8" s="11">
        <v>1</v>
      </c>
      <c r="K8" s="12">
        <f t="shared" si="6"/>
        <v>5.3817446925088275</v>
      </c>
      <c r="X8" s="1">
        <f t="shared" si="0"/>
        <v>2.8800000000000026</v>
      </c>
      <c r="Y8" s="1">
        <f t="shared" si="1"/>
        <v>13.04</v>
      </c>
      <c r="Z8" s="1">
        <f t="shared" si="2"/>
        <v>21.6</v>
      </c>
      <c r="AA8" s="4">
        <f t="shared" si="3"/>
        <v>14.9</v>
      </c>
      <c r="AC8">
        <v>91</v>
      </c>
      <c r="AD8" t="s">
        <v>11</v>
      </c>
      <c r="AE8">
        <v>15.92</v>
      </c>
      <c r="AF8">
        <v>29.899999618530199</v>
      </c>
      <c r="AG8">
        <v>4.4400000572204501</v>
      </c>
    </row>
    <row r="9" spans="1:33" x14ac:dyDescent="0.25">
      <c r="A9">
        <v>109</v>
      </c>
      <c r="B9" t="s">
        <v>10</v>
      </c>
      <c r="C9">
        <v>21.6</v>
      </c>
      <c r="D9" s="7">
        <f t="shared" si="4"/>
        <v>2.8800000000000026</v>
      </c>
      <c r="E9" s="2">
        <v>13.04</v>
      </c>
      <c r="F9" s="9">
        <f t="shared" si="5"/>
        <v>17.280000000000015</v>
      </c>
      <c r="G9">
        <v>21.6</v>
      </c>
      <c r="H9" s="5"/>
      <c r="J9" s="11">
        <v>1.2</v>
      </c>
      <c r="K9" s="12">
        <f t="shared" si="6"/>
        <v>5.8769849427463718</v>
      </c>
      <c r="X9" s="1">
        <f t="shared" si="0"/>
        <v>4.32</v>
      </c>
      <c r="Y9" s="1">
        <f t="shared" si="1"/>
        <v>17.579999999999998</v>
      </c>
      <c r="Z9" s="1">
        <f t="shared" si="2"/>
        <v>19.5</v>
      </c>
      <c r="AA9" s="4">
        <f t="shared" si="3"/>
        <v>21.6</v>
      </c>
      <c r="AC9">
        <v>90</v>
      </c>
      <c r="AD9" t="s">
        <v>10</v>
      </c>
      <c r="AE9">
        <v>16.52</v>
      </c>
      <c r="AF9">
        <v>19.2000007629394</v>
      </c>
      <c r="AG9">
        <v>3.5299999713897701</v>
      </c>
    </row>
    <row r="10" spans="1:33" x14ac:dyDescent="0.25">
      <c r="A10">
        <v>136</v>
      </c>
      <c r="B10" t="s">
        <v>10</v>
      </c>
      <c r="C10">
        <v>25.92</v>
      </c>
      <c r="D10" s="7">
        <f t="shared" si="4"/>
        <v>4.32</v>
      </c>
      <c r="E10" s="2">
        <v>17.579999999999998</v>
      </c>
      <c r="F10" s="9">
        <f t="shared" si="5"/>
        <v>23.400000000000002</v>
      </c>
      <c r="G10">
        <v>19.5</v>
      </c>
      <c r="H10" s="5"/>
      <c r="J10" s="11">
        <v>1.4</v>
      </c>
      <c r="K10" s="12">
        <f t="shared" si="6"/>
        <v>6.3722251929839171</v>
      </c>
      <c r="X10" s="1">
        <f t="shared" si="0"/>
        <v>7.9999999999998295E-2</v>
      </c>
      <c r="Y10" s="1">
        <f t="shared" si="1"/>
        <v>-0.27</v>
      </c>
      <c r="Z10" s="1">
        <f t="shared" si="2"/>
        <v>14.3</v>
      </c>
      <c r="AA10" s="4">
        <f t="shared" si="3"/>
        <v>19.5</v>
      </c>
      <c r="AC10">
        <v>94</v>
      </c>
      <c r="AD10" t="s">
        <v>10</v>
      </c>
      <c r="AE10">
        <v>18.52</v>
      </c>
      <c r="AF10">
        <v>25.7000007629394</v>
      </c>
      <c r="AG10">
        <v>3.8499999046325599</v>
      </c>
    </row>
    <row r="11" spans="1:33" x14ac:dyDescent="0.25">
      <c r="A11">
        <v>150</v>
      </c>
      <c r="B11" t="s">
        <v>12</v>
      </c>
      <c r="C11">
        <v>26</v>
      </c>
      <c r="D11" s="7">
        <f t="shared" si="4"/>
        <v>7.9999999999998295E-2</v>
      </c>
      <c r="E11" s="21">
        <v>-0.27</v>
      </c>
      <c r="F11" s="9">
        <f t="shared" si="5"/>
        <v>0.317777777777771</v>
      </c>
      <c r="G11">
        <v>14.3</v>
      </c>
      <c r="H11" s="5"/>
      <c r="J11" s="11">
        <v>1.6</v>
      </c>
      <c r="K11" s="12">
        <f t="shared" si="6"/>
        <v>6.8674654432214624</v>
      </c>
      <c r="X11" s="1">
        <f t="shared" si="0"/>
        <v>1.2399999999999984</v>
      </c>
      <c r="Y11" s="1">
        <f t="shared" si="1"/>
        <v>6.01</v>
      </c>
      <c r="Z11" s="1">
        <f t="shared" si="2"/>
        <v>21.7</v>
      </c>
      <c r="AA11" s="4">
        <f t="shared" si="3"/>
        <v>14.3</v>
      </c>
      <c r="AC11">
        <v>99</v>
      </c>
      <c r="AD11" t="s">
        <v>10</v>
      </c>
      <c r="AE11">
        <v>20.440000000000001</v>
      </c>
      <c r="AF11">
        <v>19.299999237060501</v>
      </c>
      <c r="AG11">
        <v>10.140000343322701</v>
      </c>
    </row>
    <row r="12" spans="1:33" x14ac:dyDescent="0.25">
      <c r="A12">
        <v>177</v>
      </c>
      <c r="B12" t="s">
        <v>11</v>
      </c>
      <c r="C12">
        <v>27.24</v>
      </c>
      <c r="D12" s="7">
        <f t="shared" si="4"/>
        <v>1.2399999999999984</v>
      </c>
      <c r="E12" s="2">
        <v>6.01</v>
      </c>
      <c r="F12" s="9">
        <f t="shared" si="5"/>
        <v>7.4744444444444351</v>
      </c>
      <c r="G12">
        <v>21.7</v>
      </c>
      <c r="H12" s="5"/>
      <c r="J12" s="11">
        <v>1.8</v>
      </c>
      <c r="K12" s="12">
        <f t="shared" si="6"/>
        <v>7.3627056934590076</v>
      </c>
      <c r="X12" s="1">
        <f t="shared" si="0"/>
        <v>0.96000000000000085</v>
      </c>
      <c r="Y12" s="1">
        <f t="shared" si="1"/>
        <v>4.72</v>
      </c>
      <c r="Z12" s="1">
        <f t="shared" si="2"/>
        <v>20</v>
      </c>
      <c r="AA12" s="4">
        <f t="shared" si="3"/>
        <v>21.7</v>
      </c>
      <c r="AC12">
        <v>134</v>
      </c>
      <c r="AD12" t="s">
        <v>12</v>
      </c>
      <c r="AE12">
        <v>21.84</v>
      </c>
      <c r="AF12">
        <v>23.799999237060501</v>
      </c>
      <c r="AG12">
        <v>5.5500001907348597</v>
      </c>
    </row>
    <row r="13" spans="1:33" x14ac:dyDescent="0.25">
      <c r="A13">
        <v>148</v>
      </c>
      <c r="B13" t="s">
        <v>10</v>
      </c>
      <c r="C13">
        <v>28.2</v>
      </c>
      <c r="D13" s="7">
        <f t="shared" si="4"/>
        <v>0.96000000000000085</v>
      </c>
      <c r="E13" s="2">
        <v>4.72</v>
      </c>
      <c r="F13" s="9">
        <f t="shared" si="5"/>
        <v>5.3333333333333384</v>
      </c>
      <c r="G13">
        <v>20</v>
      </c>
      <c r="H13" s="5"/>
      <c r="J13" s="11">
        <v>2</v>
      </c>
      <c r="K13" s="12">
        <f t="shared" si="6"/>
        <v>7.8579459436965529</v>
      </c>
      <c r="X13" s="1">
        <f t="shared" si="0"/>
        <v>1.8000000000000007</v>
      </c>
      <c r="Y13" s="1">
        <f t="shared" si="1"/>
        <v>7.9</v>
      </c>
      <c r="Z13" s="1">
        <f t="shared" si="2"/>
        <v>19.5</v>
      </c>
      <c r="AA13" s="4">
        <f t="shared" si="3"/>
        <v>20</v>
      </c>
      <c r="AC13">
        <v>112</v>
      </c>
      <c r="AD13" t="s">
        <v>10</v>
      </c>
      <c r="AE13">
        <v>22.32</v>
      </c>
      <c r="AF13">
        <v>15.800000190734799</v>
      </c>
      <c r="AG13">
        <v>2.9900000095367401</v>
      </c>
    </row>
    <row r="14" spans="1:33" x14ac:dyDescent="0.25">
      <c r="A14">
        <v>161</v>
      </c>
      <c r="B14" t="s">
        <v>10</v>
      </c>
      <c r="C14">
        <v>30</v>
      </c>
      <c r="D14" s="7">
        <f t="shared" si="4"/>
        <v>1.8000000000000007</v>
      </c>
      <c r="E14" s="2">
        <v>7.9</v>
      </c>
      <c r="F14" s="9">
        <f t="shared" si="5"/>
        <v>9.7500000000000036</v>
      </c>
      <c r="G14">
        <v>19.5</v>
      </c>
      <c r="H14" s="5"/>
      <c r="X14" s="1">
        <f t="shared" si="0"/>
        <v>7.6400000000000006</v>
      </c>
      <c r="Y14" s="1">
        <f t="shared" si="1"/>
        <v>14.25</v>
      </c>
      <c r="Z14" s="1">
        <f t="shared" si="2"/>
        <v>18.2</v>
      </c>
      <c r="AA14" s="4">
        <f t="shared" si="3"/>
        <v>19.5</v>
      </c>
      <c r="AC14">
        <v>143</v>
      </c>
      <c r="AD14" t="s">
        <v>11</v>
      </c>
      <c r="AE14">
        <v>23.52</v>
      </c>
      <c r="AF14">
        <v>15.199999809265099</v>
      </c>
      <c r="AG14">
        <v>5</v>
      </c>
    </row>
    <row r="15" spans="1:33" x14ac:dyDescent="0.25">
      <c r="A15">
        <v>214</v>
      </c>
      <c r="B15" t="s">
        <v>10</v>
      </c>
      <c r="C15">
        <v>37.64</v>
      </c>
      <c r="D15" s="7">
        <f t="shared" si="4"/>
        <v>7.6400000000000006</v>
      </c>
      <c r="E15" s="2">
        <v>14.25</v>
      </c>
      <c r="F15" s="9">
        <f t="shared" si="5"/>
        <v>38.624444444444443</v>
      </c>
      <c r="G15">
        <v>18.2</v>
      </c>
      <c r="H15" s="5"/>
      <c r="J15" s="109" t="s">
        <v>66</v>
      </c>
      <c r="K15" s="109"/>
      <c r="X15" s="1">
        <f t="shared" si="0"/>
        <v>4.2000000000000028</v>
      </c>
      <c r="Y15" s="1">
        <f t="shared" si="1"/>
        <v>18.38</v>
      </c>
      <c r="Z15" s="1">
        <f t="shared" si="2"/>
        <v>12.6</v>
      </c>
      <c r="AA15" s="4">
        <f t="shared" si="3"/>
        <v>18.2</v>
      </c>
      <c r="AC15">
        <v>130</v>
      </c>
      <c r="AD15" t="s">
        <v>10</v>
      </c>
      <c r="AE15">
        <v>24.12</v>
      </c>
      <c r="AF15">
        <v>15.300000190734799</v>
      </c>
      <c r="AG15">
        <v>0.76999998092651301</v>
      </c>
    </row>
    <row r="16" spans="1:33" x14ac:dyDescent="0.25">
      <c r="A16">
        <v>216</v>
      </c>
      <c r="B16" t="s">
        <v>10</v>
      </c>
      <c r="C16">
        <v>41.84</v>
      </c>
      <c r="D16" s="7">
        <f t="shared" si="4"/>
        <v>4.2000000000000028</v>
      </c>
      <c r="E16" s="2">
        <v>18.38</v>
      </c>
      <c r="F16" s="9">
        <f t="shared" si="5"/>
        <v>14.70000000000001</v>
      </c>
      <c r="G16">
        <v>12.6</v>
      </c>
      <c r="H16" s="5"/>
      <c r="J16" s="63" t="s">
        <v>10</v>
      </c>
      <c r="K16" s="64">
        <f>AVERAGEIFS($G$3:$G$30, $B$3:$B$30, J16, $G$3:$G$30, "&lt;&gt;0")</f>
        <v>19.342857142857145</v>
      </c>
      <c r="X16" s="1">
        <f t="shared" si="0"/>
        <v>1.279999999999994</v>
      </c>
      <c r="Y16" s="1">
        <f t="shared" si="1"/>
        <v>2.87</v>
      </c>
      <c r="Z16" s="1">
        <f t="shared" si="2"/>
        <v>22.6</v>
      </c>
      <c r="AA16" s="4">
        <f t="shared" si="3"/>
        <v>12.6</v>
      </c>
      <c r="AC16">
        <v>138</v>
      </c>
      <c r="AD16" t="s">
        <v>36</v>
      </c>
      <c r="AE16">
        <v>25.52</v>
      </c>
      <c r="AF16">
        <v>15</v>
      </c>
      <c r="AG16">
        <v>6.42000007629394</v>
      </c>
    </row>
    <row r="17" spans="1:33" x14ac:dyDescent="0.25">
      <c r="A17">
        <v>258</v>
      </c>
      <c r="B17" t="s">
        <v>10</v>
      </c>
      <c r="C17">
        <v>43.12</v>
      </c>
      <c r="D17" s="7">
        <f t="shared" si="4"/>
        <v>1.279999999999994</v>
      </c>
      <c r="E17" s="2">
        <v>2.87</v>
      </c>
      <c r="F17" s="9">
        <f t="shared" si="5"/>
        <v>8.0355555555555185</v>
      </c>
      <c r="G17">
        <v>22.6</v>
      </c>
      <c r="H17" s="5"/>
      <c r="J17" s="63" t="s">
        <v>11</v>
      </c>
      <c r="K17" s="64">
        <f t="shared" ref="K17:K18" si="7">AVERAGEIFS($G$3:$G$30, $B$3:$B$30, J17, $G$3:$G$30, "&lt;&gt;0")</f>
        <v>21.7</v>
      </c>
      <c r="X17" s="1">
        <f t="shared" si="0"/>
        <v>2</v>
      </c>
      <c r="Y17" s="1">
        <f t="shared" si="1"/>
        <v>11.64</v>
      </c>
      <c r="Z17" s="1">
        <f t="shared" si="2"/>
        <v>25.2</v>
      </c>
      <c r="AA17" s="4">
        <f t="shared" si="3"/>
        <v>22.6</v>
      </c>
      <c r="AC17">
        <v>147</v>
      </c>
      <c r="AD17" t="s">
        <v>11</v>
      </c>
      <c r="AE17">
        <v>25.72</v>
      </c>
      <c r="AF17">
        <v>20.5</v>
      </c>
      <c r="AG17">
        <v>-0.77999997138976995</v>
      </c>
    </row>
    <row r="18" spans="1:33" x14ac:dyDescent="0.25">
      <c r="A18">
        <v>260</v>
      </c>
      <c r="B18" t="s">
        <v>10</v>
      </c>
      <c r="C18">
        <v>45.12</v>
      </c>
      <c r="D18" s="7">
        <f t="shared" si="4"/>
        <v>2</v>
      </c>
      <c r="E18" s="2">
        <v>11.64</v>
      </c>
      <c r="F18" s="9">
        <f t="shared" si="5"/>
        <v>14</v>
      </c>
      <c r="G18">
        <v>25.2</v>
      </c>
      <c r="H18" s="5"/>
      <c r="J18" s="63" t="s">
        <v>12</v>
      </c>
      <c r="K18" s="64">
        <f t="shared" si="7"/>
        <v>14.3</v>
      </c>
      <c r="X18" s="1">
        <f t="shared" si="0"/>
        <v>0</v>
      </c>
      <c r="Y18" s="1">
        <f t="shared" si="1"/>
        <v>0</v>
      </c>
      <c r="Z18" s="1">
        <f t="shared" si="2"/>
        <v>0</v>
      </c>
      <c r="AA18" s="4">
        <f t="shared" si="3"/>
        <v>25.2</v>
      </c>
      <c r="AC18"/>
    </row>
    <row r="19" spans="1:33" x14ac:dyDescent="0.25">
      <c r="D19" s="7"/>
      <c r="E19" s="2"/>
      <c r="F19" s="9"/>
      <c r="H19" s="5"/>
      <c r="J19" s="6"/>
      <c r="K19" s="17"/>
      <c r="X19" s="1">
        <f t="shared" ref="X19:Y27" si="8">D20</f>
        <v>0</v>
      </c>
      <c r="Y19" s="1">
        <f t="shared" si="8"/>
        <v>0</v>
      </c>
      <c r="Z19" s="1">
        <f t="shared" si="2"/>
        <v>0</v>
      </c>
      <c r="AA19" s="4">
        <f t="shared" si="3"/>
        <v>0</v>
      </c>
      <c r="AC19">
        <v>180</v>
      </c>
      <c r="AD19" t="s">
        <v>12</v>
      </c>
      <c r="AE19">
        <v>27.2</v>
      </c>
      <c r="AF19">
        <v>17.5</v>
      </c>
      <c r="AG19">
        <v>-5.6999998092651296</v>
      </c>
    </row>
    <row r="20" spans="1:33" x14ac:dyDescent="0.25">
      <c r="D20" s="7"/>
      <c r="E20" s="2"/>
      <c r="F20" s="9"/>
      <c r="H20" s="5"/>
      <c r="J20" s="6"/>
      <c r="K20" s="17"/>
      <c r="X20" s="1">
        <f t="shared" si="8"/>
        <v>0</v>
      </c>
      <c r="Y20" s="1">
        <f t="shared" si="8"/>
        <v>0</v>
      </c>
      <c r="Z20" s="1">
        <f t="shared" si="2"/>
        <v>0</v>
      </c>
      <c r="AA20" s="4">
        <f t="shared" si="3"/>
        <v>0</v>
      </c>
      <c r="AC20">
        <v>156</v>
      </c>
      <c r="AD20" t="s">
        <v>12</v>
      </c>
      <c r="AE20">
        <v>28.44</v>
      </c>
      <c r="AF20">
        <v>16.799999237060501</v>
      </c>
      <c r="AG20">
        <v>3.42000007629394</v>
      </c>
    </row>
    <row r="21" spans="1:33" x14ac:dyDescent="0.25">
      <c r="D21" s="7"/>
      <c r="E21" s="2"/>
      <c r="F21" s="9"/>
      <c r="H21" s="5"/>
      <c r="J21" s="6"/>
      <c r="K21" s="17"/>
      <c r="X21" s="1">
        <f t="shared" si="8"/>
        <v>0</v>
      </c>
      <c r="Y21" s="1">
        <f t="shared" si="8"/>
        <v>0</v>
      </c>
      <c r="Z21" s="1">
        <f t="shared" si="2"/>
        <v>0</v>
      </c>
      <c r="AA21" s="4">
        <f t="shared" si="3"/>
        <v>0</v>
      </c>
      <c r="AC21">
        <v>196</v>
      </c>
      <c r="AD21" t="s">
        <v>11</v>
      </c>
      <c r="AE21">
        <v>28.44</v>
      </c>
      <c r="AF21">
        <v>7.4000000953674299</v>
      </c>
      <c r="AG21">
        <v>2.5699999332427899</v>
      </c>
    </row>
    <row r="22" spans="1:33" x14ac:dyDescent="0.25">
      <c r="D22" s="7"/>
      <c r="E22" s="2"/>
      <c r="F22" s="9"/>
      <c r="H22" s="5"/>
      <c r="J22" s="6"/>
      <c r="K22" s="17"/>
      <c r="X22" s="1">
        <f t="shared" si="8"/>
        <v>0</v>
      </c>
      <c r="Y22" s="1">
        <f t="shared" si="8"/>
        <v>0</v>
      </c>
      <c r="Z22" s="1">
        <f t="shared" si="2"/>
        <v>0</v>
      </c>
      <c r="AA22" s="4">
        <f t="shared" si="3"/>
        <v>0</v>
      </c>
      <c r="AC22">
        <v>169</v>
      </c>
      <c r="AD22" t="s">
        <v>13</v>
      </c>
      <c r="AE22">
        <v>30.64</v>
      </c>
      <c r="AF22">
        <v>19.5</v>
      </c>
      <c r="AG22">
        <v>-1.15999996662139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8"/>
        <v>0</v>
      </c>
      <c r="Y23" s="1">
        <f t="shared" si="8"/>
        <v>0</v>
      </c>
      <c r="Z23" s="1">
        <f t="shared" si="2"/>
        <v>0</v>
      </c>
      <c r="AA23" s="4">
        <f t="shared" si="3"/>
        <v>0</v>
      </c>
      <c r="AC23">
        <v>204</v>
      </c>
      <c r="AD23" t="s">
        <v>11</v>
      </c>
      <c r="AE23">
        <v>30.8</v>
      </c>
      <c r="AF23">
        <v>19.899999618530199</v>
      </c>
      <c r="AG23">
        <v>10.449999809265099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8"/>
        <v>0</v>
      </c>
      <c r="Y24" s="1">
        <f t="shared" si="8"/>
        <v>0</v>
      </c>
      <c r="Z24" s="1">
        <f t="shared" si="2"/>
        <v>0</v>
      </c>
      <c r="AA24" s="4">
        <f t="shared" si="3"/>
        <v>0</v>
      </c>
      <c r="AC24"/>
    </row>
    <row r="25" spans="1:33" x14ac:dyDescent="0.25">
      <c r="D25" s="7"/>
      <c r="E25" s="2"/>
      <c r="F25" s="9"/>
      <c r="H25" s="5"/>
      <c r="J25" s="6"/>
      <c r="K25" s="17"/>
      <c r="X25" s="1">
        <f t="shared" si="8"/>
        <v>0</v>
      </c>
      <c r="Y25" s="1">
        <f t="shared" si="8"/>
        <v>0</v>
      </c>
      <c r="Z25" s="1">
        <f t="shared" si="2"/>
        <v>0</v>
      </c>
      <c r="AA25" s="4">
        <f t="shared" si="3"/>
        <v>0</v>
      </c>
      <c r="AC25">
        <v>208</v>
      </c>
      <c r="AD25" t="s">
        <v>11</v>
      </c>
      <c r="AE25">
        <v>31.32</v>
      </c>
      <c r="AF25">
        <v>21.799999237060501</v>
      </c>
      <c r="AG25">
        <v>7.4400000572204501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8"/>
        <v>0</v>
      </c>
      <c r="Y26" s="1">
        <f t="shared" si="8"/>
        <v>0</v>
      </c>
      <c r="Z26" s="1">
        <f t="shared" si="2"/>
        <v>0</v>
      </c>
      <c r="AA26" s="4">
        <f t="shared" si="3"/>
        <v>0</v>
      </c>
      <c r="AC26">
        <v>226</v>
      </c>
      <c r="AD26" t="s">
        <v>10</v>
      </c>
      <c r="AE26">
        <v>32.72</v>
      </c>
      <c r="AF26">
        <v>0</v>
      </c>
      <c r="AG26">
        <v>5.4099998474120996</v>
      </c>
    </row>
    <row r="27" spans="1:33" x14ac:dyDescent="0.25">
      <c r="D27" s="7"/>
      <c r="E27" s="2"/>
      <c r="F27" s="7"/>
      <c r="H27" s="5"/>
      <c r="X27" s="1">
        <f t="shared" si="8"/>
        <v>0</v>
      </c>
      <c r="Y27" s="1">
        <f t="shared" si="8"/>
        <v>0</v>
      </c>
      <c r="Z27" s="1">
        <f t="shared" si="2"/>
        <v>0</v>
      </c>
      <c r="AA27" s="4">
        <f t="shared" si="3"/>
        <v>0</v>
      </c>
      <c r="AC27">
        <v>170</v>
      </c>
      <c r="AD27" t="s">
        <v>36</v>
      </c>
      <c r="AE27">
        <v>33.6</v>
      </c>
      <c r="AF27">
        <v>8.6999998092651296</v>
      </c>
      <c r="AG27">
        <v>4.8299999237060502</v>
      </c>
    </row>
    <row r="28" spans="1:33" x14ac:dyDescent="0.25">
      <c r="S28" s="3"/>
      <c r="AC28"/>
    </row>
    <row r="29" spans="1:33" x14ac:dyDescent="0.25">
      <c r="AC29">
        <v>237</v>
      </c>
      <c r="AD29" t="s">
        <v>10</v>
      </c>
      <c r="AE29">
        <v>35.4</v>
      </c>
      <c r="AF29">
        <v>18</v>
      </c>
      <c r="AG29">
        <v>-8.7899999618530202</v>
      </c>
    </row>
    <row r="30" spans="1:33" x14ac:dyDescent="0.25">
      <c r="X30" s="6"/>
      <c r="Y30" s="18"/>
      <c r="AC30">
        <v>250</v>
      </c>
      <c r="AD30" t="s">
        <v>11</v>
      </c>
      <c r="AE30">
        <v>35.520000000000003</v>
      </c>
      <c r="AF30">
        <v>0</v>
      </c>
      <c r="AG30">
        <v>9.3900003433227504</v>
      </c>
    </row>
    <row r="31" spans="1:33" x14ac:dyDescent="0.25">
      <c r="X31" s="6"/>
      <c r="Y31" s="18"/>
      <c r="AC31">
        <v>218</v>
      </c>
      <c r="AD31" t="s">
        <v>10</v>
      </c>
      <c r="AE31">
        <v>37.32</v>
      </c>
      <c r="AF31">
        <v>20.2000007629394</v>
      </c>
      <c r="AG31">
        <v>-9.1400003433227504</v>
      </c>
    </row>
    <row r="32" spans="1:33" x14ac:dyDescent="0.25">
      <c r="X32" s="6"/>
      <c r="Y32" s="18"/>
      <c r="AC32">
        <v>255</v>
      </c>
      <c r="AD32" t="s">
        <v>11</v>
      </c>
      <c r="AE32">
        <v>38.6</v>
      </c>
      <c r="AF32">
        <v>22.399999618530199</v>
      </c>
      <c r="AG32">
        <v>5.3499999046325604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8"/>
      <c r="AC33">
        <v>285</v>
      </c>
      <c r="AD33" t="s">
        <v>11</v>
      </c>
      <c r="AE33">
        <v>39.64</v>
      </c>
      <c r="AF33">
        <v>0</v>
      </c>
      <c r="AG33">
        <v>13.75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18"/>
      <c r="AC34">
        <v>236</v>
      </c>
      <c r="AD34" t="s">
        <v>10</v>
      </c>
      <c r="AE34">
        <v>40.92</v>
      </c>
      <c r="AF34">
        <v>22.600000381469702</v>
      </c>
      <c r="AG34">
        <v>-9.6800003051757795</v>
      </c>
    </row>
    <row r="35" spans="1:33" x14ac:dyDescent="0.25">
      <c r="A35">
        <v>22</v>
      </c>
      <c r="B35" t="s">
        <v>12</v>
      </c>
      <c r="C35">
        <v>7.72</v>
      </c>
      <c r="D35" s="7">
        <v>0</v>
      </c>
      <c r="E35" s="1"/>
      <c r="F35" s="7">
        <v>0</v>
      </c>
      <c r="G35">
        <v>15.5</v>
      </c>
      <c r="J35" s="11">
        <v>0.2</v>
      </c>
      <c r="K35" s="12">
        <f t="shared" ref="K35:K44" si="9">SLOPE($E$35:$E$58, $D$35:$D$58) * J35 + INTERCEPT($E$35:$E$58, $D$35:$D$58)</f>
        <v>4.1738349633310454</v>
      </c>
      <c r="X35" s="6"/>
      <c r="Y35" s="18"/>
      <c r="AC35">
        <v>246</v>
      </c>
      <c r="AD35" t="s">
        <v>10</v>
      </c>
      <c r="AE35">
        <v>42.44</v>
      </c>
      <c r="AF35">
        <v>26.399999618530199</v>
      </c>
      <c r="AG35">
        <v>10.020000457763601</v>
      </c>
    </row>
    <row r="36" spans="1:33" x14ac:dyDescent="0.25">
      <c r="A36">
        <v>9</v>
      </c>
      <c r="B36" t="s">
        <v>12</v>
      </c>
      <c r="C36">
        <v>9.84</v>
      </c>
      <c r="D36" s="7">
        <f>C36-C35</f>
        <v>2.12</v>
      </c>
      <c r="E36" s="2">
        <v>10.07</v>
      </c>
      <c r="F36" s="9">
        <f t="shared" ref="F36:F52" si="10">D36*G36/3.6</f>
        <v>10.54111111111111</v>
      </c>
      <c r="G36">
        <v>17.899999999999999</v>
      </c>
      <c r="H36" s="5"/>
      <c r="J36" s="11">
        <v>0.4</v>
      </c>
      <c r="K36" s="12">
        <f t="shared" si="9"/>
        <v>4.5715766690489081</v>
      </c>
      <c r="X36" s="6"/>
      <c r="Y36" s="18"/>
    </row>
    <row r="37" spans="1:33" x14ac:dyDescent="0.25">
      <c r="A37">
        <v>46</v>
      </c>
      <c r="B37" t="s">
        <v>10</v>
      </c>
      <c r="C37">
        <v>11.04</v>
      </c>
      <c r="D37" s="7">
        <f t="shared" ref="D37:D52" si="11">C37-C36</f>
        <v>1.1999999999999993</v>
      </c>
      <c r="E37" s="2">
        <v>5.64</v>
      </c>
      <c r="F37" s="9">
        <f t="shared" si="10"/>
        <v>6.4999999999999956</v>
      </c>
      <c r="G37">
        <v>19.5</v>
      </c>
      <c r="H37" s="5"/>
      <c r="J37" s="11">
        <v>0.6</v>
      </c>
      <c r="K37" s="12">
        <f t="shared" si="9"/>
        <v>4.96931837476677</v>
      </c>
    </row>
    <row r="38" spans="1:33" x14ac:dyDescent="0.25">
      <c r="A38">
        <v>56</v>
      </c>
      <c r="B38" t="s">
        <v>12</v>
      </c>
      <c r="C38">
        <v>12.72</v>
      </c>
      <c r="D38" s="7">
        <f t="shared" si="11"/>
        <v>1.6800000000000015</v>
      </c>
      <c r="E38" s="2">
        <v>9.01</v>
      </c>
      <c r="F38" s="9">
        <f t="shared" si="10"/>
        <v>11.013333333333344</v>
      </c>
      <c r="G38">
        <v>23.6</v>
      </c>
      <c r="H38" s="5"/>
      <c r="J38" s="11">
        <v>0.8</v>
      </c>
      <c r="K38" s="12">
        <f t="shared" si="9"/>
        <v>5.3670600804846327</v>
      </c>
    </row>
    <row r="39" spans="1:33" x14ac:dyDescent="0.25">
      <c r="A39">
        <v>73</v>
      </c>
      <c r="B39" t="s">
        <v>11</v>
      </c>
      <c r="C39">
        <v>13.4</v>
      </c>
      <c r="D39" s="7">
        <f t="shared" si="11"/>
        <v>0.67999999999999972</v>
      </c>
      <c r="E39" s="2">
        <v>4.33</v>
      </c>
      <c r="F39" s="9">
        <f t="shared" si="10"/>
        <v>3.5888888888888872</v>
      </c>
      <c r="G39">
        <v>19</v>
      </c>
      <c r="H39" s="5"/>
      <c r="J39" s="11">
        <v>1</v>
      </c>
      <c r="K39" s="12">
        <f t="shared" si="9"/>
        <v>5.7648017862024954</v>
      </c>
    </row>
    <row r="40" spans="1:33" x14ac:dyDescent="0.25">
      <c r="A40">
        <v>10</v>
      </c>
      <c r="B40" t="s">
        <v>10</v>
      </c>
      <c r="C40">
        <v>15.24</v>
      </c>
      <c r="D40" s="7">
        <f t="shared" si="11"/>
        <v>1.8399999999999999</v>
      </c>
      <c r="E40" s="2">
        <v>7.09</v>
      </c>
      <c r="F40" s="9">
        <f t="shared" si="10"/>
        <v>8.0755555555555549</v>
      </c>
      <c r="G40">
        <v>15.8</v>
      </c>
      <c r="H40" s="5"/>
      <c r="J40" s="11">
        <v>1.2</v>
      </c>
      <c r="K40" s="12">
        <f t="shared" si="9"/>
        <v>6.1625434919203581</v>
      </c>
    </row>
    <row r="41" spans="1:33" x14ac:dyDescent="0.25">
      <c r="A41">
        <v>84</v>
      </c>
      <c r="B41" t="s">
        <v>12</v>
      </c>
      <c r="C41">
        <v>16</v>
      </c>
      <c r="D41" s="7">
        <f t="shared" si="11"/>
        <v>0.75999999999999979</v>
      </c>
      <c r="E41" s="2">
        <v>7.4</v>
      </c>
      <c r="F41" s="9">
        <f t="shared" si="10"/>
        <v>4.8555555555555543</v>
      </c>
      <c r="G41">
        <v>23</v>
      </c>
      <c r="H41" s="5"/>
      <c r="J41" s="11">
        <v>1.4</v>
      </c>
      <c r="K41" s="12">
        <f t="shared" si="9"/>
        <v>6.5602851976382208</v>
      </c>
    </row>
    <row r="42" spans="1:33" x14ac:dyDescent="0.25">
      <c r="A42">
        <v>82</v>
      </c>
      <c r="B42" t="s">
        <v>10</v>
      </c>
      <c r="C42">
        <v>17.04</v>
      </c>
      <c r="D42" s="7">
        <f t="shared" si="11"/>
        <v>1.0399999999999991</v>
      </c>
      <c r="E42" s="2">
        <v>2.75</v>
      </c>
      <c r="F42" s="9">
        <f t="shared" si="10"/>
        <v>4.8533333333333299</v>
      </c>
      <c r="G42">
        <v>16.8</v>
      </c>
      <c r="H42" s="5"/>
      <c r="J42" s="11">
        <v>1.6</v>
      </c>
      <c r="K42" s="12">
        <f t="shared" si="9"/>
        <v>6.9580269033560835</v>
      </c>
    </row>
    <row r="43" spans="1:33" x14ac:dyDescent="0.25">
      <c r="A43">
        <v>108</v>
      </c>
      <c r="B43" t="s">
        <v>11</v>
      </c>
      <c r="C43">
        <v>17.12</v>
      </c>
      <c r="D43" s="7">
        <f t="shared" si="11"/>
        <v>8.0000000000001847E-2</v>
      </c>
      <c r="E43" s="2">
        <v>3.51</v>
      </c>
      <c r="F43" s="9">
        <f t="shared" si="10"/>
        <v>0.48888888888890014</v>
      </c>
      <c r="G43">
        <v>22</v>
      </c>
      <c r="H43" s="5"/>
      <c r="J43" s="11">
        <v>1.8</v>
      </c>
      <c r="K43" s="12">
        <f t="shared" si="9"/>
        <v>7.3557686090739463</v>
      </c>
    </row>
    <row r="44" spans="1:33" x14ac:dyDescent="0.25">
      <c r="A44">
        <v>104</v>
      </c>
      <c r="B44" t="s">
        <v>10</v>
      </c>
      <c r="C44">
        <v>18.600000000000001</v>
      </c>
      <c r="D44" s="7">
        <f t="shared" si="11"/>
        <v>1.4800000000000004</v>
      </c>
      <c r="E44" s="2">
        <v>6.05</v>
      </c>
      <c r="F44" s="9">
        <f t="shared" si="10"/>
        <v>7.2766666666666682</v>
      </c>
      <c r="G44">
        <v>17.7</v>
      </c>
      <c r="H44" s="5"/>
      <c r="J44" s="11">
        <v>2</v>
      </c>
      <c r="K44" s="12">
        <f t="shared" si="9"/>
        <v>7.753510314791809</v>
      </c>
    </row>
    <row r="45" spans="1:33" x14ac:dyDescent="0.25">
      <c r="A45">
        <v>120</v>
      </c>
      <c r="B45" t="s">
        <v>36</v>
      </c>
      <c r="C45">
        <v>19.84</v>
      </c>
      <c r="D45" s="7">
        <f t="shared" si="11"/>
        <v>1.2399999999999984</v>
      </c>
      <c r="E45" s="2">
        <v>6.39</v>
      </c>
      <c r="F45" s="9">
        <f t="shared" si="10"/>
        <v>8.6455555555555446</v>
      </c>
      <c r="G45">
        <v>25.1</v>
      </c>
      <c r="H45" s="5"/>
    </row>
    <row r="46" spans="1:33" x14ac:dyDescent="0.25">
      <c r="A46">
        <v>113</v>
      </c>
      <c r="B46" t="s">
        <v>10</v>
      </c>
      <c r="C46">
        <v>25.4</v>
      </c>
      <c r="D46" s="7">
        <f t="shared" si="11"/>
        <v>5.5599999999999987</v>
      </c>
      <c r="E46" s="2">
        <v>15.85</v>
      </c>
      <c r="F46" s="9">
        <f t="shared" si="10"/>
        <v>24.711111111111105</v>
      </c>
      <c r="G46">
        <v>16</v>
      </c>
      <c r="H46" s="5"/>
      <c r="J46" s="109" t="s">
        <v>66</v>
      </c>
      <c r="K46" s="109"/>
    </row>
    <row r="47" spans="1:33" x14ac:dyDescent="0.25">
      <c r="A47">
        <v>166</v>
      </c>
      <c r="B47" t="s">
        <v>12</v>
      </c>
      <c r="C47">
        <v>27</v>
      </c>
      <c r="D47" s="7">
        <f t="shared" si="11"/>
        <v>1.6000000000000014</v>
      </c>
      <c r="E47" s="2">
        <v>8.9499999999999993</v>
      </c>
      <c r="F47" s="9">
        <f t="shared" si="10"/>
        <v>7.644444444444451</v>
      </c>
      <c r="G47">
        <v>17.2</v>
      </c>
      <c r="H47" s="5"/>
      <c r="J47" s="63" t="s">
        <v>10</v>
      </c>
      <c r="K47" s="64">
        <f>AVERAGEIFS($G$35:$G$80, $B$35:$B$80, J47, $G$35:$G$80, "&lt;&gt;0")</f>
        <v>17.928571428571427</v>
      </c>
    </row>
    <row r="48" spans="1:33" x14ac:dyDescent="0.25">
      <c r="A48">
        <v>177</v>
      </c>
      <c r="B48" t="s">
        <v>11</v>
      </c>
      <c r="C48">
        <v>27.44</v>
      </c>
      <c r="D48" s="7">
        <f t="shared" si="11"/>
        <v>0.44000000000000128</v>
      </c>
      <c r="E48" s="2">
        <v>0.86</v>
      </c>
      <c r="F48" s="9">
        <f t="shared" si="10"/>
        <v>3.0188888888888972</v>
      </c>
      <c r="G48">
        <v>24.7</v>
      </c>
      <c r="H48" s="5"/>
      <c r="J48" s="63" t="s">
        <v>11</v>
      </c>
      <c r="K48" s="64">
        <f t="shared" ref="K48:K49" si="12">AVERAGEIFS($G$35:$G$80, $B$35:$B$80, J48, $G$35:$G$80, "&lt;&gt;0")</f>
        <v>22.875</v>
      </c>
    </row>
    <row r="49" spans="1:11" x14ac:dyDescent="0.25">
      <c r="A49">
        <v>133</v>
      </c>
      <c r="B49" t="s">
        <v>10</v>
      </c>
      <c r="C49">
        <v>28.6</v>
      </c>
      <c r="D49" s="7">
        <f t="shared" si="11"/>
        <v>1.1600000000000001</v>
      </c>
      <c r="E49" s="2">
        <v>6.24</v>
      </c>
      <c r="F49" s="9">
        <f t="shared" si="10"/>
        <v>6.4766666666666683</v>
      </c>
      <c r="G49">
        <v>20.100000000000001</v>
      </c>
      <c r="H49" s="5"/>
      <c r="J49" s="63" t="s">
        <v>12</v>
      </c>
      <c r="K49" s="64">
        <f t="shared" si="12"/>
        <v>19.440000000000001</v>
      </c>
    </row>
    <row r="50" spans="1:11" x14ac:dyDescent="0.25">
      <c r="A50">
        <v>198</v>
      </c>
      <c r="B50" t="s">
        <v>11</v>
      </c>
      <c r="C50">
        <v>30.64</v>
      </c>
      <c r="D50" s="7">
        <f t="shared" si="11"/>
        <v>2.0399999999999991</v>
      </c>
      <c r="E50" s="2">
        <v>12.41</v>
      </c>
      <c r="F50" s="9">
        <f t="shared" si="10"/>
        <v>14.619999999999994</v>
      </c>
      <c r="G50">
        <v>25.8</v>
      </c>
      <c r="H50" s="5"/>
    </row>
    <row r="51" spans="1:11" x14ac:dyDescent="0.25">
      <c r="A51">
        <v>244</v>
      </c>
      <c r="B51" t="s">
        <v>10</v>
      </c>
      <c r="C51">
        <v>35.24</v>
      </c>
      <c r="D51" s="7">
        <f t="shared" si="11"/>
        <v>4.6000000000000014</v>
      </c>
      <c r="E51" s="2">
        <v>9.98</v>
      </c>
      <c r="F51" s="9">
        <f t="shared" si="10"/>
        <v>0</v>
      </c>
      <c r="G51">
        <v>0</v>
      </c>
      <c r="H51" s="5"/>
    </row>
    <row r="52" spans="1:11" x14ac:dyDescent="0.25">
      <c r="A52">
        <v>261</v>
      </c>
      <c r="B52" t="s">
        <v>10</v>
      </c>
      <c r="C52">
        <v>39.92</v>
      </c>
      <c r="D52" s="7">
        <f t="shared" si="11"/>
        <v>4.68</v>
      </c>
      <c r="E52" s="2">
        <v>11.7</v>
      </c>
      <c r="F52" s="9">
        <f t="shared" si="10"/>
        <v>25.479999999999997</v>
      </c>
      <c r="G52">
        <v>19.600000000000001</v>
      </c>
      <c r="H52" s="5"/>
    </row>
    <row r="53" spans="1:11" x14ac:dyDescent="0.25">
      <c r="D53" s="7"/>
      <c r="E53" s="2"/>
      <c r="F53" s="9"/>
      <c r="H53" s="5"/>
    </row>
    <row r="54" spans="1:11" x14ac:dyDescent="0.25">
      <c r="D54" s="7"/>
      <c r="E54" s="2"/>
      <c r="F54" s="9"/>
      <c r="H54" s="5"/>
    </row>
    <row r="55" spans="1:11" x14ac:dyDescent="0.25">
      <c r="D55" s="7"/>
      <c r="E55" s="2"/>
      <c r="F55" s="9"/>
      <c r="H55" s="5"/>
    </row>
    <row r="56" spans="1:11" x14ac:dyDescent="0.25">
      <c r="D56" s="7"/>
      <c r="F56" s="9"/>
      <c r="H56" s="5"/>
    </row>
    <row r="57" spans="1:11" x14ac:dyDescent="0.25">
      <c r="E57" s="2"/>
      <c r="F57" s="9"/>
      <c r="H57" s="5"/>
    </row>
    <row r="58" spans="1:11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6">
    <mergeCell ref="J46:K46"/>
    <mergeCell ref="A1:E1"/>
    <mergeCell ref="X1:Y1"/>
    <mergeCell ref="Z1:AA1"/>
    <mergeCell ref="A33:E33"/>
    <mergeCell ref="J15:K15"/>
  </mergeCells>
  <conditionalFormatting sqref="G3:G27 F3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{45F4A624-FF62-414A-9628-60CB3C21D514}</x14:id>
        </ext>
      </extLst>
    </cfRule>
  </conditionalFormatting>
  <conditionalFormatting sqref="G57:G58 F35 G35:G5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{87362AC6-3B41-418C-A981-601A717C1F8A}</x14:id>
        </ext>
      </extLst>
    </cfRule>
  </conditionalFormatting>
  <conditionalFormatting sqref="K3:K13">
    <cfRule type="cellIs" dxfId="101" priority="5" operator="between">
      <formula>4</formula>
      <formula>5</formula>
    </cfRule>
    <cfRule type="cellIs" dxfId="100" priority="6" operator="lessThan">
      <formula>3.99</formula>
    </cfRule>
    <cfRule type="cellIs" dxfId="99" priority="7" operator="greaterThan">
      <formula>5</formula>
    </cfRule>
  </conditionalFormatting>
  <conditionalFormatting sqref="K34:K44">
    <cfRule type="cellIs" dxfId="98" priority="1" operator="between">
      <formula>4</formula>
      <formula>5</formula>
    </cfRule>
    <cfRule type="cellIs" dxfId="97" priority="2" operator="lessThan">
      <formula>3.99</formula>
    </cfRule>
    <cfRule type="cellIs" dxfId="96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F4A624-FF62-414A-9628-60CB3C21D5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87362AC6-3B41-418C-A981-601A717C1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746-1537-4326-85DA-5EE297C073D9}">
  <sheetPr codeName="Sheet4"/>
  <dimension ref="A1:AC83"/>
  <sheetViews>
    <sheetView workbookViewId="0">
      <selection activeCell="D10" sqref="D10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7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</row>
    <row r="2" spans="1:27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</row>
    <row r="3" spans="1:27" x14ac:dyDescent="0.25">
      <c r="A3">
        <v>6</v>
      </c>
      <c r="B3" t="s">
        <v>10</v>
      </c>
      <c r="C3">
        <v>0.48</v>
      </c>
      <c r="D3" s="7">
        <v>0</v>
      </c>
      <c r="E3" s="1">
        <v>0</v>
      </c>
      <c r="F3" s="7">
        <v>0</v>
      </c>
      <c r="G3">
        <v>0</v>
      </c>
      <c r="J3" s="11">
        <v>0</v>
      </c>
      <c r="K3" s="11">
        <v>0</v>
      </c>
      <c r="X3" s="1">
        <f t="shared" ref="X3:Y27" si="0">D4</f>
        <v>1.6400000000000001</v>
      </c>
      <c r="Y3" s="1">
        <f t="shared" si="0"/>
        <v>12.43</v>
      </c>
      <c r="Z3" s="1">
        <f t="shared" ref="Z3:Z27" si="1">G4</f>
        <v>25</v>
      </c>
      <c r="AA3" s="4">
        <f t="shared" ref="AA3:AA27" si="2">G3</f>
        <v>0</v>
      </c>
    </row>
    <row r="4" spans="1:27" x14ac:dyDescent="0.25">
      <c r="A4">
        <v>2</v>
      </c>
      <c r="B4" t="s">
        <v>10</v>
      </c>
      <c r="C4">
        <v>2.12</v>
      </c>
      <c r="D4" s="7">
        <f>C4-C3</f>
        <v>1.6400000000000001</v>
      </c>
      <c r="E4" s="2">
        <v>12.43</v>
      </c>
      <c r="F4" s="9">
        <f t="shared" ref="F4:F20" si="3">D4*G4/3.6</f>
        <v>11.388888888888889</v>
      </c>
      <c r="G4">
        <v>25</v>
      </c>
      <c r="H4" s="5"/>
      <c r="J4" s="11">
        <v>0.2</v>
      </c>
      <c r="K4" s="12">
        <f>SLOPE($E$3:$E$8, $D$3:$D$8) * J4 + INTERCEPT($E$3:$E$8, $D$3:$D$8)</f>
        <v>0.48871526165682777</v>
      </c>
      <c r="X4" s="1">
        <f t="shared" si="0"/>
        <v>2.2800000000000002</v>
      </c>
      <c r="Y4" s="1">
        <f t="shared" si="0"/>
        <v>17.41</v>
      </c>
      <c r="Z4" s="1">
        <f t="shared" si="1"/>
        <v>23.1</v>
      </c>
      <c r="AA4" s="4">
        <f t="shared" si="2"/>
        <v>25</v>
      </c>
    </row>
    <row r="5" spans="1:27" x14ac:dyDescent="0.25">
      <c r="A5">
        <v>12</v>
      </c>
      <c r="B5" t="s">
        <v>10</v>
      </c>
      <c r="C5">
        <v>4.4000000000000004</v>
      </c>
      <c r="D5" s="7">
        <f t="shared" ref="D5:D20" si="4">C5-C4</f>
        <v>2.2800000000000002</v>
      </c>
      <c r="E5" s="2">
        <v>17.41</v>
      </c>
      <c r="F5" s="9">
        <f t="shared" si="3"/>
        <v>14.63</v>
      </c>
      <c r="G5">
        <v>23.1</v>
      </c>
      <c r="H5" s="5"/>
      <c r="J5" s="11">
        <v>0.4</v>
      </c>
      <c r="K5" s="12">
        <f t="shared" ref="K5:K13" si="5">SLOPE($E$3:$E$8, $D$3:$D$8) * J5 + INTERCEPT($E$3:$E$8, $D$3:$D$8)</f>
        <v>2.0484154672680237</v>
      </c>
      <c r="X5" s="1">
        <f t="shared" si="0"/>
        <v>2.2799999999999994</v>
      </c>
      <c r="Y5" s="1">
        <f t="shared" si="0"/>
        <v>15.62</v>
      </c>
      <c r="Z5" s="1">
        <f t="shared" si="1"/>
        <v>30</v>
      </c>
      <c r="AA5" s="4">
        <f t="shared" si="2"/>
        <v>23.1</v>
      </c>
    </row>
    <row r="6" spans="1:27" x14ac:dyDescent="0.25">
      <c r="A6">
        <v>51</v>
      </c>
      <c r="B6" t="s">
        <v>11</v>
      </c>
      <c r="C6">
        <v>6.68</v>
      </c>
      <c r="D6" s="7">
        <f t="shared" si="4"/>
        <v>2.2799999999999994</v>
      </c>
      <c r="E6" s="2">
        <v>15.62</v>
      </c>
      <c r="F6" s="9">
        <f t="shared" si="3"/>
        <v>18.999999999999993</v>
      </c>
      <c r="G6">
        <v>30</v>
      </c>
      <c r="H6" s="5"/>
      <c r="J6" s="11">
        <v>0.6</v>
      </c>
      <c r="K6" s="12">
        <f t="shared" si="5"/>
        <v>3.6081156728792196</v>
      </c>
      <c r="X6" s="1">
        <f t="shared" si="0"/>
        <v>2.120000000000001</v>
      </c>
      <c r="Y6" s="1">
        <f t="shared" si="0"/>
        <v>16.64</v>
      </c>
      <c r="Z6" s="1">
        <f t="shared" si="1"/>
        <v>21.8</v>
      </c>
      <c r="AA6" s="4">
        <f t="shared" si="2"/>
        <v>30</v>
      </c>
    </row>
    <row r="7" spans="1:27" x14ac:dyDescent="0.25">
      <c r="A7">
        <v>63</v>
      </c>
      <c r="B7" t="s">
        <v>12</v>
      </c>
      <c r="C7">
        <v>8.8000000000000007</v>
      </c>
      <c r="D7" s="7">
        <f t="shared" si="4"/>
        <v>2.120000000000001</v>
      </c>
      <c r="E7" s="2">
        <v>16.64</v>
      </c>
      <c r="F7" s="9">
        <f t="shared" si="3"/>
        <v>12.837777777777784</v>
      </c>
      <c r="G7">
        <v>21.8</v>
      </c>
      <c r="H7" s="5"/>
      <c r="J7" s="11">
        <v>0.8</v>
      </c>
      <c r="K7" s="12">
        <f t="shared" si="5"/>
        <v>5.1678158784904156</v>
      </c>
      <c r="X7" s="1">
        <f t="shared" si="0"/>
        <v>1.08</v>
      </c>
      <c r="Y7" s="1">
        <f t="shared" si="0"/>
        <v>4.78</v>
      </c>
      <c r="Z7" s="1">
        <f t="shared" si="1"/>
        <v>21.5</v>
      </c>
      <c r="AA7" s="4">
        <f t="shared" si="2"/>
        <v>21.8</v>
      </c>
    </row>
    <row r="8" spans="1:27" x14ac:dyDescent="0.25">
      <c r="A8">
        <v>42</v>
      </c>
      <c r="B8" t="s">
        <v>10</v>
      </c>
      <c r="C8">
        <v>9.8800000000000008</v>
      </c>
      <c r="D8" s="7">
        <f>C8-C7</f>
        <v>1.08</v>
      </c>
      <c r="E8" s="2">
        <v>4.78</v>
      </c>
      <c r="F8" s="9">
        <f t="shared" si="3"/>
        <v>6.45</v>
      </c>
      <c r="G8">
        <v>21.5</v>
      </c>
      <c r="H8" s="5"/>
      <c r="J8" s="11">
        <v>1</v>
      </c>
      <c r="K8" s="12">
        <f t="shared" si="5"/>
        <v>6.7275160841016115</v>
      </c>
      <c r="X8" s="1">
        <f t="shared" si="0"/>
        <v>0</v>
      </c>
      <c r="Y8" s="1">
        <f t="shared" si="0"/>
        <v>0</v>
      </c>
      <c r="Z8" s="1">
        <f t="shared" si="1"/>
        <v>0</v>
      </c>
      <c r="AA8" s="4">
        <f t="shared" si="2"/>
        <v>21.5</v>
      </c>
    </row>
    <row r="9" spans="1:27" x14ac:dyDescent="0.25">
      <c r="D9" s="7"/>
      <c r="E9" s="2"/>
      <c r="F9" s="9"/>
      <c r="H9" s="5"/>
      <c r="J9" s="11">
        <v>1.2</v>
      </c>
      <c r="K9" s="12">
        <f t="shared" si="5"/>
        <v>8.2872162897128074</v>
      </c>
      <c r="X9" s="1">
        <f t="shared" si="0"/>
        <v>0</v>
      </c>
      <c r="Y9" s="1">
        <f t="shared" si="0"/>
        <v>0</v>
      </c>
      <c r="Z9" s="1">
        <f t="shared" si="1"/>
        <v>11.7</v>
      </c>
      <c r="AA9" s="4">
        <f t="shared" si="2"/>
        <v>0</v>
      </c>
    </row>
    <row r="10" spans="1:27" x14ac:dyDescent="0.25">
      <c r="A10">
        <v>73</v>
      </c>
      <c r="B10" t="s">
        <v>10</v>
      </c>
      <c r="C10">
        <v>12.48</v>
      </c>
      <c r="D10" s="7"/>
      <c r="E10" s="2">
        <v>0</v>
      </c>
      <c r="F10" s="9">
        <v>0</v>
      </c>
      <c r="G10">
        <v>11.7</v>
      </c>
      <c r="H10" s="5"/>
      <c r="J10" s="11">
        <v>1.4</v>
      </c>
      <c r="K10" s="12">
        <f t="shared" si="5"/>
        <v>9.8469164953240025</v>
      </c>
      <c r="X10" s="1">
        <f t="shared" si="0"/>
        <v>4.3999999999999986</v>
      </c>
      <c r="Y10" s="1">
        <f t="shared" si="0"/>
        <v>16.91</v>
      </c>
      <c r="Z10" s="1">
        <f t="shared" si="1"/>
        <v>21.7</v>
      </c>
      <c r="AA10" s="4">
        <f t="shared" si="2"/>
        <v>11.7</v>
      </c>
    </row>
    <row r="11" spans="1:27" x14ac:dyDescent="0.25">
      <c r="A11">
        <v>81</v>
      </c>
      <c r="B11" t="s">
        <v>11</v>
      </c>
      <c r="C11">
        <v>16.88</v>
      </c>
      <c r="D11" s="7">
        <f t="shared" si="4"/>
        <v>4.3999999999999986</v>
      </c>
      <c r="E11" s="2">
        <v>16.91</v>
      </c>
      <c r="F11" s="9">
        <f t="shared" si="3"/>
        <v>26.522222222222211</v>
      </c>
      <c r="G11">
        <v>21.7</v>
      </c>
      <c r="H11" s="5"/>
      <c r="J11" s="11">
        <v>1.6</v>
      </c>
      <c r="K11" s="12">
        <f t="shared" si="5"/>
        <v>11.406616700935199</v>
      </c>
      <c r="X11" s="1">
        <f t="shared" si="0"/>
        <v>1.6000000000000014</v>
      </c>
      <c r="Y11" s="1">
        <f t="shared" si="0"/>
        <v>10.14</v>
      </c>
      <c r="Z11" s="1">
        <f t="shared" si="1"/>
        <v>24.3</v>
      </c>
      <c r="AA11" s="4">
        <f t="shared" si="2"/>
        <v>21.7</v>
      </c>
    </row>
    <row r="12" spans="1:27" x14ac:dyDescent="0.25">
      <c r="A12">
        <v>100</v>
      </c>
      <c r="B12" t="s">
        <v>10</v>
      </c>
      <c r="C12">
        <v>18.48</v>
      </c>
      <c r="D12" s="7">
        <f t="shared" si="4"/>
        <v>1.6000000000000014</v>
      </c>
      <c r="E12" s="2">
        <v>10.14</v>
      </c>
      <c r="F12" s="9">
        <f t="shared" si="3"/>
        <v>10.80000000000001</v>
      </c>
      <c r="G12">
        <v>24.3</v>
      </c>
      <c r="H12" s="5"/>
      <c r="J12" s="11">
        <v>1.8</v>
      </c>
      <c r="K12" s="12">
        <f t="shared" si="5"/>
        <v>12.966316906546396</v>
      </c>
      <c r="X12" s="1">
        <f t="shared" si="0"/>
        <v>2.9199999999999982</v>
      </c>
      <c r="Y12" s="1">
        <f t="shared" si="0"/>
        <v>15.63</v>
      </c>
      <c r="Z12" s="1">
        <f t="shared" si="1"/>
        <v>21.3</v>
      </c>
      <c r="AA12" s="4">
        <f t="shared" si="2"/>
        <v>24.3</v>
      </c>
    </row>
    <row r="13" spans="1:27" x14ac:dyDescent="0.25">
      <c r="A13">
        <v>121</v>
      </c>
      <c r="B13" t="s">
        <v>10</v>
      </c>
      <c r="C13">
        <v>21.4</v>
      </c>
      <c r="D13" s="7">
        <f t="shared" si="4"/>
        <v>2.9199999999999982</v>
      </c>
      <c r="E13" s="2">
        <v>15.63</v>
      </c>
      <c r="F13" s="9">
        <f t="shared" si="3"/>
        <v>17.276666666666657</v>
      </c>
      <c r="G13">
        <v>21.3</v>
      </c>
      <c r="H13" s="5"/>
      <c r="J13" s="11">
        <v>2</v>
      </c>
      <c r="K13" s="12">
        <f t="shared" si="5"/>
        <v>14.526017112157591</v>
      </c>
      <c r="X13" s="1">
        <f t="shared" si="0"/>
        <v>0.88000000000000256</v>
      </c>
      <c r="Y13" s="1">
        <f t="shared" si="0"/>
        <v>7.32</v>
      </c>
      <c r="Z13" s="1">
        <f t="shared" si="1"/>
        <v>23.5</v>
      </c>
      <c r="AA13" s="4">
        <f t="shared" si="2"/>
        <v>21.3</v>
      </c>
    </row>
    <row r="14" spans="1:27" x14ac:dyDescent="0.25">
      <c r="A14">
        <v>119</v>
      </c>
      <c r="B14" t="s">
        <v>10</v>
      </c>
      <c r="C14">
        <v>22.28</v>
      </c>
      <c r="D14" s="7">
        <f t="shared" si="4"/>
        <v>0.88000000000000256</v>
      </c>
      <c r="E14" s="2">
        <v>7.32</v>
      </c>
      <c r="F14" s="9">
        <f t="shared" si="3"/>
        <v>5.7444444444444613</v>
      </c>
      <c r="G14">
        <v>23.5</v>
      </c>
      <c r="H14" s="5"/>
      <c r="X14" s="1">
        <f t="shared" si="0"/>
        <v>2.1199999999999974</v>
      </c>
      <c r="Y14" s="1">
        <f t="shared" si="0"/>
        <v>11.78</v>
      </c>
      <c r="Z14" s="1">
        <f t="shared" si="1"/>
        <v>22.1</v>
      </c>
      <c r="AA14" s="4">
        <f t="shared" si="2"/>
        <v>23.5</v>
      </c>
    </row>
    <row r="15" spans="1:27" x14ac:dyDescent="0.25">
      <c r="A15">
        <v>134</v>
      </c>
      <c r="B15" t="s">
        <v>10</v>
      </c>
      <c r="C15">
        <v>24.4</v>
      </c>
      <c r="D15" s="7">
        <f>C15-C14</f>
        <v>2.1199999999999974</v>
      </c>
      <c r="E15" s="2">
        <v>11.78</v>
      </c>
      <c r="F15" s="9">
        <f t="shared" si="3"/>
        <v>13.014444444444429</v>
      </c>
      <c r="G15">
        <v>22.1</v>
      </c>
      <c r="H15" s="5"/>
      <c r="J15" s="109" t="s">
        <v>66</v>
      </c>
      <c r="K15" s="109"/>
      <c r="X15" s="1">
        <f t="shared" si="0"/>
        <v>1.6799999999999997</v>
      </c>
      <c r="Y15" s="1">
        <f t="shared" si="0"/>
        <v>10.039999999999999</v>
      </c>
      <c r="Z15" s="1">
        <f t="shared" si="1"/>
        <v>22.2</v>
      </c>
      <c r="AA15" s="4">
        <f t="shared" si="2"/>
        <v>22.1</v>
      </c>
    </row>
    <row r="16" spans="1:27" x14ac:dyDescent="0.25">
      <c r="A16">
        <v>136</v>
      </c>
      <c r="B16" t="s">
        <v>10</v>
      </c>
      <c r="C16">
        <v>26.08</v>
      </c>
      <c r="D16" s="7">
        <f t="shared" si="4"/>
        <v>1.6799999999999997</v>
      </c>
      <c r="E16" s="2">
        <v>10.039999999999999</v>
      </c>
      <c r="F16" s="9">
        <f t="shared" si="3"/>
        <v>10.359999999999998</v>
      </c>
      <c r="G16">
        <v>22.2</v>
      </c>
      <c r="H16" s="5"/>
      <c r="J16" s="63" t="s">
        <v>10</v>
      </c>
      <c r="K16" s="64">
        <f>AVERAGEIFS($G$3:$G$30, $B$3:$B$30, J16, $G$3:$G$30, "&lt;&gt;0")</f>
        <v>21.549999999999997</v>
      </c>
      <c r="X16" s="1">
        <f t="shared" si="0"/>
        <v>0.44000000000000128</v>
      </c>
      <c r="Y16" s="1">
        <f t="shared" si="0"/>
        <v>2.44</v>
      </c>
      <c r="Z16" s="1">
        <f t="shared" si="1"/>
        <v>20.399999999999999</v>
      </c>
      <c r="AA16" s="4">
        <f t="shared" si="2"/>
        <v>22.2</v>
      </c>
    </row>
    <row r="17" spans="1:27" x14ac:dyDescent="0.25">
      <c r="A17">
        <v>138</v>
      </c>
      <c r="B17" t="s">
        <v>10</v>
      </c>
      <c r="C17">
        <v>26.52</v>
      </c>
      <c r="D17" s="7">
        <f t="shared" si="4"/>
        <v>0.44000000000000128</v>
      </c>
      <c r="E17" s="2">
        <v>2.44</v>
      </c>
      <c r="F17" s="9">
        <f t="shared" si="3"/>
        <v>2.4933333333333403</v>
      </c>
      <c r="G17">
        <v>20.399999999999999</v>
      </c>
      <c r="H17" s="5"/>
      <c r="J17" s="63" t="s">
        <v>11</v>
      </c>
      <c r="K17" s="64">
        <f t="shared" ref="K17:K18" si="6">AVERAGEIFS($G$3:$G$30, $B$3:$B$30, J17, $G$3:$G$30, "&lt;&gt;0")</f>
        <v>25.933333333333337</v>
      </c>
      <c r="X17" s="1">
        <f t="shared" si="0"/>
        <v>1</v>
      </c>
      <c r="Y17" s="1">
        <f t="shared" si="0"/>
        <v>5.03</v>
      </c>
      <c r="Z17" s="1">
        <f t="shared" si="1"/>
        <v>24.9</v>
      </c>
      <c r="AA17" s="4">
        <f t="shared" si="2"/>
        <v>20.399999999999999</v>
      </c>
    </row>
    <row r="18" spans="1:27" x14ac:dyDescent="0.25">
      <c r="A18">
        <v>150</v>
      </c>
      <c r="B18" t="s">
        <v>10</v>
      </c>
      <c r="C18">
        <v>27.52</v>
      </c>
      <c r="D18" s="7">
        <f t="shared" si="4"/>
        <v>1</v>
      </c>
      <c r="E18" s="2">
        <v>5.03</v>
      </c>
      <c r="F18" s="9">
        <f t="shared" si="3"/>
        <v>6.9166666666666661</v>
      </c>
      <c r="G18">
        <v>24.9</v>
      </c>
      <c r="H18" s="5"/>
      <c r="J18" s="63" t="s">
        <v>12</v>
      </c>
      <c r="K18" s="64">
        <f t="shared" si="6"/>
        <v>21.8</v>
      </c>
      <c r="X18" s="1">
        <f t="shared" si="0"/>
        <v>1.5599999999999987</v>
      </c>
      <c r="Y18" s="1">
        <f t="shared" si="0"/>
        <v>9.85</v>
      </c>
      <c r="Z18" s="1">
        <f t="shared" si="1"/>
        <v>26.1</v>
      </c>
      <c r="AA18" s="4">
        <f t="shared" si="2"/>
        <v>24.9</v>
      </c>
    </row>
    <row r="19" spans="1:27" x14ac:dyDescent="0.25">
      <c r="A19">
        <v>163</v>
      </c>
      <c r="B19" t="s">
        <v>11</v>
      </c>
      <c r="C19">
        <v>29.08</v>
      </c>
      <c r="D19" s="7">
        <f t="shared" si="4"/>
        <v>1.5599999999999987</v>
      </c>
      <c r="E19" s="2">
        <v>9.85</v>
      </c>
      <c r="F19" s="9">
        <f t="shared" si="3"/>
        <v>11.30999999999999</v>
      </c>
      <c r="G19">
        <v>26.1</v>
      </c>
      <c r="H19" s="5"/>
      <c r="J19" s="6"/>
      <c r="K19" s="17"/>
      <c r="X19" s="1">
        <f t="shared" si="0"/>
        <v>4.9200000000000017</v>
      </c>
      <c r="Y19" s="1">
        <f t="shared" si="0"/>
        <v>15.16</v>
      </c>
      <c r="Z19" s="1">
        <f t="shared" si="1"/>
        <v>18.600000000000001</v>
      </c>
      <c r="AA19" s="4">
        <f t="shared" si="2"/>
        <v>26.1</v>
      </c>
    </row>
    <row r="20" spans="1:27" x14ac:dyDescent="0.25">
      <c r="A20">
        <v>179</v>
      </c>
      <c r="B20" t="s">
        <v>10</v>
      </c>
      <c r="C20">
        <v>34</v>
      </c>
      <c r="D20" s="7">
        <f t="shared" si="4"/>
        <v>4.9200000000000017</v>
      </c>
      <c r="E20" s="2">
        <v>15.16</v>
      </c>
      <c r="F20" s="9">
        <f t="shared" si="3"/>
        <v>25.420000000000012</v>
      </c>
      <c r="G20">
        <v>18.600000000000001</v>
      </c>
      <c r="H20" s="5"/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18.600000000000001</v>
      </c>
    </row>
    <row r="21" spans="1:27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1:27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1:27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27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27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27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27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27" x14ac:dyDescent="0.25">
      <c r="S28" s="3"/>
    </row>
    <row r="30" spans="1:27" x14ac:dyDescent="0.25">
      <c r="X30" s="6"/>
      <c r="Y30" s="18"/>
    </row>
    <row r="31" spans="1:27" x14ac:dyDescent="0.25">
      <c r="X31" s="6"/>
      <c r="Y31" s="18"/>
    </row>
    <row r="32" spans="1:27" x14ac:dyDescent="0.25">
      <c r="X32" s="6"/>
      <c r="Y32" s="18"/>
    </row>
    <row r="33" spans="1:25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8"/>
    </row>
    <row r="34" spans="1:25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18"/>
    </row>
    <row r="35" spans="1:25" x14ac:dyDescent="0.25">
      <c r="A35">
        <v>3</v>
      </c>
      <c r="B35" t="s">
        <v>12</v>
      </c>
      <c r="C35">
        <v>0.4</v>
      </c>
      <c r="D35" s="7">
        <v>0</v>
      </c>
      <c r="E35" s="1">
        <v>0</v>
      </c>
      <c r="F35" s="7">
        <v>0</v>
      </c>
      <c r="G35">
        <v>0</v>
      </c>
      <c r="J35" s="11">
        <v>0.2</v>
      </c>
      <c r="K35" s="12">
        <f t="shared" ref="K35:K44" si="7">SLOPE($E$35:$E$58, $D$35:$D$58) * J35 + INTERCEPT($E$35:$E$58, $D$35:$D$58)</f>
        <v>4.2597381860786481</v>
      </c>
      <c r="X35" s="6"/>
      <c r="Y35" s="18"/>
    </row>
    <row r="36" spans="1:25" x14ac:dyDescent="0.25">
      <c r="A36">
        <v>10</v>
      </c>
      <c r="B36" t="s">
        <v>12</v>
      </c>
      <c r="C36">
        <v>1.48</v>
      </c>
      <c r="D36" s="7">
        <f>C36-C35</f>
        <v>1.08</v>
      </c>
      <c r="E36" s="2">
        <v>7.15</v>
      </c>
      <c r="F36" s="9">
        <f t="shared" ref="F36:F52" si="8">D36*G36/3.6</f>
        <v>4.2900000000000009</v>
      </c>
      <c r="G36">
        <v>14.3</v>
      </c>
      <c r="H36" s="5"/>
      <c r="J36" s="11">
        <v>0.4</v>
      </c>
      <c r="K36" s="12">
        <f t="shared" si="7"/>
        <v>4.6894061119956731</v>
      </c>
      <c r="X36" s="6"/>
      <c r="Y36" s="18"/>
    </row>
    <row r="37" spans="1:25" x14ac:dyDescent="0.25">
      <c r="A37">
        <v>11</v>
      </c>
      <c r="B37" t="s">
        <v>12</v>
      </c>
      <c r="C37">
        <v>2.92</v>
      </c>
      <c r="D37" s="7">
        <f t="shared" ref="D37:D52" si="9">C37-C36</f>
        <v>1.44</v>
      </c>
      <c r="E37" s="2">
        <v>10.57</v>
      </c>
      <c r="F37" s="9">
        <f t="shared" si="8"/>
        <v>7.7200000000000006</v>
      </c>
      <c r="G37">
        <v>19.3</v>
      </c>
      <c r="H37" s="5"/>
      <c r="J37" s="11">
        <v>0.6</v>
      </c>
      <c r="K37" s="12">
        <f t="shared" si="7"/>
        <v>5.1190740379126973</v>
      </c>
    </row>
    <row r="38" spans="1:25" x14ac:dyDescent="0.25">
      <c r="A38">
        <v>41</v>
      </c>
      <c r="B38" t="s">
        <v>11</v>
      </c>
      <c r="C38">
        <v>4.68</v>
      </c>
      <c r="D38" s="7">
        <f t="shared" si="9"/>
        <v>1.7599999999999998</v>
      </c>
      <c r="E38" s="2">
        <v>10.93</v>
      </c>
      <c r="F38" s="9">
        <f t="shared" si="8"/>
        <v>8.2622222222222206</v>
      </c>
      <c r="G38">
        <v>16.899999999999999</v>
      </c>
      <c r="H38" s="5"/>
      <c r="J38" s="11">
        <v>0.8</v>
      </c>
      <c r="K38" s="12">
        <f t="shared" si="7"/>
        <v>5.5487419638297224</v>
      </c>
    </row>
    <row r="39" spans="1:25" x14ac:dyDescent="0.25">
      <c r="A39">
        <v>16</v>
      </c>
      <c r="B39" t="s">
        <v>12</v>
      </c>
      <c r="C39">
        <v>5.12</v>
      </c>
      <c r="D39" s="7">
        <f t="shared" si="9"/>
        <v>0.44000000000000039</v>
      </c>
      <c r="E39" s="2">
        <v>1.91</v>
      </c>
      <c r="F39" s="9">
        <f t="shared" si="8"/>
        <v>2.3711111111111127</v>
      </c>
      <c r="G39">
        <v>19.399999999999999</v>
      </c>
      <c r="H39" s="5"/>
      <c r="J39" s="11">
        <v>1</v>
      </c>
      <c r="K39" s="12">
        <f t="shared" si="7"/>
        <v>5.9784098897467466</v>
      </c>
    </row>
    <row r="40" spans="1:25" x14ac:dyDescent="0.25">
      <c r="A40">
        <v>57</v>
      </c>
      <c r="B40" t="s">
        <v>11</v>
      </c>
      <c r="C40">
        <v>6.48</v>
      </c>
      <c r="D40" s="7">
        <f t="shared" si="9"/>
        <v>1.3600000000000003</v>
      </c>
      <c r="E40" s="2">
        <v>7.7</v>
      </c>
      <c r="F40" s="9">
        <f t="shared" si="8"/>
        <v>9.1800000000000015</v>
      </c>
      <c r="G40">
        <v>24.3</v>
      </c>
      <c r="H40" s="5"/>
      <c r="J40" s="11">
        <v>1.2</v>
      </c>
      <c r="K40" s="12">
        <f t="shared" si="7"/>
        <v>6.4080778156637717</v>
      </c>
    </row>
    <row r="41" spans="1:25" x14ac:dyDescent="0.25">
      <c r="A41">
        <v>63</v>
      </c>
      <c r="B41" t="s">
        <v>12</v>
      </c>
      <c r="C41">
        <v>9.08</v>
      </c>
      <c r="D41" s="7">
        <f t="shared" si="9"/>
        <v>2.5999999999999996</v>
      </c>
      <c r="E41" s="2">
        <v>9.27</v>
      </c>
      <c r="F41" s="9">
        <f t="shared" si="8"/>
        <v>15.238888888888889</v>
      </c>
      <c r="G41">
        <v>21.1</v>
      </c>
      <c r="H41" s="5"/>
      <c r="J41" s="11">
        <v>1.4</v>
      </c>
      <c r="K41" s="12">
        <f t="shared" si="7"/>
        <v>6.8377457415807967</v>
      </c>
    </row>
    <row r="42" spans="1:25" x14ac:dyDescent="0.25">
      <c r="A42">
        <v>46</v>
      </c>
      <c r="B42" t="s">
        <v>10</v>
      </c>
      <c r="C42">
        <v>10.48</v>
      </c>
      <c r="D42" s="7">
        <f t="shared" si="9"/>
        <v>1.4000000000000004</v>
      </c>
      <c r="E42" s="2">
        <v>10.56</v>
      </c>
      <c r="F42" s="9">
        <f t="shared" si="8"/>
        <v>10.150000000000004</v>
      </c>
      <c r="G42">
        <v>26.1</v>
      </c>
      <c r="H42" s="5"/>
      <c r="J42" s="11">
        <v>1.6</v>
      </c>
      <c r="K42" s="12">
        <f t="shared" si="7"/>
        <v>7.2674136674978218</v>
      </c>
    </row>
    <row r="43" spans="1:25" x14ac:dyDescent="0.25">
      <c r="A43">
        <v>107</v>
      </c>
      <c r="B43" t="s">
        <v>11</v>
      </c>
      <c r="C43">
        <v>17.48</v>
      </c>
      <c r="D43" s="7">
        <f t="shared" si="9"/>
        <v>7</v>
      </c>
      <c r="E43" s="2">
        <v>14.54</v>
      </c>
      <c r="F43" s="9">
        <f t="shared" si="8"/>
        <v>39.472222222222221</v>
      </c>
      <c r="G43">
        <v>20.3</v>
      </c>
      <c r="H43" s="5"/>
      <c r="J43" s="11">
        <v>1.8</v>
      </c>
      <c r="K43" s="12">
        <f t="shared" si="7"/>
        <v>7.697081593414846</v>
      </c>
    </row>
    <row r="44" spans="1:25" x14ac:dyDescent="0.25">
      <c r="A44">
        <v>103</v>
      </c>
      <c r="B44" t="s">
        <v>11</v>
      </c>
      <c r="C44">
        <v>18.28</v>
      </c>
      <c r="D44" s="7">
        <f t="shared" si="9"/>
        <v>0.80000000000000071</v>
      </c>
      <c r="E44" s="2">
        <v>4.7</v>
      </c>
      <c r="F44" s="9">
        <f t="shared" si="8"/>
        <v>3.7555555555555582</v>
      </c>
      <c r="G44">
        <v>16.899999999999999</v>
      </c>
      <c r="H44" s="5"/>
      <c r="J44" s="11">
        <v>2</v>
      </c>
      <c r="K44" s="12">
        <f t="shared" si="7"/>
        <v>8.1267495193318702</v>
      </c>
    </row>
    <row r="45" spans="1:25" x14ac:dyDescent="0.25">
      <c r="A45">
        <v>97</v>
      </c>
      <c r="B45" t="s">
        <v>10</v>
      </c>
      <c r="C45">
        <v>19.52</v>
      </c>
      <c r="D45" s="7">
        <f t="shared" si="9"/>
        <v>1.2399999999999984</v>
      </c>
      <c r="E45" s="2">
        <v>5.0999999999999996</v>
      </c>
      <c r="F45" s="9">
        <f t="shared" si="8"/>
        <v>6.7511111111111024</v>
      </c>
      <c r="G45">
        <v>19.600000000000001</v>
      </c>
      <c r="H45" s="5"/>
    </row>
    <row r="46" spans="1:25" x14ac:dyDescent="0.25">
      <c r="A46">
        <v>126</v>
      </c>
      <c r="B46" t="s">
        <v>10</v>
      </c>
      <c r="C46">
        <v>23.32</v>
      </c>
      <c r="D46" s="7">
        <f t="shared" si="9"/>
        <v>3.8000000000000007</v>
      </c>
      <c r="E46" s="2">
        <v>15.02</v>
      </c>
      <c r="F46" s="9">
        <f t="shared" si="8"/>
        <v>19.316666666666674</v>
      </c>
      <c r="G46">
        <v>18.3</v>
      </c>
      <c r="H46" s="5"/>
      <c r="J46" s="109" t="s">
        <v>66</v>
      </c>
      <c r="K46" s="109"/>
    </row>
    <row r="47" spans="1:25" x14ac:dyDescent="0.25">
      <c r="A47">
        <v>135</v>
      </c>
      <c r="B47" t="s">
        <v>10</v>
      </c>
      <c r="C47">
        <v>25.08</v>
      </c>
      <c r="D47" s="7">
        <f t="shared" si="9"/>
        <v>1.759999999999998</v>
      </c>
      <c r="E47" s="2">
        <v>9.7799999999999994</v>
      </c>
      <c r="F47" s="9">
        <f t="shared" si="8"/>
        <v>8.9466666666666566</v>
      </c>
      <c r="G47">
        <v>18.3</v>
      </c>
      <c r="H47" s="5"/>
      <c r="J47" s="63" t="s">
        <v>10</v>
      </c>
      <c r="K47" s="64">
        <f>AVERAGEIFS($G$35:$G$80, $B$35:$B$80, J47, $G$35:$G$80, "&lt;&gt;0")</f>
        <v>20.16</v>
      </c>
    </row>
    <row r="48" spans="1:25" x14ac:dyDescent="0.25">
      <c r="A48">
        <v>138</v>
      </c>
      <c r="B48" t="s">
        <v>10</v>
      </c>
      <c r="C48">
        <v>26.88</v>
      </c>
      <c r="D48" s="7">
        <f t="shared" si="9"/>
        <v>1.8000000000000007</v>
      </c>
      <c r="E48" s="2">
        <v>5.88</v>
      </c>
      <c r="F48" s="9">
        <f t="shared" si="8"/>
        <v>9.2500000000000036</v>
      </c>
      <c r="G48">
        <v>18.5</v>
      </c>
      <c r="H48" s="5"/>
      <c r="J48" s="63" t="s">
        <v>11</v>
      </c>
      <c r="K48" s="64">
        <f t="shared" ref="K48:K49" si="10">AVERAGEIFS($G$35:$G$80, $B$35:$B$80, J48, $G$35:$G$80, "&lt;&gt;0")</f>
        <v>21.283333333333335</v>
      </c>
    </row>
    <row r="49" spans="1:11" x14ac:dyDescent="0.25">
      <c r="A49">
        <v>156</v>
      </c>
      <c r="B49" t="s">
        <v>11</v>
      </c>
      <c r="C49">
        <v>26.92</v>
      </c>
      <c r="D49" s="7">
        <f t="shared" si="9"/>
        <v>4.00000000000027E-2</v>
      </c>
      <c r="E49" s="2">
        <v>2.35</v>
      </c>
      <c r="F49" s="9">
        <f t="shared" si="8"/>
        <v>0.2377777777777938</v>
      </c>
      <c r="G49">
        <v>21.4</v>
      </c>
      <c r="H49" s="5"/>
      <c r="J49" s="63" t="s">
        <v>12</v>
      </c>
      <c r="K49" s="64">
        <f t="shared" si="10"/>
        <v>18.524999999999999</v>
      </c>
    </row>
    <row r="50" spans="1:11" x14ac:dyDescent="0.25">
      <c r="A50">
        <v>159</v>
      </c>
      <c r="B50" t="s">
        <v>36</v>
      </c>
      <c r="C50">
        <v>29.68</v>
      </c>
      <c r="D50" s="7">
        <f t="shared" si="9"/>
        <v>2.759999999999998</v>
      </c>
      <c r="E50" s="2">
        <v>10.25</v>
      </c>
      <c r="F50" s="9">
        <f t="shared" si="8"/>
        <v>13.723333333333322</v>
      </c>
      <c r="G50">
        <v>17.899999999999999</v>
      </c>
      <c r="H50" s="5"/>
    </row>
    <row r="51" spans="1:11" x14ac:dyDescent="0.25">
      <c r="A51">
        <v>184</v>
      </c>
      <c r="B51" t="s">
        <v>11</v>
      </c>
      <c r="C51">
        <v>29.68</v>
      </c>
      <c r="D51" s="7">
        <f t="shared" si="9"/>
        <v>0</v>
      </c>
      <c r="E51" s="2">
        <v>1.47</v>
      </c>
      <c r="F51" s="9">
        <f t="shared" si="8"/>
        <v>0</v>
      </c>
      <c r="G51">
        <v>0</v>
      </c>
      <c r="H51" s="5"/>
    </row>
    <row r="52" spans="1:11" x14ac:dyDescent="0.25">
      <c r="A52">
        <v>180</v>
      </c>
      <c r="B52" t="s">
        <v>11</v>
      </c>
      <c r="C52">
        <v>32.479999999999997</v>
      </c>
      <c r="D52" s="7">
        <f t="shared" si="9"/>
        <v>2.7999999999999972</v>
      </c>
      <c r="E52" s="2">
        <v>10.68</v>
      </c>
      <c r="F52" s="9">
        <f t="shared" si="8"/>
        <v>21.699999999999978</v>
      </c>
      <c r="G52">
        <v>27.9</v>
      </c>
      <c r="H52" s="5"/>
    </row>
    <row r="53" spans="1:11" x14ac:dyDescent="0.25">
      <c r="D53" s="7"/>
      <c r="E53" s="2"/>
      <c r="F53" s="9"/>
      <c r="H53" s="5"/>
    </row>
    <row r="54" spans="1:11" x14ac:dyDescent="0.25">
      <c r="D54" s="7"/>
      <c r="E54" s="2"/>
      <c r="F54" s="9"/>
      <c r="H54" s="5"/>
    </row>
    <row r="55" spans="1:11" x14ac:dyDescent="0.25">
      <c r="D55" s="7"/>
      <c r="E55" s="2"/>
      <c r="F55" s="9"/>
      <c r="H55" s="5"/>
    </row>
    <row r="56" spans="1:11" x14ac:dyDescent="0.25">
      <c r="D56" s="7"/>
      <c r="F56" s="9"/>
      <c r="H56" s="5"/>
    </row>
    <row r="57" spans="1:11" x14ac:dyDescent="0.25">
      <c r="E57" s="2"/>
      <c r="F57" s="9"/>
      <c r="H57" s="5"/>
    </row>
    <row r="58" spans="1:11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6">
    <mergeCell ref="J46:K46"/>
    <mergeCell ref="A1:E1"/>
    <mergeCell ref="X1:Y1"/>
    <mergeCell ref="Z1:AA1"/>
    <mergeCell ref="A33:E33"/>
    <mergeCell ref="J15:K15"/>
  </mergeCells>
  <conditionalFormatting sqref="G3:G27 F3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{9396CF58-1585-4C6E-8D73-9B78872DBCA6}</x14:id>
        </ext>
      </extLst>
    </cfRule>
  </conditionalFormatting>
  <conditionalFormatting sqref="G57:G58 F35 G35:G5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{15F2453E-CB36-4248-9A85-7A223F39ECA1}</x14:id>
        </ext>
      </extLst>
    </cfRule>
  </conditionalFormatting>
  <conditionalFormatting sqref="K3:K13">
    <cfRule type="cellIs" dxfId="95" priority="5" operator="between">
      <formula>4</formula>
      <formula>5</formula>
    </cfRule>
    <cfRule type="cellIs" dxfId="94" priority="6" operator="lessThan">
      <formula>3.99</formula>
    </cfRule>
    <cfRule type="cellIs" dxfId="93" priority="7" operator="greaterThan">
      <formula>5</formula>
    </cfRule>
  </conditionalFormatting>
  <conditionalFormatting sqref="K34:K44">
    <cfRule type="cellIs" dxfId="92" priority="1" operator="between">
      <formula>4</formula>
      <formula>5</formula>
    </cfRule>
    <cfRule type="cellIs" dxfId="91" priority="2" operator="lessThan">
      <formula>3.99</formula>
    </cfRule>
    <cfRule type="cellIs" dxfId="90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96CF58-1585-4C6E-8D73-9B78872DBC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15F2453E-CB36-4248-9A85-7A223F39EC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9EC1-61F5-41A3-B191-4A70D2BB4468}">
  <sheetPr codeName="Sheet5"/>
  <dimension ref="A1:AG83"/>
  <sheetViews>
    <sheetView workbookViewId="0">
      <selection activeCell="D47" sqref="D47:D48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2</v>
      </c>
      <c r="B3" t="s">
        <v>10</v>
      </c>
      <c r="C3">
        <v>2.52</v>
      </c>
      <c r="D3" s="7">
        <v>0</v>
      </c>
      <c r="E3" s="1">
        <v>0</v>
      </c>
      <c r="F3" s="7">
        <v>0</v>
      </c>
      <c r="G3">
        <v>18.399999999999999</v>
      </c>
      <c r="J3" s="11">
        <v>0</v>
      </c>
      <c r="K3" s="11">
        <v>0</v>
      </c>
      <c r="X3" s="1">
        <f t="shared" ref="X3:Y27" si="0">D4</f>
        <v>1.9600000000000004</v>
      </c>
      <c r="Y3" s="1">
        <f t="shared" si="0"/>
        <v>11.34</v>
      </c>
      <c r="Z3" s="1">
        <f t="shared" ref="Z3:Z27" si="1">G4</f>
        <v>23.6</v>
      </c>
      <c r="AA3" s="4">
        <f t="shared" ref="AA3:AA27" si="2">G3</f>
        <v>18.399999999999999</v>
      </c>
      <c r="AB3" s="1" t="s">
        <v>10</v>
      </c>
      <c r="AC3" s="1" t="s">
        <v>10</v>
      </c>
    </row>
    <row r="4" spans="1:29" x14ac:dyDescent="0.25">
      <c r="A4">
        <v>4</v>
      </c>
      <c r="B4" t="s">
        <v>10</v>
      </c>
      <c r="C4">
        <v>4.4800000000000004</v>
      </c>
      <c r="D4" s="7">
        <f>C4-C3</f>
        <v>1.9600000000000004</v>
      </c>
      <c r="E4" s="2">
        <v>11.34</v>
      </c>
      <c r="F4" s="9">
        <f t="shared" ref="F4:F17" si="3">D4*G4/3.6</f>
        <v>12.848888888888892</v>
      </c>
      <c r="G4">
        <v>23.6</v>
      </c>
      <c r="H4" s="5"/>
      <c r="J4" s="11">
        <v>0.2</v>
      </c>
      <c r="K4" s="12">
        <f>SLOPE($E$3:$E$27, $D$3:$D$27) * J4 + INTERCEPT($E$3:$E$27, $D$3:$D$27)</f>
        <v>5.0572625718785496</v>
      </c>
      <c r="X4" s="1">
        <f t="shared" si="0"/>
        <v>0.59999999999999964</v>
      </c>
      <c r="Y4" s="1">
        <f t="shared" si="0"/>
        <v>4.5199999999999996</v>
      </c>
      <c r="Z4" s="1">
        <f t="shared" si="1"/>
        <v>16.100000000000001</v>
      </c>
      <c r="AA4" s="4">
        <f t="shared" si="2"/>
        <v>23.6</v>
      </c>
      <c r="AB4" s="1" t="s">
        <v>10</v>
      </c>
      <c r="AC4" s="1" t="s">
        <v>10</v>
      </c>
    </row>
    <row r="5" spans="1:29" x14ac:dyDescent="0.25">
      <c r="A5">
        <v>6</v>
      </c>
      <c r="B5" t="s">
        <v>10</v>
      </c>
      <c r="C5">
        <v>5.08</v>
      </c>
      <c r="D5" s="7">
        <f t="shared" ref="D5:D17" si="4">C5-C4</f>
        <v>0.59999999999999964</v>
      </c>
      <c r="E5" s="2">
        <v>4.5199999999999996</v>
      </c>
      <c r="F5" s="9">
        <f t="shared" si="3"/>
        <v>2.6833333333333318</v>
      </c>
      <c r="G5">
        <v>16.100000000000001</v>
      </c>
      <c r="H5" s="5"/>
      <c r="J5" s="11">
        <v>0.4</v>
      </c>
      <c r="K5" s="12">
        <f t="shared" ref="K5:K13" si="5">SLOPE($E$3:$E$27, $D$3:$D$27) * J5 + INTERCEPT($E$3:$E$27, $D$3:$D$27)</f>
        <v>5.6477251584075017</v>
      </c>
      <c r="X5" s="1">
        <f t="shared" si="0"/>
        <v>0.91999999999999993</v>
      </c>
      <c r="Y5" s="1">
        <f t="shared" si="0"/>
        <v>1.5</v>
      </c>
      <c r="Z5" s="1">
        <f t="shared" si="1"/>
        <v>31.3</v>
      </c>
      <c r="AA5" s="4">
        <f t="shared" si="2"/>
        <v>16.100000000000001</v>
      </c>
      <c r="AB5" s="1" t="s">
        <v>10</v>
      </c>
      <c r="AC5" s="1" t="s">
        <v>10</v>
      </c>
    </row>
    <row r="6" spans="1:29" x14ac:dyDescent="0.25">
      <c r="A6">
        <v>15</v>
      </c>
      <c r="B6" t="s">
        <v>10</v>
      </c>
      <c r="C6">
        <v>6</v>
      </c>
      <c r="D6" s="7">
        <f t="shared" si="4"/>
        <v>0.91999999999999993</v>
      </c>
      <c r="E6" s="2">
        <v>1.5</v>
      </c>
      <c r="F6" s="9">
        <f t="shared" si="3"/>
        <v>7.9988888888888887</v>
      </c>
      <c r="G6">
        <v>31.3</v>
      </c>
      <c r="H6" s="5"/>
      <c r="J6" s="11">
        <v>0.6</v>
      </c>
      <c r="K6" s="12">
        <f t="shared" si="5"/>
        <v>6.2381877449364547</v>
      </c>
      <c r="X6" s="1">
        <f t="shared" si="0"/>
        <v>1.08</v>
      </c>
      <c r="Y6" s="1">
        <f t="shared" si="0"/>
        <v>9.11</v>
      </c>
      <c r="Z6" s="1">
        <f t="shared" si="1"/>
        <v>19.8</v>
      </c>
      <c r="AA6" s="4">
        <f t="shared" si="2"/>
        <v>31.3</v>
      </c>
    </row>
    <row r="7" spans="1:29" x14ac:dyDescent="0.25">
      <c r="A7">
        <v>23</v>
      </c>
      <c r="B7" t="s">
        <v>10</v>
      </c>
      <c r="C7">
        <v>7.08</v>
      </c>
      <c r="D7" s="7">
        <f t="shared" si="4"/>
        <v>1.08</v>
      </c>
      <c r="E7" s="2">
        <v>9.11</v>
      </c>
      <c r="F7" s="9">
        <f t="shared" si="3"/>
        <v>5.9400000000000013</v>
      </c>
      <c r="G7">
        <v>19.8</v>
      </c>
      <c r="H7" s="5"/>
      <c r="J7" s="11">
        <v>0.8</v>
      </c>
      <c r="K7" s="12">
        <f t="shared" si="5"/>
        <v>6.8286503314654077</v>
      </c>
      <c r="X7" s="1">
        <f t="shared" si="0"/>
        <v>1.8399999999999999</v>
      </c>
      <c r="Y7" s="1">
        <f t="shared" si="0"/>
        <v>9.32</v>
      </c>
      <c r="Z7" s="1">
        <f t="shared" si="1"/>
        <v>17.100000000000001</v>
      </c>
      <c r="AA7" s="4">
        <f t="shared" si="2"/>
        <v>19.8</v>
      </c>
    </row>
    <row r="8" spans="1:29" x14ac:dyDescent="0.25">
      <c r="A8">
        <v>56</v>
      </c>
      <c r="B8" t="s">
        <v>12</v>
      </c>
      <c r="C8">
        <v>8.92</v>
      </c>
      <c r="D8" s="7">
        <f>C8-C7</f>
        <v>1.8399999999999999</v>
      </c>
      <c r="E8" s="2">
        <v>9.32</v>
      </c>
      <c r="F8" s="9">
        <f t="shared" si="3"/>
        <v>8.74</v>
      </c>
      <c r="G8">
        <v>17.100000000000001</v>
      </c>
      <c r="H8" s="5"/>
      <c r="J8" s="11">
        <v>1</v>
      </c>
      <c r="K8" s="12">
        <f t="shared" si="5"/>
        <v>7.4191129179943598</v>
      </c>
      <c r="X8" s="1">
        <f t="shared" si="0"/>
        <v>2.5600000000000005</v>
      </c>
      <c r="Y8" s="1">
        <f t="shared" si="0"/>
        <v>14.78</v>
      </c>
      <c r="Z8" s="1">
        <f t="shared" si="1"/>
        <v>26.6</v>
      </c>
      <c r="AA8" s="4">
        <f t="shared" si="2"/>
        <v>17.100000000000001</v>
      </c>
    </row>
    <row r="9" spans="1:29" x14ac:dyDescent="0.25">
      <c r="A9">
        <v>80</v>
      </c>
      <c r="B9" t="s">
        <v>11</v>
      </c>
      <c r="C9">
        <v>11.48</v>
      </c>
      <c r="D9" s="7">
        <f t="shared" si="4"/>
        <v>2.5600000000000005</v>
      </c>
      <c r="E9" s="2">
        <v>14.78</v>
      </c>
      <c r="F9" s="9">
        <f t="shared" si="3"/>
        <v>18.91555555555556</v>
      </c>
      <c r="G9">
        <v>26.6</v>
      </c>
      <c r="H9" s="5"/>
      <c r="J9" s="11">
        <v>1.2</v>
      </c>
      <c r="K9" s="12">
        <f t="shared" si="5"/>
        <v>8.0095755045233119</v>
      </c>
      <c r="X9" s="1">
        <f t="shared" si="0"/>
        <v>6.120000000000001</v>
      </c>
      <c r="Y9" s="1">
        <f t="shared" si="0"/>
        <v>15.51</v>
      </c>
      <c r="Z9" s="1">
        <f t="shared" si="1"/>
        <v>24.4</v>
      </c>
      <c r="AA9" s="4">
        <f t="shared" si="2"/>
        <v>26.6</v>
      </c>
    </row>
    <row r="10" spans="1:29" x14ac:dyDescent="0.25">
      <c r="A10">
        <v>116</v>
      </c>
      <c r="B10" t="s">
        <v>10</v>
      </c>
      <c r="C10">
        <v>17.600000000000001</v>
      </c>
      <c r="D10" s="7">
        <f t="shared" si="4"/>
        <v>6.120000000000001</v>
      </c>
      <c r="E10" s="2">
        <v>15.51</v>
      </c>
      <c r="F10" s="9">
        <f t="shared" si="3"/>
        <v>41.48</v>
      </c>
      <c r="G10">
        <v>24.4</v>
      </c>
      <c r="H10" s="5"/>
      <c r="J10" s="11">
        <v>1.4</v>
      </c>
      <c r="K10" s="12">
        <f t="shared" si="5"/>
        <v>8.6000380910522658</v>
      </c>
      <c r="X10" s="1">
        <f t="shared" si="0"/>
        <v>1.879999999999999</v>
      </c>
      <c r="Y10" s="1">
        <f t="shared" si="0"/>
        <v>11.21</v>
      </c>
      <c r="Z10" s="1">
        <f t="shared" si="1"/>
        <v>25.4</v>
      </c>
      <c r="AA10" s="4">
        <f t="shared" si="2"/>
        <v>24.4</v>
      </c>
    </row>
    <row r="11" spans="1:29" x14ac:dyDescent="0.25">
      <c r="A11">
        <v>90</v>
      </c>
      <c r="B11" t="s">
        <v>10</v>
      </c>
      <c r="C11">
        <v>19.48</v>
      </c>
      <c r="D11" s="7">
        <f t="shared" si="4"/>
        <v>1.879999999999999</v>
      </c>
      <c r="E11" s="2">
        <v>11.21</v>
      </c>
      <c r="F11" s="9">
        <f t="shared" si="3"/>
        <v>13.264444444444436</v>
      </c>
      <c r="G11">
        <v>25.4</v>
      </c>
      <c r="H11" s="5"/>
      <c r="J11" s="11">
        <v>1.6</v>
      </c>
      <c r="K11" s="12">
        <f t="shared" si="5"/>
        <v>9.1905006775812197</v>
      </c>
      <c r="X11" s="1">
        <f t="shared" si="0"/>
        <v>3.120000000000001</v>
      </c>
      <c r="Y11" s="1">
        <f t="shared" si="0"/>
        <v>16.72</v>
      </c>
      <c r="Z11" s="1">
        <f t="shared" si="1"/>
        <v>22.7</v>
      </c>
      <c r="AA11" s="4">
        <f t="shared" si="2"/>
        <v>25.4</v>
      </c>
    </row>
    <row r="12" spans="1:29" x14ac:dyDescent="0.25">
      <c r="A12">
        <v>137</v>
      </c>
      <c r="B12" t="s">
        <v>10</v>
      </c>
      <c r="C12">
        <v>22.6</v>
      </c>
      <c r="D12" s="7">
        <f t="shared" si="4"/>
        <v>3.120000000000001</v>
      </c>
      <c r="E12" s="2">
        <v>16.72</v>
      </c>
      <c r="F12" s="9">
        <f t="shared" si="3"/>
        <v>19.673333333333339</v>
      </c>
      <c r="G12">
        <v>22.7</v>
      </c>
      <c r="H12" s="5"/>
      <c r="J12" s="11">
        <v>1.8</v>
      </c>
      <c r="K12" s="12">
        <f t="shared" si="5"/>
        <v>9.78096326411017</v>
      </c>
      <c r="X12" s="1">
        <f t="shared" si="0"/>
        <v>0.71999999999999886</v>
      </c>
      <c r="Y12" s="1">
        <f t="shared" si="0"/>
        <v>5.43</v>
      </c>
      <c r="Z12" s="1">
        <f t="shared" si="1"/>
        <v>23.9</v>
      </c>
      <c r="AA12" s="4">
        <f t="shared" si="2"/>
        <v>22.7</v>
      </c>
    </row>
    <row r="13" spans="1:29" x14ac:dyDescent="0.25">
      <c r="A13">
        <v>119</v>
      </c>
      <c r="B13" t="s">
        <v>12</v>
      </c>
      <c r="C13">
        <v>23.32</v>
      </c>
      <c r="D13" s="7">
        <f t="shared" si="4"/>
        <v>0.71999999999999886</v>
      </c>
      <c r="E13" s="2">
        <v>5.43</v>
      </c>
      <c r="F13" s="9">
        <f t="shared" si="3"/>
        <v>4.7799999999999923</v>
      </c>
      <c r="G13">
        <v>23.9</v>
      </c>
      <c r="H13" s="5"/>
      <c r="J13" s="11">
        <v>2</v>
      </c>
      <c r="K13" s="12">
        <f t="shared" si="5"/>
        <v>10.371425850639124</v>
      </c>
      <c r="X13" s="1">
        <f t="shared" si="0"/>
        <v>1.4800000000000004</v>
      </c>
      <c r="Y13" s="1">
        <f t="shared" si="0"/>
        <v>7.01</v>
      </c>
      <c r="Z13" s="1">
        <f t="shared" si="1"/>
        <v>24.1</v>
      </c>
      <c r="AA13" s="4">
        <f t="shared" si="2"/>
        <v>23.9</v>
      </c>
    </row>
    <row r="14" spans="1:29" x14ac:dyDescent="0.25">
      <c r="A14">
        <v>149</v>
      </c>
      <c r="B14" t="s">
        <v>10</v>
      </c>
      <c r="C14">
        <v>24.8</v>
      </c>
      <c r="D14" s="7">
        <f t="shared" si="4"/>
        <v>1.4800000000000004</v>
      </c>
      <c r="E14" s="2">
        <v>7.01</v>
      </c>
      <c r="F14" s="9">
        <f t="shared" si="3"/>
        <v>9.9077777777777811</v>
      </c>
      <c r="G14">
        <v>24.1</v>
      </c>
      <c r="H14" s="5"/>
      <c r="X14" s="1">
        <f t="shared" si="0"/>
        <v>2.3200000000000003</v>
      </c>
      <c r="Y14" s="1">
        <f t="shared" si="0"/>
        <v>16.59</v>
      </c>
      <c r="Z14" s="1">
        <f t="shared" si="1"/>
        <v>29.5</v>
      </c>
      <c r="AA14" s="4">
        <f t="shared" si="2"/>
        <v>24.1</v>
      </c>
    </row>
    <row r="15" spans="1:29" x14ac:dyDescent="0.25">
      <c r="A15">
        <v>165</v>
      </c>
      <c r="B15" t="s">
        <v>10</v>
      </c>
      <c r="C15">
        <v>27.12</v>
      </c>
      <c r="D15" s="7">
        <f>C15-C14</f>
        <v>2.3200000000000003</v>
      </c>
      <c r="E15" s="2">
        <v>16.59</v>
      </c>
      <c r="F15" s="9">
        <f t="shared" si="3"/>
        <v>19.011111111111113</v>
      </c>
      <c r="G15">
        <v>29.5</v>
      </c>
      <c r="H15" s="5"/>
      <c r="J15" s="109" t="s">
        <v>66</v>
      </c>
      <c r="K15" s="109"/>
      <c r="X15" s="1">
        <f t="shared" si="0"/>
        <v>2.759999999999998</v>
      </c>
      <c r="Y15" s="1">
        <f t="shared" si="0"/>
        <v>17.5</v>
      </c>
      <c r="Z15" s="1">
        <f t="shared" si="1"/>
        <v>28.2</v>
      </c>
      <c r="AA15" s="4">
        <f t="shared" si="2"/>
        <v>29.5</v>
      </c>
    </row>
    <row r="16" spans="1:29" x14ac:dyDescent="0.25">
      <c r="A16">
        <v>177</v>
      </c>
      <c r="B16" t="s">
        <v>10</v>
      </c>
      <c r="C16">
        <v>29.88</v>
      </c>
      <c r="D16" s="7">
        <f t="shared" si="4"/>
        <v>2.759999999999998</v>
      </c>
      <c r="E16" s="2">
        <v>17.5</v>
      </c>
      <c r="F16" s="9">
        <f t="shared" si="3"/>
        <v>21.619999999999983</v>
      </c>
      <c r="G16">
        <v>28.2</v>
      </c>
      <c r="H16" s="5"/>
      <c r="J16" s="63" t="s">
        <v>10</v>
      </c>
      <c r="K16" s="64">
        <f>AVERAGEIFS($G$3:$G$30, $B$3:$B$30, J16, $G$3:$G$30, "&lt;&gt;0")</f>
        <v>24.133333333333336</v>
      </c>
      <c r="X16" s="1">
        <f t="shared" si="0"/>
        <v>2.0400000000000027</v>
      </c>
      <c r="Y16" s="1">
        <f t="shared" si="0"/>
        <v>13.26</v>
      </c>
      <c r="Z16" s="1">
        <f t="shared" si="1"/>
        <v>26.1</v>
      </c>
      <c r="AA16" s="4">
        <f t="shared" si="2"/>
        <v>28.2</v>
      </c>
    </row>
    <row r="17" spans="1:33" x14ac:dyDescent="0.25">
      <c r="A17">
        <v>188</v>
      </c>
      <c r="B17" t="s">
        <v>10</v>
      </c>
      <c r="C17">
        <v>31.92</v>
      </c>
      <c r="D17" s="7">
        <f t="shared" si="4"/>
        <v>2.0400000000000027</v>
      </c>
      <c r="E17" s="2">
        <v>13.26</v>
      </c>
      <c r="F17" s="9">
        <f t="shared" si="3"/>
        <v>14.790000000000019</v>
      </c>
      <c r="G17">
        <v>26.1</v>
      </c>
      <c r="H17" s="5"/>
      <c r="J17" s="63" t="s">
        <v>11</v>
      </c>
      <c r="K17" s="64">
        <f t="shared" ref="K17:K18" si="6">AVERAGEIFS($G$3:$G$30, $B$3:$B$30, J17, $G$3:$G$30, "&lt;&gt;0")</f>
        <v>26.6</v>
      </c>
      <c r="X17" s="1">
        <f t="shared" si="0"/>
        <v>0</v>
      </c>
      <c r="Y17" s="1">
        <f t="shared" si="0"/>
        <v>0</v>
      </c>
      <c r="Z17" s="1">
        <f t="shared" si="1"/>
        <v>0</v>
      </c>
      <c r="AA17" s="4">
        <f t="shared" si="2"/>
        <v>26.1</v>
      </c>
    </row>
    <row r="18" spans="1:33" x14ac:dyDescent="0.25">
      <c r="D18" s="7"/>
      <c r="E18" s="2"/>
      <c r="F18" s="9"/>
      <c r="H18" s="5"/>
      <c r="J18" s="63" t="s">
        <v>12</v>
      </c>
      <c r="K18" s="64">
        <f t="shared" si="6"/>
        <v>20.5</v>
      </c>
      <c r="X18" s="1">
        <f t="shared" si="0"/>
        <v>0</v>
      </c>
      <c r="Y18" s="1">
        <f t="shared" si="0"/>
        <v>0</v>
      </c>
      <c r="Z18" s="1">
        <f t="shared" si="1"/>
        <v>0</v>
      </c>
      <c r="AA18" s="4">
        <f t="shared" si="2"/>
        <v>0</v>
      </c>
    </row>
    <row r="19" spans="1:33" x14ac:dyDescent="0.25">
      <c r="D19" s="7"/>
      <c r="E19" s="2"/>
      <c r="F19" s="9"/>
      <c r="H19" s="5"/>
      <c r="J19" s="6"/>
      <c r="K19" s="17"/>
      <c r="X19" s="1">
        <f t="shared" si="0"/>
        <v>0</v>
      </c>
      <c r="Y19" s="1">
        <f t="shared" si="0"/>
        <v>0</v>
      </c>
      <c r="Z19" s="1">
        <f t="shared" si="1"/>
        <v>0</v>
      </c>
      <c r="AA19" s="4">
        <f t="shared" si="2"/>
        <v>0</v>
      </c>
    </row>
    <row r="20" spans="1:33" x14ac:dyDescent="0.25">
      <c r="D20" s="7"/>
      <c r="E20" s="2"/>
      <c r="F20" s="9"/>
      <c r="H20" s="5"/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0</v>
      </c>
    </row>
    <row r="21" spans="1:33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1:33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0.48050847457627116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12</v>
      </c>
      <c r="B35" t="s">
        <v>11</v>
      </c>
      <c r="C35">
        <v>1</v>
      </c>
      <c r="D35" s="7">
        <v>0</v>
      </c>
      <c r="E35" s="1">
        <v>0</v>
      </c>
      <c r="F35" s="7">
        <v>0</v>
      </c>
      <c r="G35" s="17">
        <v>16.799999237060501</v>
      </c>
      <c r="J35" s="11">
        <v>0.2</v>
      </c>
      <c r="K35" s="12">
        <f t="shared" ref="K35:K44" si="8">SLOPE($E$35:$E$58, $D$35:$D$58) * J35 + INTERCEPT($E$35:$E$58, $D$35:$D$58)</f>
        <v>1.7938652998891831</v>
      </c>
      <c r="X35" s="6"/>
      <c r="Y35" s="22">
        <f t="shared" si="7"/>
        <v>0.28074534161490677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>
        <v>3</v>
      </c>
      <c r="B36" t="s">
        <v>12</v>
      </c>
      <c r="C36">
        <v>2.2000000000000002</v>
      </c>
      <c r="D36" s="7">
        <f>C36-C35</f>
        <v>1.2000000000000002</v>
      </c>
      <c r="E36" s="24">
        <v>5.9699997901916504</v>
      </c>
      <c r="F36" s="9">
        <f t="shared" ref="F36:F62" si="14">D36*G36/3.6</f>
        <v>7.0666669209798005</v>
      </c>
      <c r="G36" s="17">
        <v>21.2000007629394</v>
      </c>
      <c r="H36" s="5"/>
      <c r="J36" s="11">
        <v>0.4</v>
      </c>
      <c r="K36" s="12">
        <f t="shared" si="8"/>
        <v>2.6639210579330008</v>
      </c>
      <c r="X36" s="6"/>
      <c r="Y36" s="22">
        <f t="shared" si="7"/>
        <v>4.7923322683706068E-2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>
        <v>5</v>
      </c>
      <c r="B37" t="s">
        <v>12</v>
      </c>
      <c r="C37">
        <v>3.52</v>
      </c>
      <c r="D37" s="7">
        <f t="shared" ref="D37:D62" si="15">C37-C36</f>
        <v>1.3199999999999998</v>
      </c>
      <c r="E37" s="24">
        <v>8.9899997711181605</v>
      </c>
      <c r="F37" s="9">
        <f t="shared" si="14"/>
        <v>7.5533334732055568</v>
      </c>
      <c r="G37" s="17">
        <v>20.600000381469702</v>
      </c>
      <c r="H37" s="5"/>
      <c r="J37" s="11">
        <v>0.6</v>
      </c>
      <c r="K37" s="12">
        <f t="shared" si="8"/>
        <v>3.5339768159768181</v>
      </c>
      <c r="Y37" s="22">
        <f t="shared" si="7"/>
        <v>0.46010101010101007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>
        <v>13</v>
      </c>
      <c r="B38" t="s">
        <v>10</v>
      </c>
      <c r="C38">
        <v>4.92</v>
      </c>
      <c r="D38" s="7">
        <f t="shared" si="15"/>
        <v>1.4</v>
      </c>
      <c r="E38" s="24">
        <v>5.5700001716613698</v>
      </c>
      <c r="F38" s="9">
        <f t="shared" si="14"/>
        <v>7.4666669633653218</v>
      </c>
      <c r="G38" s="17">
        <v>19.2000007629394</v>
      </c>
      <c r="H38" s="5"/>
      <c r="J38" s="11">
        <v>0.8</v>
      </c>
      <c r="K38" s="12">
        <f t="shared" si="8"/>
        <v>4.4040325740206363</v>
      </c>
      <c r="Y38" s="22">
        <f t="shared" si="7"/>
        <v>0.54502923976608186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A39">
        <v>58</v>
      </c>
      <c r="B39" t="s">
        <v>11</v>
      </c>
      <c r="C39">
        <v>5.72</v>
      </c>
      <c r="D39" s="7">
        <f t="shared" si="15"/>
        <v>0.79999999999999982</v>
      </c>
      <c r="E39" s="24">
        <v>4.7399997711181596</v>
      </c>
      <c r="F39" s="9">
        <f t="shared" si="14"/>
        <v>0</v>
      </c>
      <c r="G39" s="17">
        <v>0</v>
      </c>
      <c r="H39" s="5"/>
      <c r="J39" s="11">
        <v>1</v>
      </c>
      <c r="K39" s="12">
        <f t="shared" si="8"/>
        <v>5.2740883320644532</v>
      </c>
      <c r="Y39" s="22">
        <f t="shared" si="7"/>
        <v>0.55563909774436082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21</v>
      </c>
      <c r="B40" t="s">
        <v>12</v>
      </c>
      <c r="C40">
        <v>6.8</v>
      </c>
      <c r="D40" s="7">
        <f t="shared" si="15"/>
        <v>1.08</v>
      </c>
      <c r="E40" s="24">
        <v>10.039999961853001</v>
      </c>
      <c r="F40" s="9">
        <f t="shared" si="14"/>
        <v>6.8699998855590598</v>
      </c>
      <c r="G40" s="17">
        <v>22.899999618530199</v>
      </c>
      <c r="H40" s="5"/>
      <c r="J40" s="11">
        <v>1.2</v>
      </c>
      <c r="K40" s="12">
        <f t="shared" si="8"/>
        <v>6.1441440901082709</v>
      </c>
      <c r="Y40" s="22">
        <f t="shared" si="7"/>
        <v>0.63565573770491801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>
        <v>36</v>
      </c>
      <c r="B41" t="s">
        <v>12</v>
      </c>
      <c r="C41">
        <v>6.88</v>
      </c>
      <c r="D41" s="7">
        <f t="shared" si="15"/>
        <v>8.0000000000000071E-2</v>
      </c>
      <c r="E41" s="24">
        <v>-1.04999995231628</v>
      </c>
      <c r="F41" s="9">
        <f t="shared" si="14"/>
        <v>0.41777776082356699</v>
      </c>
      <c r="G41" s="17">
        <v>18.799999237060501</v>
      </c>
      <c r="H41" s="5"/>
      <c r="J41" s="11">
        <v>1.4</v>
      </c>
      <c r="K41" s="12">
        <f t="shared" si="8"/>
        <v>7.0141998481520877</v>
      </c>
      <c r="Y41" s="22">
        <f t="shared" si="7"/>
        <v>0.44133858267716541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>
        <v>79</v>
      </c>
      <c r="B42" t="s">
        <v>11</v>
      </c>
      <c r="C42">
        <v>8.1199999999999992</v>
      </c>
      <c r="D42" s="7">
        <f t="shared" si="15"/>
        <v>1.2399999999999993</v>
      </c>
      <c r="E42" s="24">
        <v>5.6799998283386204</v>
      </c>
      <c r="F42" s="9">
        <f t="shared" si="14"/>
        <v>0</v>
      </c>
      <c r="G42" s="17">
        <v>0</v>
      </c>
      <c r="H42" s="5"/>
      <c r="J42" s="11">
        <v>1.6</v>
      </c>
      <c r="K42" s="12">
        <f t="shared" si="8"/>
        <v>7.8842556061959064</v>
      </c>
      <c r="Y42" s="22">
        <f t="shared" si="7"/>
        <v>0.73656387665198231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>
        <v>20</v>
      </c>
      <c r="B43" t="s">
        <v>11</v>
      </c>
      <c r="C43">
        <v>8.6</v>
      </c>
      <c r="D43" s="7">
        <f t="shared" si="15"/>
        <v>0.48000000000000043</v>
      </c>
      <c r="E43" s="24">
        <v>-5.0000000745057997E-2</v>
      </c>
      <c r="F43" s="9">
        <f t="shared" si="14"/>
        <v>4.4799997965494702</v>
      </c>
      <c r="G43" s="17">
        <v>33.599998474121001</v>
      </c>
      <c r="H43" s="5"/>
      <c r="J43" s="11">
        <v>1.8</v>
      </c>
      <c r="K43" s="12">
        <f t="shared" si="8"/>
        <v>8.7543113642397223</v>
      </c>
      <c r="Y43" s="22">
        <f t="shared" si="7"/>
        <v>0.22719665271966527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A44">
        <v>50</v>
      </c>
      <c r="B44" t="s">
        <v>11</v>
      </c>
      <c r="C44">
        <v>9</v>
      </c>
      <c r="D44" s="7">
        <f t="shared" si="15"/>
        <v>0.40000000000000036</v>
      </c>
      <c r="E44" s="24">
        <v>4.5399999618530202</v>
      </c>
      <c r="F44" s="9">
        <f t="shared" si="14"/>
        <v>3.8111110263400585</v>
      </c>
      <c r="G44" s="17">
        <v>34.299999237060497</v>
      </c>
      <c r="H44" s="5"/>
      <c r="J44" s="11">
        <v>2</v>
      </c>
      <c r="K44" s="12">
        <f t="shared" si="8"/>
        <v>9.624367122283541</v>
      </c>
      <c r="Y44" s="22">
        <f t="shared" si="7"/>
        <v>0.29087136929460577</v>
      </c>
      <c r="Z44" s="1">
        <v>1.6799999999999997</v>
      </c>
    </row>
    <row r="45" spans="1:33" x14ac:dyDescent="0.25">
      <c r="A45">
        <v>84</v>
      </c>
      <c r="B45" t="s">
        <v>11</v>
      </c>
      <c r="C45">
        <v>9.1199999999999992</v>
      </c>
      <c r="D45" s="7">
        <f t="shared" si="15"/>
        <v>0.11999999999999922</v>
      </c>
      <c r="E45" s="24">
        <v>0.95999997854232699</v>
      </c>
      <c r="F45" s="9">
        <f t="shared" si="14"/>
        <v>0</v>
      </c>
      <c r="G45" s="17">
        <v>0</v>
      </c>
      <c r="H45" s="5"/>
      <c r="Y45" s="22">
        <f t="shared" si="7"/>
        <v>0.56237288135593222</v>
      </c>
      <c r="Z45" s="1">
        <v>1.6799999999999997</v>
      </c>
    </row>
    <row r="46" spans="1:33" x14ac:dyDescent="0.25">
      <c r="A46">
        <v>56</v>
      </c>
      <c r="B46" t="s">
        <v>12</v>
      </c>
      <c r="C46">
        <v>9.1999999999999993</v>
      </c>
      <c r="D46" s="7">
        <f t="shared" si="15"/>
        <v>8.0000000000000071E-2</v>
      </c>
      <c r="E46" s="24">
        <v>-1.75999999046325</v>
      </c>
      <c r="F46" s="9">
        <f t="shared" si="14"/>
        <v>0.37555554707844918</v>
      </c>
      <c r="G46" s="17">
        <v>16.899999618530199</v>
      </c>
      <c r="H46" s="5"/>
      <c r="J46" s="109" t="s">
        <v>66</v>
      </c>
      <c r="K46" s="109"/>
      <c r="Y46" s="22">
        <f t="shared" si="7"/>
        <v>0.62056737588652489</v>
      </c>
      <c r="Z46" s="1">
        <v>1</v>
      </c>
    </row>
    <row r="47" spans="1:33" x14ac:dyDescent="0.25">
      <c r="D47" s="7"/>
      <c r="E47" s="24"/>
      <c r="F47" s="9">
        <f t="shared" si="14"/>
        <v>0</v>
      </c>
      <c r="G47" s="17"/>
      <c r="H47" s="5"/>
      <c r="J47" s="63" t="s">
        <v>10</v>
      </c>
      <c r="K47" s="64">
        <f>AVERAGEIFS($G$35:$G$80, $B$35:$B$80, J47, $G$35:$G$80, "&lt;&gt;0")</f>
        <v>23.085714067731526</v>
      </c>
      <c r="Y47" s="22">
        <f t="shared" si="7"/>
        <v>0.50804597701149423</v>
      </c>
      <c r="Z47" s="1">
        <v>3.4400000000000013</v>
      </c>
    </row>
    <row r="48" spans="1:33" x14ac:dyDescent="0.25">
      <c r="A48">
        <v>51</v>
      </c>
      <c r="B48" t="s">
        <v>12</v>
      </c>
      <c r="C48">
        <v>9.8800000000000008</v>
      </c>
      <c r="D48" s="7"/>
      <c r="E48" s="24">
        <v>-2.9400000572204501</v>
      </c>
      <c r="F48" s="9">
        <f t="shared" si="14"/>
        <v>0</v>
      </c>
      <c r="G48" s="17">
        <v>24.2000007629394</v>
      </c>
      <c r="H48" s="5"/>
      <c r="J48" s="63" t="s">
        <v>11</v>
      </c>
      <c r="K48" s="64">
        <f t="shared" ref="K48:K49" si="16">AVERAGEIFS($G$35:$G$80, $B$35:$B$80, J48, $G$35:$G$80, "&lt;&gt;0")</f>
        <v>23.899999830457869</v>
      </c>
      <c r="Y48" s="22" t="e">
        <f t="shared" si="7"/>
        <v>#DIV/0!</v>
      </c>
      <c r="Z48" s="1">
        <v>1.1999999999999993</v>
      </c>
    </row>
    <row r="49" spans="1:26" x14ac:dyDescent="0.25">
      <c r="A49">
        <v>97</v>
      </c>
      <c r="B49" t="s">
        <v>11</v>
      </c>
      <c r="C49">
        <v>11</v>
      </c>
      <c r="D49" s="7">
        <f t="shared" si="15"/>
        <v>1.1199999999999992</v>
      </c>
      <c r="E49" s="24">
        <v>9.6400003433227504</v>
      </c>
      <c r="F49" s="9">
        <f t="shared" si="14"/>
        <v>1.3066666073269282</v>
      </c>
      <c r="G49" s="17">
        <v>4.1999998092651296</v>
      </c>
      <c r="H49" s="5"/>
      <c r="J49" s="63" t="s">
        <v>12</v>
      </c>
      <c r="K49" s="64">
        <f t="shared" si="16"/>
        <v>20.7666667302449</v>
      </c>
      <c r="Y49" s="22" t="e">
        <f t="shared" si="7"/>
        <v>#DIV/0!</v>
      </c>
      <c r="Z49" s="1">
        <v>2.6799999999999997</v>
      </c>
    </row>
    <row r="50" spans="1:26" x14ac:dyDescent="0.25">
      <c r="A50">
        <v>76</v>
      </c>
      <c r="B50" t="s">
        <v>11</v>
      </c>
      <c r="C50">
        <v>11.2</v>
      </c>
      <c r="D50" s="7">
        <f t="shared" si="15"/>
        <v>0.19999999999999929</v>
      </c>
      <c r="E50" s="24">
        <v>0.28000000119209201</v>
      </c>
      <c r="F50" s="9">
        <f t="shared" si="14"/>
        <v>1.272222201029451</v>
      </c>
      <c r="G50" s="17">
        <v>22.899999618530199</v>
      </c>
      <c r="H50" s="5"/>
      <c r="Y50" s="22" t="e">
        <f t="shared" si="7"/>
        <v>#DIV/0!</v>
      </c>
      <c r="Z50" s="1">
        <v>1.5999999999999979</v>
      </c>
    </row>
    <row r="51" spans="1:26" x14ac:dyDescent="0.25">
      <c r="A51">
        <v>94</v>
      </c>
      <c r="B51" t="s">
        <v>11</v>
      </c>
      <c r="C51">
        <v>11.68</v>
      </c>
      <c r="D51" s="7">
        <f t="shared" si="15"/>
        <v>0.48000000000000043</v>
      </c>
      <c r="E51" s="24">
        <v>2.45000004768371</v>
      </c>
      <c r="F51" s="9">
        <f t="shared" si="14"/>
        <v>1.0400000254313155</v>
      </c>
      <c r="G51" s="17">
        <v>7.8000001907348597</v>
      </c>
      <c r="H51" s="5"/>
      <c r="Y51" s="22" t="e">
        <f t="shared" si="7"/>
        <v>#DIV/0!</v>
      </c>
      <c r="Z51" s="1">
        <v>1.6000000000000014</v>
      </c>
    </row>
    <row r="52" spans="1:26" x14ac:dyDescent="0.25">
      <c r="A52">
        <v>96</v>
      </c>
      <c r="B52" t="s">
        <v>11</v>
      </c>
      <c r="C52">
        <v>12.12</v>
      </c>
      <c r="D52" s="7">
        <f t="shared" si="15"/>
        <v>0.4399999999999995</v>
      </c>
      <c r="E52" s="24">
        <v>1.75999999046325</v>
      </c>
      <c r="F52" s="9">
        <f t="shared" si="14"/>
        <v>3.067777824401849</v>
      </c>
      <c r="G52" s="17">
        <v>25.100000381469702</v>
      </c>
      <c r="H52" s="5"/>
      <c r="Y52" s="22" t="e">
        <f t="shared" si="7"/>
        <v>#DIV/0!</v>
      </c>
      <c r="Z52" s="1">
        <v>1.2000000000000028</v>
      </c>
    </row>
    <row r="53" spans="1:26" x14ac:dyDescent="0.25">
      <c r="A53">
        <v>92</v>
      </c>
      <c r="B53" t="s">
        <v>10</v>
      </c>
      <c r="C53">
        <v>16.12</v>
      </c>
      <c r="D53" s="7">
        <f t="shared" si="15"/>
        <v>4.0000000000000018</v>
      </c>
      <c r="E53" s="24">
        <v>12.899999618530201</v>
      </c>
      <c r="F53" s="9">
        <f t="shared" si="14"/>
        <v>23.222221798366899</v>
      </c>
      <c r="G53" s="17">
        <v>20.899999618530199</v>
      </c>
      <c r="H53" s="5"/>
      <c r="Y53" s="22" t="e">
        <f t="shared" si="7"/>
        <v>#DIV/0!</v>
      </c>
      <c r="Z53" s="1">
        <v>0.79999999999999716</v>
      </c>
    </row>
    <row r="54" spans="1:26" x14ac:dyDescent="0.25">
      <c r="A54">
        <v>134</v>
      </c>
      <c r="B54" t="s">
        <v>11</v>
      </c>
      <c r="C54">
        <v>19.2</v>
      </c>
      <c r="D54" s="7">
        <f t="shared" si="15"/>
        <v>3.0799999999999983</v>
      </c>
      <c r="E54" s="24">
        <v>17.090000152587798</v>
      </c>
      <c r="F54" s="9">
        <f t="shared" si="14"/>
        <v>32.853334638807482</v>
      </c>
      <c r="G54" s="17">
        <v>38.400001525878899</v>
      </c>
      <c r="H54" s="5"/>
      <c r="Y54" s="22" t="e">
        <f t="shared" si="7"/>
        <v>#DIV/0!</v>
      </c>
      <c r="Z54" s="1">
        <v>1.4799999999999969</v>
      </c>
    </row>
    <row r="55" spans="1:26" x14ac:dyDescent="0.25">
      <c r="A55">
        <v>131</v>
      </c>
      <c r="B55" t="s">
        <v>41</v>
      </c>
      <c r="C55">
        <v>20</v>
      </c>
      <c r="D55" s="7">
        <f t="shared" si="15"/>
        <v>0.80000000000000071</v>
      </c>
      <c r="E55" s="24">
        <v>6.8099999427795401</v>
      </c>
      <c r="F55" s="9">
        <f t="shared" si="14"/>
        <v>3.0222223069932692</v>
      </c>
      <c r="G55" s="17">
        <v>13.6000003814697</v>
      </c>
      <c r="H55" s="5"/>
      <c r="Y55" s="22" t="e">
        <f t="shared" si="7"/>
        <v>#DIV/0!</v>
      </c>
      <c r="Z55" s="1">
        <v>0.80000000000000426</v>
      </c>
    </row>
    <row r="56" spans="1:26" x14ac:dyDescent="0.25">
      <c r="A56">
        <v>138</v>
      </c>
      <c r="B56" t="s">
        <v>11</v>
      </c>
      <c r="C56">
        <v>21.2</v>
      </c>
      <c r="D56" s="7">
        <f t="shared" si="15"/>
        <v>1.1999999999999993</v>
      </c>
      <c r="E56" s="24">
        <v>4.8899998664855904</v>
      </c>
      <c r="F56" s="9">
        <f t="shared" si="14"/>
        <v>10.666666666666661</v>
      </c>
      <c r="G56" s="17">
        <v>32</v>
      </c>
      <c r="H56" s="5"/>
      <c r="Y56" s="22" t="e">
        <f t="shared" si="7"/>
        <v>#DIV/0!</v>
      </c>
      <c r="Z56" s="1">
        <v>6</v>
      </c>
    </row>
    <row r="57" spans="1:26" x14ac:dyDescent="0.25">
      <c r="A57">
        <v>139</v>
      </c>
      <c r="B57" t="s">
        <v>10</v>
      </c>
      <c r="C57">
        <v>22.12</v>
      </c>
      <c r="D57" s="7">
        <f t="shared" si="15"/>
        <v>0.92000000000000171</v>
      </c>
      <c r="E57" s="24">
        <v>6.5</v>
      </c>
      <c r="F57" s="9">
        <f t="shared" si="14"/>
        <v>6.567777972751192</v>
      </c>
      <c r="G57" s="17">
        <v>25.7000007629394</v>
      </c>
      <c r="H57" s="5"/>
      <c r="Y57" s="22"/>
    </row>
    <row r="58" spans="1:26" x14ac:dyDescent="0.25">
      <c r="A58">
        <v>147</v>
      </c>
      <c r="B58" t="s">
        <v>10</v>
      </c>
      <c r="C58">
        <v>23.88</v>
      </c>
      <c r="D58" s="7">
        <f t="shared" si="15"/>
        <v>1.759999999999998</v>
      </c>
      <c r="E58" s="24">
        <v>10.949999809265099</v>
      </c>
      <c r="F58" s="9">
        <f t="shared" si="14"/>
        <v>11.43999981350364</v>
      </c>
      <c r="G58" s="17">
        <v>23.399999618530199</v>
      </c>
      <c r="H58" s="5"/>
    </row>
    <row r="59" spans="1:26" x14ac:dyDescent="0.25">
      <c r="A59">
        <v>160</v>
      </c>
      <c r="B59" t="s">
        <v>10</v>
      </c>
      <c r="C59">
        <v>26.08</v>
      </c>
      <c r="D59" s="7">
        <f t="shared" si="15"/>
        <v>2.1999999999999993</v>
      </c>
      <c r="E59" s="24">
        <v>12.8400001525878</v>
      </c>
      <c r="F59" s="9">
        <f t="shared" si="14"/>
        <v>16.377777311536967</v>
      </c>
      <c r="G59" s="17">
        <v>26.799999237060501</v>
      </c>
      <c r="H59" s="5"/>
    </row>
    <row r="60" spans="1:26" x14ac:dyDescent="0.25">
      <c r="A60">
        <v>157</v>
      </c>
      <c r="B60" t="s">
        <v>10</v>
      </c>
      <c r="C60">
        <v>29.32</v>
      </c>
      <c r="D60" s="7">
        <f t="shared" si="15"/>
        <v>3.240000000000002</v>
      </c>
      <c r="E60" s="24">
        <v>13.579999923706</v>
      </c>
      <c r="F60" s="9">
        <f t="shared" si="14"/>
        <v>18.269999313354461</v>
      </c>
      <c r="G60" s="17">
        <v>20.299999237060501</v>
      </c>
      <c r="H60" s="5"/>
    </row>
    <row r="61" spans="1:26" x14ac:dyDescent="0.25">
      <c r="A61">
        <v>172</v>
      </c>
      <c r="B61" t="s">
        <v>36</v>
      </c>
      <c r="C61">
        <v>30.72</v>
      </c>
      <c r="D61" s="7">
        <f t="shared" si="15"/>
        <v>1.3999999999999986</v>
      </c>
      <c r="E61" s="24">
        <v>10.369999885559</v>
      </c>
      <c r="F61" s="9">
        <f t="shared" si="14"/>
        <v>6.8833336300319816</v>
      </c>
      <c r="G61" s="17">
        <v>17.7000007629394</v>
      </c>
      <c r="H61" s="5"/>
    </row>
    <row r="62" spans="1:26" x14ac:dyDescent="0.25">
      <c r="A62">
        <v>192</v>
      </c>
      <c r="B62" t="s">
        <v>10</v>
      </c>
      <c r="C62">
        <v>33.880000000000003</v>
      </c>
      <c r="D62" s="7">
        <f t="shared" si="15"/>
        <v>3.1600000000000037</v>
      </c>
      <c r="E62" s="24">
        <v>12.039999961853001</v>
      </c>
      <c r="F62" s="9">
        <f t="shared" si="14"/>
        <v>22.207777108086468</v>
      </c>
      <c r="G62" s="17">
        <v>25.299999237060501</v>
      </c>
      <c r="H62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{2F3AEB26-888F-4CF9-BD9E-94AF81536F56}</x14:id>
        </ext>
      </extLst>
    </cfRule>
  </conditionalFormatting>
  <conditionalFormatting sqref="G35:G62 F3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{4C5C161A-8002-481F-B366-62B792EBEFDD}</x14:id>
        </ext>
      </extLst>
    </cfRule>
  </conditionalFormatting>
  <conditionalFormatting sqref="K3:K13">
    <cfRule type="cellIs" dxfId="89" priority="11" operator="between">
      <formula>4</formula>
      <formula>5</formula>
    </cfRule>
    <cfRule type="cellIs" dxfId="88" priority="12" operator="lessThan">
      <formula>3.99</formula>
    </cfRule>
    <cfRule type="cellIs" dxfId="87" priority="13" operator="greaterThan">
      <formula>5</formula>
    </cfRule>
  </conditionalFormatting>
  <conditionalFormatting sqref="K34:K44">
    <cfRule type="cellIs" dxfId="86" priority="7" operator="between">
      <formula>4</formula>
      <formula>5</formula>
    </cfRule>
    <cfRule type="cellIs" dxfId="85" priority="8" operator="lessThan">
      <formula>3.99</formula>
    </cfRule>
    <cfRule type="cellIs" dxfId="84" priority="9" operator="greaterThan">
      <formula>5</formula>
    </cfRule>
  </conditionalFormatting>
  <conditionalFormatting sqref="AC33:AG43">
    <cfRule type="cellIs" dxfId="83" priority="1" operator="between">
      <formula>4</formula>
      <formula>5</formula>
    </cfRule>
    <cfRule type="cellIs" dxfId="82" priority="2" operator="lessThan">
      <formula>3.99</formula>
    </cfRule>
    <cfRule type="cellIs" dxfId="81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3AEB26-888F-4CF9-BD9E-94AF81536F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4C5C161A-8002-481F-B366-62B792EBEF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G35:G62 F35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B7DA-CE15-4D4A-9507-E7FAC0F4AB0F}">
  <sheetPr codeName="Sheet6"/>
  <dimension ref="A1:AG83"/>
  <sheetViews>
    <sheetView workbookViewId="0">
      <selection activeCell="D20" sqref="D20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2</v>
      </c>
      <c r="B3" t="s">
        <v>10</v>
      </c>
      <c r="C3">
        <v>3.4</v>
      </c>
      <c r="D3" s="7">
        <v>0</v>
      </c>
      <c r="E3" s="1">
        <v>0</v>
      </c>
      <c r="F3" s="7">
        <v>0</v>
      </c>
      <c r="G3">
        <v>21.4</v>
      </c>
      <c r="J3" s="11">
        <v>0</v>
      </c>
      <c r="K3" s="11">
        <v>0</v>
      </c>
      <c r="X3" s="1">
        <f t="shared" ref="X3:Y27" si="0">D4</f>
        <v>2.8800000000000003</v>
      </c>
      <c r="Y3" s="1">
        <f t="shared" si="0"/>
        <v>16.64</v>
      </c>
      <c r="Z3" s="1">
        <f t="shared" ref="Z3:Z27" si="1">G4</f>
        <v>19.100000000000001</v>
      </c>
      <c r="AA3" s="4">
        <f t="shared" ref="AA3:AA27" si="2">G3</f>
        <v>21.4</v>
      </c>
      <c r="AB3" s="1" t="s">
        <v>10</v>
      </c>
      <c r="AC3" s="1" t="s">
        <v>10</v>
      </c>
    </row>
    <row r="4" spans="1:29" x14ac:dyDescent="0.25">
      <c r="A4">
        <v>13</v>
      </c>
      <c r="B4" t="s">
        <v>10</v>
      </c>
      <c r="C4">
        <v>6.28</v>
      </c>
      <c r="D4" s="7">
        <f>C4-C3</f>
        <v>2.8800000000000003</v>
      </c>
      <c r="E4" s="2">
        <v>16.64</v>
      </c>
      <c r="F4" s="9">
        <f t="shared" ref="F4:F22" si="3">D4*G4/3.6</f>
        <v>15.280000000000003</v>
      </c>
      <c r="G4">
        <v>19.100000000000001</v>
      </c>
      <c r="H4" s="5"/>
      <c r="J4" s="11">
        <v>0.2</v>
      </c>
      <c r="K4" s="12">
        <f>SLOPE($E$3:$E$27, $D$3:$D$27) * J4 + INTERCEPT($E$3:$E$27, $D$3:$D$27)</f>
        <v>1.9474918860852048</v>
      </c>
      <c r="X4" s="1">
        <f t="shared" si="0"/>
        <v>0.20000000000000018</v>
      </c>
      <c r="Y4" s="1">
        <f t="shared" si="0"/>
        <v>1.67</v>
      </c>
      <c r="Z4" s="1">
        <f t="shared" si="1"/>
        <v>14.8</v>
      </c>
      <c r="AA4" s="4">
        <f t="shared" si="2"/>
        <v>19.100000000000001</v>
      </c>
      <c r="AB4" s="1" t="s">
        <v>10</v>
      </c>
      <c r="AC4" s="1" t="s">
        <v>10</v>
      </c>
    </row>
    <row r="5" spans="1:29" x14ac:dyDescent="0.25">
      <c r="A5">
        <v>3</v>
      </c>
      <c r="B5" t="s">
        <v>10</v>
      </c>
      <c r="C5">
        <v>6.48</v>
      </c>
      <c r="D5" s="7">
        <f t="shared" ref="D5:D22" si="4">C5-C4</f>
        <v>0.20000000000000018</v>
      </c>
      <c r="E5" s="2">
        <v>1.67</v>
      </c>
      <c r="F5" s="9">
        <f t="shared" si="3"/>
        <v>0.82222222222222296</v>
      </c>
      <c r="G5">
        <v>14.8</v>
      </c>
      <c r="H5" s="5"/>
      <c r="J5" s="11">
        <v>0.4</v>
      </c>
      <c r="K5" s="12">
        <f t="shared" ref="K5:K13" si="5">SLOPE($E$3:$E$27, $D$3:$D$27) * J5 + INTERCEPT($E$3:$E$27, $D$3:$D$27)</f>
        <v>2.9077725589687309</v>
      </c>
      <c r="X5" s="1">
        <f t="shared" si="0"/>
        <v>3.0399999999999991</v>
      </c>
      <c r="Y5" s="1">
        <f t="shared" si="0"/>
        <v>12.69</v>
      </c>
      <c r="Z5" s="1">
        <f t="shared" si="1"/>
        <v>20.2</v>
      </c>
      <c r="AA5" s="4">
        <f t="shared" si="2"/>
        <v>14.8</v>
      </c>
      <c r="AB5" s="1" t="s">
        <v>10</v>
      </c>
      <c r="AC5" s="1" t="s">
        <v>10</v>
      </c>
    </row>
    <row r="6" spans="1:29" x14ac:dyDescent="0.25">
      <c r="A6">
        <v>18</v>
      </c>
      <c r="B6" t="s">
        <v>10</v>
      </c>
      <c r="C6">
        <v>9.52</v>
      </c>
      <c r="D6" s="7">
        <f t="shared" si="4"/>
        <v>3.0399999999999991</v>
      </c>
      <c r="E6" s="2">
        <v>12.69</v>
      </c>
      <c r="F6" s="9">
        <f t="shared" si="3"/>
        <v>17.057777777777773</v>
      </c>
      <c r="G6">
        <v>20.2</v>
      </c>
      <c r="H6" s="5"/>
      <c r="J6" s="11">
        <v>0.6</v>
      </c>
      <c r="K6" s="12">
        <f t="shared" si="5"/>
        <v>3.8680532318522567</v>
      </c>
      <c r="X6" s="1">
        <f t="shared" si="0"/>
        <v>0.36000000000000121</v>
      </c>
      <c r="Y6" s="1">
        <f t="shared" si="0"/>
        <v>3.69</v>
      </c>
      <c r="Z6" s="1">
        <f t="shared" si="1"/>
        <v>19.399999999999999</v>
      </c>
      <c r="AA6" s="4">
        <f t="shared" si="2"/>
        <v>20.2</v>
      </c>
    </row>
    <row r="7" spans="1:29" x14ac:dyDescent="0.25">
      <c r="A7">
        <v>48</v>
      </c>
      <c r="B7" t="s">
        <v>11</v>
      </c>
      <c r="C7">
        <v>9.8800000000000008</v>
      </c>
      <c r="D7" s="7">
        <f t="shared" si="4"/>
        <v>0.36000000000000121</v>
      </c>
      <c r="E7" s="2">
        <v>3.69</v>
      </c>
      <c r="F7" s="9">
        <f t="shared" si="3"/>
        <v>1.9400000000000064</v>
      </c>
      <c r="G7">
        <v>19.399999999999999</v>
      </c>
      <c r="H7" s="5"/>
      <c r="J7" s="11">
        <v>0.8</v>
      </c>
      <c r="K7" s="12">
        <f t="shared" si="5"/>
        <v>4.8283339047357829</v>
      </c>
      <c r="X7" s="1">
        <f t="shared" si="0"/>
        <v>2.0399999999999991</v>
      </c>
      <c r="Y7" s="1">
        <f t="shared" si="0"/>
        <v>11.06</v>
      </c>
      <c r="Z7" s="1">
        <f t="shared" si="1"/>
        <v>20.6</v>
      </c>
      <c r="AA7" s="4">
        <f t="shared" si="2"/>
        <v>19.399999999999999</v>
      </c>
    </row>
    <row r="8" spans="1:29" x14ac:dyDescent="0.25">
      <c r="A8">
        <v>32</v>
      </c>
      <c r="B8" t="s">
        <v>10</v>
      </c>
      <c r="C8">
        <v>11.92</v>
      </c>
      <c r="D8" s="7">
        <f>C8-C7</f>
        <v>2.0399999999999991</v>
      </c>
      <c r="E8" s="2">
        <v>11.06</v>
      </c>
      <c r="F8" s="9">
        <f t="shared" si="3"/>
        <v>11.67333333333333</v>
      </c>
      <c r="G8">
        <v>20.6</v>
      </c>
      <c r="H8" s="5"/>
      <c r="J8" s="11">
        <v>1</v>
      </c>
      <c r="K8" s="12">
        <f t="shared" si="5"/>
        <v>5.7886145776193088</v>
      </c>
      <c r="X8" s="1">
        <f t="shared" si="0"/>
        <v>1.3599999999999994</v>
      </c>
      <c r="Y8" s="1">
        <f t="shared" si="0"/>
        <v>8.36</v>
      </c>
      <c r="Z8" s="1">
        <f t="shared" si="1"/>
        <v>22.1</v>
      </c>
      <c r="AA8" s="4">
        <f t="shared" si="2"/>
        <v>20.6</v>
      </c>
    </row>
    <row r="9" spans="1:29" x14ac:dyDescent="0.25">
      <c r="A9">
        <v>54</v>
      </c>
      <c r="B9" t="s">
        <v>10</v>
      </c>
      <c r="C9">
        <v>13.28</v>
      </c>
      <c r="D9" s="7">
        <f t="shared" si="4"/>
        <v>1.3599999999999994</v>
      </c>
      <c r="E9" s="2">
        <v>8.36</v>
      </c>
      <c r="F9" s="9">
        <f t="shared" si="3"/>
        <v>8.3488888888888866</v>
      </c>
      <c r="G9">
        <v>22.1</v>
      </c>
      <c r="H9" s="5"/>
      <c r="J9" s="11">
        <v>1.2</v>
      </c>
      <c r="K9" s="12">
        <f t="shared" si="5"/>
        <v>6.7488952505028346</v>
      </c>
      <c r="X9" s="1">
        <f t="shared" si="0"/>
        <v>1.92</v>
      </c>
      <c r="Y9" s="1">
        <f t="shared" si="0"/>
        <v>12.19</v>
      </c>
      <c r="Z9" s="1">
        <f t="shared" si="1"/>
        <v>19</v>
      </c>
      <c r="AA9" s="4">
        <f t="shared" si="2"/>
        <v>22.1</v>
      </c>
    </row>
    <row r="10" spans="1:29" x14ac:dyDescent="0.25">
      <c r="A10">
        <v>72</v>
      </c>
      <c r="B10" t="s">
        <v>12</v>
      </c>
      <c r="C10">
        <v>15.2</v>
      </c>
      <c r="D10" s="7">
        <f t="shared" si="4"/>
        <v>1.92</v>
      </c>
      <c r="E10" s="2">
        <v>12.19</v>
      </c>
      <c r="F10" s="9">
        <f t="shared" si="3"/>
        <v>10.133333333333333</v>
      </c>
      <c r="G10">
        <v>19</v>
      </c>
      <c r="H10" s="5"/>
      <c r="J10" s="11">
        <v>1.4</v>
      </c>
      <c r="K10" s="12">
        <f t="shared" si="5"/>
        <v>7.7091759233863604</v>
      </c>
      <c r="X10" s="1">
        <f t="shared" si="0"/>
        <v>0.20000000000000107</v>
      </c>
      <c r="Y10" s="1">
        <f t="shared" si="0"/>
        <v>1.63</v>
      </c>
      <c r="Z10" s="1">
        <f t="shared" si="1"/>
        <v>25.9</v>
      </c>
      <c r="AA10" s="4">
        <f t="shared" si="2"/>
        <v>19</v>
      </c>
    </row>
    <row r="11" spans="1:29" x14ac:dyDescent="0.25">
      <c r="A11">
        <v>71</v>
      </c>
      <c r="B11" t="s">
        <v>10</v>
      </c>
      <c r="C11">
        <v>15.4</v>
      </c>
      <c r="D11" s="7">
        <f t="shared" si="4"/>
        <v>0.20000000000000107</v>
      </c>
      <c r="E11" s="2">
        <v>1.63</v>
      </c>
      <c r="F11" s="9">
        <f t="shared" si="3"/>
        <v>1.4388888888888964</v>
      </c>
      <c r="G11">
        <v>25.9</v>
      </c>
      <c r="H11" s="5"/>
      <c r="J11" s="11">
        <v>1.6</v>
      </c>
      <c r="K11" s="12">
        <f t="shared" si="5"/>
        <v>8.6694565962698871</v>
      </c>
      <c r="X11" s="1">
        <f t="shared" si="0"/>
        <v>2.9999999999999982</v>
      </c>
      <c r="Y11" s="1">
        <f t="shared" si="0"/>
        <v>18.95</v>
      </c>
      <c r="Z11" s="1">
        <f t="shared" si="1"/>
        <v>31</v>
      </c>
      <c r="AA11" s="4">
        <f t="shared" si="2"/>
        <v>25.9</v>
      </c>
    </row>
    <row r="12" spans="1:29" x14ac:dyDescent="0.25">
      <c r="A12">
        <v>130</v>
      </c>
      <c r="B12" t="s">
        <v>11</v>
      </c>
      <c r="C12">
        <v>18.399999999999999</v>
      </c>
      <c r="D12" s="7">
        <f t="shared" si="4"/>
        <v>2.9999999999999982</v>
      </c>
      <c r="E12" s="2">
        <v>18.95</v>
      </c>
      <c r="F12" s="9">
        <f t="shared" si="3"/>
        <v>25.833333333333318</v>
      </c>
      <c r="G12">
        <v>31</v>
      </c>
      <c r="H12" s="5"/>
      <c r="J12" s="11">
        <v>1.8</v>
      </c>
      <c r="K12" s="12">
        <f t="shared" si="5"/>
        <v>9.6297372691534129</v>
      </c>
      <c r="X12" s="1">
        <f t="shared" si="0"/>
        <v>0</v>
      </c>
      <c r="Y12" s="1">
        <f t="shared" si="0"/>
        <v>0</v>
      </c>
      <c r="Z12" s="1">
        <f t="shared" si="1"/>
        <v>0</v>
      </c>
      <c r="AA12" s="4">
        <f t="shared" si="2"/>
        <v>31</v>
      </c>
    </row>
    <row r="13" spans="1:29" x14ac:dyDescent="0.25">
      <c r="D13" s="7"/>
      <c r="E13" s="2"/>
      <c r="F13" s="9"/>
      <c r="H13" s="5"/>
      <c r="J13" s="11">
        <v>2</v>
      </c>
      <c r="K13" s="12">
        <f t="shared" si="5"/>
        <v>10.590017942036939</v>
      </c>
      <c r="X13" s="1">
        <f t="shared" si="0"/>
        <v>0</v>
      </c>
      <c r="Y13" s="1">
        <f t="shared" si="0"/>
        <v>0.21</v>
      </c>
      <c r="Z13" s="1">
        <f t="shared" si="1"/>
        <v>0</v>
      </c>
      <c r="AA13" s="4">
        <f t="shared" si="2"/>
        <v>0</v>
      </c>
    </row>
    <row r="14" spans="1:29" x14ac:dyDescent="0.25">
      <c r="A14">
        <v>169</v>
      </c>
      <c r="B14" t="s">
        <v>36</v>
      </c>
      <c r="C14">
        <v>18.48</v>
      </c>
      <c r="D14" s="7"/>
      <c r="E14" s="2">
        <v>0.21</v>
      </c>
      <c r="F14" s="9">
        <f t="shared" si="3"/>
        <v>0</v>
      </c>
      <c r="G14">
        <v>0</v>
      </c>
      <c r="H14" s="5"/>
      <c r="X14" s="1">
        <f t="shared" si="0"/>
        <v>1.1999999999999993</v>
      </c>
      <c r="Y14" s="1">
        <f t="shared" si="0"/>
        <v>1.61</v>
      </c>
      <c r="Z14" s="1">
        <f t="shared" si="1"/>
        <v>33.700000000000003</v>
      </c>
      <c r="AA14" s="4">
        <f t="shared" si="2"/>
        <v>0</v>
      </c>
    </row>
    <row r="15" spans="1:29" x14ac:dyDescent="0.25">
      <c r="A15">
        <v>146</v>
      </c>
      <c r="B15" t="s">
        <v>11</v>
      </c>
      <c r="C15">
        <v>19.68</v>
      </c>
      <c r="D15" s="7">
        <f>C15-C14</f>
        <v>1.1999999999999993</v>
      </c>
      <c r="E15" s="2">
        <v>1.61</v>
      </c>
      <c r="F15" s="9">
        <f t="shared" si="3"/>
        <v>11.233333333333327</v>
      </c>
      <c r="G15">
        <v>33.700000000000003</v>
      </c>
      <c r="H15" s="5"/>
      <c r="J15" s="109" t="s">
        <v>66</v>
      </c>
      <c r="K15" s="109"/>
      <c r="X15" s="1">
        <f t="shared" si="0"/>
        <v>2.8000000000000007</v>
      </c>
      <c r="Y15" s="1">
        <f t="shared" si="0"/>
        <v>15.55</v>
      </c>
      <c r="Z15" s="1">
        <f t="shared" si="1"/>
        <v>23.8</v>
      </c>
      <c r="AA15" s="4">
        <f t="shared" si="2"/>
        <v>33.700000000000003</v>
      </c>
    </row>
    <row r="16" spans="1:29" x14ac:dyDescent="0.25">
      <c r="A16">
        <v>166</v>
      </c>
      <c r="B16" t="s">
        <v>10</v>
      </c>
      <c r="C16">
        <v>22.48</v>
      </c>
      <c r="D16" s="7">
        <f t="shared" si="4"/>
        <v>2.8000000000000007</v>
      </c>
      <c r="E16" s="2">
        <v>15.55</v>
      </c>
      <c r="F16" s="9">
        <f t="shared" si="3"/>
        <v>18.511111111111116</v>
      </c>
      <c r="G16">
        <v>23.8</v>
      </c>
      <c r="H16" s="5"/>
      <c r="J16" s="63" t="s">
        <v>10</v>
      </c>
      <c r="K16" s="64">
        <f>AVERAGEIFS($G$3:$G$30, $B$3:$B$30, J16, $G$3:$G$30, "&lt;&gt;0")</f>
        <v>22.161538461538463</v>
      </c>
      <c r="X16" s="1">
        <f t="shared" si="0"/>
        <v>1.4400000000000013</v>
      </c>
      <c r="Y16" s="1">
        <f t="shared" si="0"/>
        <v>11.96</v>
      </c>
      <c r="Z16" s="1">
        <f t="shared" si="1"/>
        <v>29.4</v>
      </c>
      <c r="AA16" s="4">
        <f t="shared" si="2"/>
        <v>23.8</v>
      </c>
    </row>
    <row r="17" spans="1:33" x14ac:dyDescent="0.25">
      <c r="A17">
        <v>162</v>
      </c>
      <c r="B17" t="s">
        <v>10</v>
      </c>
      <c r="C17">
        <v>23.92</v>
      </c>
      <c r="D17" s="7">
        <f t="shared" si="4"/>
        <v>1.4400000000000013</v>
      </c>
      <c r="E17" s="2">
        <v>11.96</v>
      </c>
      <c r="F17" s="9">
        <f t="shared" si="3"/>
        <v>11.760000000000009</v>
      </c>
      <c r="G17">
        <v>29.4</v>
      </c>
      <c r="H17" s="5"/>
      <c r="J17" s="63" t="s">
        <v>11</v>
      </c>
      <c r="K17" s="64">
        <f t="shared" ref="K17:K18" si="6">AVERAGEIFS($G$3:$G$30, $B$3:$B$30, J17, $G$3:$G$30, "&lt;&gt;0")</f>
        <v>28.033333333333331</v>
      </c>
      <c r="X17" s="1">
        <f t="shared" si="0"/>
        <v>2.2799999999999976</v>
      </c>
      <c r="Y17" s="1">
        <f t="shared" si="0"/>
        <v>13.82</v>
      </c>
      <c r="Z17" s="1">
        <f t="shared" si="1"/>
        <v>27.5</v>
      </c>
      <c r="AA17" s="4">
        <f t="shared" si="2"/>
        <v>29.4</v>
      </c>
    </row>
    <row r="18" spans="1:33" x14ac:dyDescent="0.25">
      <c r="A18">
        <v>211</v>
      </c>
      <c r="B18" t="s">
        <v>10</v>
      </c>
      <c r="C18">
        <v>26.2</v>
      </c>
      <c r="D18" s="7">
        <f t="shared" si="4"/>
        <v>2.2799999999999976</v>
      </c>
      <c r="E18" s="2">
        <v>13.82</v>
      </c>
      <c r="F18" s="9">
        <f t="shared" si="3"/>
        <v>17.416666666666647</v>
      </c>
      <c r="G18">
        <v>27.5</v>
      </c>
      <c r="H18" s="5"/>
      <c r="J18" s="63" t="s">
        <v>12</v>
      </c>
      <c r="K18" s="64">
        <f t="shared" si="6"/>
        <v>19</v>
      </c>
      <c r="X18" s="1">
        <f t="shared" si="0"/>
        <v>0</v>
      </c>
      <c r="Y18" s="1">
        <f t="shared" si="0"/>
        <v>0</v>
      </c>
      <c r="Z18" s="1">
        <f t="shared" si="1"/>
        <v>0</v>
      </c>
      <c r="AA18" s="4">
        <f t="shared" si="2"/>
        <v>27.5</v>
      </c>
    </row>
    <row r="19" spans="1:33" x14ac:dyDescent="0.25">
      <c r="D19" s="7"/>
      <c r="E19" s="2"/>
      <c r="F19" s="9"/>
      <c r="H19" s="5"/>
      <c r="J19" s="6"/>
      <c r="K19" s="17"/>
      <c r="X19" s="1">
        <f t="shared" si="0"/>
        <v>0</v>
      </c>
      <c r="Y19" s="1">
        <f t="shared" si="0"/>
        <v>0.61</v>
      </c>
      <c r="Z19" s="1">
        <f t="shared" si="1"/>
        <v>33.1</v>
      </c>
      <c r="AA19" s="4">
        <f t="shared" si="2"/>
        <v>0</v>
      </c>
    </row>
    <row r="20" spans="1:33" x14ac:dyDescent="0.25">
      <c r="A20">
        <v>160</v>
      </c>
      <c r="B20" t="s">
        <v>10</v>
      </c>
      <c r="C20">
        <v>30</v>
      </c>
      <c r="D20" s="7"/>
      <c r="E20" s="2">
        <v>0.61</v>
      </c>
      <c r="F20" s="9">
        <f t="shared" si="3"/>
        <v>0</v>
      </c>
      <c r="G20">
        <v>33.1</v>
      </c>
      <c r="H20" s="5"/>
      <c r="J20" s="6"/>
      <c r="K20" s="17"/>
      <c r="X20" s="1">
        <f t="shared" si="0"/>
        <v>2.7999999999999972</v>
      </c>
      <c r="Y20" s="1">
        <f t="shared" si="0"/>
        <v>6.71</v>
      </c>
      <c r="Z20" s="1">
        <f t="shared" si="1"/>
        <v>14.9</v>
      </c>
      <c r="AA20" s="4">
        <f t="shared" si="2"/>
        <v>33.1</v>
      </c>
    </row>
    <row r="21" spans="1:33" x14ac:dyDescent="0.25">
      <c r="A21">
        <v>237</v>
      </c>
      <c r="B21" t="s">
        <v>10</v>
      </c>
      <c r="C21">
        <v>32.799999999999997</v>
      </c>
      <c r="D21" s="7">
        <f t="shared" si="4"/>
        <v>2.7999999999999972</v>
      </c>
      <c r="E21" s="2">
        <v>6.71</v>
      </c>
      <c r="F21" s="9">
        <f t="shared" si="3"/>
        <v>11.588888888888876</v>
      </c>
      <c r="G21">
        <v>14.9</v>
      </c>
      <c r="H21" s="5"/>
      <c r="J21" s="6"/>
      <c r="K21" s="17"/>
      <c r="X21" s="1">
        <f t="shared" si="0"/>
        <v>2</v>
      </c>
      <c r="Y21" s="1">
        <f t="shared" si="0"/>
        <v>11.4</v>
      </c>
      <c r="Z21" s="1">
        <f t="shared" si="1"/>
        <v>15.3</v>
      </c>
      <c r="AA21" s="4">
        <f t="shared" si="2"/>
        <v>14.9</v>
      </c>
    </row>
    <row r="22" spans="1:33" x14ac:dyDescent="0.25">
      <c r="A22">
        <v>259</v>
      </c>
      <c r="B22" t="s">
        <v>10</v>
      </c>
      <c r="C22">
        <v>34.799999999999997</v>
      </c>
      <c r="D22" s="7">
        <f t="shared" si="4"/>
        <v>2</v>
      </c>
      <c r="E22" s="2">
        <v>11.4</v>
      </c>
      <c r="F22" s="9">
        <f t="shared" si="3"/>
        <v>8.5</v>
      </c>
      <c r="G22">
        <v>15.3</v>
      </c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15.3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0.87120418848167536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5</v>
      </c>
      <c r="B35" t="s">
        <v>11</v>
      </c>
      <c r="C35">
        <v>2.3199999999999998</v>
      </c>
      <c r="D35" s="7">
        <v>0</v>
      </c>
      <c r="E35" s="25">
        <v>0</v>
      </c>
      <c r="F35" s="7">
        <v>0</v>
      </c>
      <c r="G35" s="17">
        <v>19.399999618530199</v>
      </c>
      <c r="J35" s="11">
        <v>0.2</v>
      </c>
      <c r="K35" s="12">
        <f>SLOPE($E$35:$E$69, $D$35:$D$69) * J35 + INTERCEPT($E$35:$E$69, $D$35:$D$69)</f>
        <v>1.7799078087819542</v>
      </c>
      <c r="X35" s="6"/>
      <c r="Y35" s="22">
        <f t="shared" si="7"/>
        <v>0.11283783783783782</v>
      </c>
      <c r="Z35" s="1">
        <v>1.04</v>
      </c>
      <c r="AB35" s="11">
        <v>0.4</v>
      </c>
      <c r="AC35" s="23" t="e">
        <f t="shared" ref="AC35:AC43" si="8">SLOPE($Y$33:$Y$57, $Z$33:$Z$57) * AB35 + INTERCEPT($Y$33:$Y$57, $Z$33:$Z$57)</f>
        <v>#DIV/0!</v>
      </c>
      <c r="AD35" s="23" t="e">
        <f t="shared" ref="AD35:AD43" si="9">$AD$32*AC35</f>
        <v>#DIV/0!</v>
      </c>
      <c r="AE35" s="23" t="e">
        <f t="shared" ref="AE35:AE43" si="10">$AE$32*AC35</f>
        <v>#DIV/0!</v>
      </c>
      <c r="AF35" s="23" t="e">
        <f t="shared" ref="AF35:AF43" si="11">$AF$32*AC35</f>
        <v>#DIV/0!</v>
      </c>
      <c r="AG35" s="23" t="e">
        <f t="shared" ref="AG35:AG43" si="12">$AG$32*AC35</f>
        <v>#DIV/0!</v>
      </c>
    </row>
    <row r="36" spans="1:33" x14ac:dyDescent="0.25">
      <c r="A36" s="56">
        <v>11</v>
      </c>
      <c r="B36" t="s">
        <v>11</v>
      </c>
      <c r="C36">
        <v>3.48</v>
      </c>
      <c r="D36" s="7">
        <f>C36-C35</f>
        <v>1.1600000000000001</v>
      </c>
      <c r="E36" s="26">
        <v>6.46000003814697</v>
      </c>
      <c r="F36" s="9">
        <f t="shared" ref="F36:F69" si="13">D36*G36/3.6</f>
        <v>7.7655556784735715</v>
      </c>
      <c r="G36" s="17">
        <v>24.100000381469702</v>
      </c>
      <c r="H36" s="5"/>
      <c r="J36" s="11">
        <v>0.4</v>
      </c>
      <c r="K36" s="12">
        <f t="shared" ref="K36:K44" si="14">SLOPE($E$35:$E$69, $D$35:$D$69) * J36 + INTERCEPT($E$35:$E$69, $D$35:$D$69)</f>
        <v>2.762064451234862</v>
      </c>
      <c r="X36" s="6"/>
      <c r="Y36" s="22">
        <f t="shared" si="7"/>
        <v>0.62821782178217822</v>
      </c>
      <c r="Z36" s="1">
        <v>1.1600000000000001</v>
      </c>
      <c r="AB36" s="11">
        <v>0.6</v>
      </c>
      <c r="AC36" s="23" t="e">
        <f t="shared" si="8"/>
        <v>#DIV/0!</v>
      </c>
      <c r="AD36" s="23" t="e">
        <f t="shared" si="9"/>
        <v>#DIV/0!</v>
      </c>
      <c r="AE36" s="23" t="e">
        <f t="shared" si="10"/>
        <v>#DIV/0!</v>
      </c>
      <c r="AF36" s="23" t="e">
        <f t="shared" si="11"/>
        <v>#DIV/0!</v>
      </c>
      <c r="AG36" s="23" t="e">
        <f t="shared" si="12"/>
        <v>#DIV/0!</v>
      </c>
    </row>
    <row r="37" spans="1:33" x14ac:dyDescent="0.25">
      <c r="A37">
        <v>17</v>
      </c>
      <c r="B37" t="s">
        <v>11</v>
      </c>
      <c r="C37">
        <v>5.52</v>
      </c>
      <c r="D37" s="7">
        <f t="shared" ref="D37:D69" si="15">C37-C36</f>
        <v>2.0399999999999996</v>
      </c>
      <c r="E37" s="26">
        <v>12.069999694824199</v>
      </c>
      <c r="F37" s="9">
        <f t="shared" si="13"/>
        <v>19.77666753133137</v>
      </c>
      <c r="G37" s="17">
        <v>34.900001525878899</v>
      </c>
      <c r="H37" s="5"/>
      <c r="J37" s="11">
        <v>0.6</v>
      </c>
      <c r="K37" s="12">
        <f t="shared" si="14"/>
        <v>3.7442210936877696</v>
      </c>
      <c r="Y37" s="22">
        <f t="shared" si="7"/>
        <v>0.19020618556701033</v>
      </c>
      <c r="Z37" s="1">
        <v>1.2400000000000002</v>
      </c>
      <c r="AB37" s="11">
        <v>0.8</v>
      </c>
      <c r="AC37" s="23" t="e">
        <f t="shared" si="8"/>
        <v>#DIV/0!</v>
      </c>
      <c r="AD37" s="23" t="e">
        <f t="shared" si="9"/>
        <v>#DIV/0!</v>
      </c>
      <c r="AE37" s="23" t="e">
        <f t="shared" si="10"/>
        <v>#DIV/0!</v>
      </c>
      <c r="AF37" s="23" t="e">
        <f t="shared" si="11"/>
        <v>#DIV/0!</v>
      </c>
      <c r="AG37" s="23" t="e">
        <f t="shared" si="12"/>
        <v>#DIV/0!</v>
      </c>
    </row>
    <row r="38" spans="1:33" x14ac:dyDescent="0.25">
      <c r="A38" s="56">
        <v>34</v>
      </c>
      <c r="B38" t="s">
        <v>11</v>
      </c>
      <c r="C38">
        <v>6.48</v>
      </c>
      <c r="D38" s="7">
        <f t="shared" si="15"/>
        <v>0.96000000000000085</v>
      </c>
      <c r="E38" s="26">
        <v>6.5900001525878897</v>
      </c>
      <c r="F38" s="9">
        <f t="shared" si="13"/>
        <v>6.3466664632161383</v>
      </c>
      <c r="G38" s="17">
        <v>23.799999237060501</v>
      </c>
      <c r="H38" s="5"/>
      <c r="J38" s="11">
        <v>0.8</v>
      </c>
      <c r="K38" s="12">
        <f t="shared" si="14"/>
        <v>4.7263777361406776</v>
      </c>
      <c r="Y38" s="22">
        <f t="shared" si="7"/>
        <v>0.53689320388349515</v>
      </c>
      <c r="Z38" s="1">
        <v>2.16</v>
      </c>
      <c r="AB38" s="11">
        <v>1</v>
      </c>
      <c r="AC38" s="23" t="e">
        <f t="shared" si="8"/>
        <v>#DIV/0!</v>
      </c>
      <c r="AD38" s="23" t="e">
        <f t="shared" si="9"/>
        <v>#DIV/0!</v>
      </c>
      <c r="AE38" s="23" t="e">
        <f t="shared" si="10"/>
        <v>#DIV/0!</v>
      </c>
      <c r="AF38" s="23" t="e">
        <f t="shared" si="11"/>
        <v>#DIV/0!</v>
      </c>
      <c r="AG38" s="23" t="e">
        <f t="shared" si="12"/>
        <v>#DIV/0!</v>
      </c>
    </row>
    <row r="39" spans="1:33" x14ac:dyDescent="0.25">
      <c r="A39">
        <v>3</v>
      </c>
      <c r="B39" t="s">
        <v>10</v>
      </c>
      <c r="C39">
        <v>7</v>
      </c>
      <c r="D39" s="7">
        <f t="shared" si="15"/>
        <v>0.51999999999999957</v>
      </c>
      <c r="E39" s="26">
        <v>0.17000000178813901</v>
      </c>
      <c r="F39" s="9">
        <f t="shared" si="13"/>
        <v>1.9211111386616915</v>
      </c>
      <c r="G39" s="17">
        <v>13.300000190734799</v>
      </c>
      <c r="H39" s="5"/>
      <c r="J39" s="11">
        <v>1</v>
      </c>
      <c r="K39" s="12">
        <f t="shared" si="14"/>
        <v>5.7085343785935851</v>
      </c>
      <c r="Y39" s="22">
        <f t="shared" si="7"/>
        <v>0.37828054298642527</v>
      </c>
      <c r="Z39" s="1">
        <v>2.6399999999999988</v>
      </c>
      <c r="AB39" s="11">
        <v>1.2</v>
      </c>
      <c r="AC39" s="23" t="e">
        <f t="shared" si="8"/>
        <v>#DIV/0!</v>
      </c>
      <c r="AD39" s="23" t="e">
        <f t="shared" si="9"/>
        <v>#DIV/0!</v>
      </c>
      <c r="AE39" s="23" t="e">
        <f t="shared" si="10"/>
        <v>#DIV/0!</v>
      </c>
      <c r="AF39" s="23" t="e">
        <f t="shared" si="11"/>
        <v>#DIV/0!</v>
      </c>
      <c r="AG39" s="23" t="e">
        <f t="shared" si="12"/>
        <v>#DIV/0!</v>
      </c>
    </row>
    <row r="40" spans="1:33" x14ac:dyDescent="0.25">
      <c r="A40">
        <v>10</v>
      </c>
      <c r="B40" t="s">
        <v>10</v>
      </c>
      <c r="C40">
        <v>8.48</v>
      </c>
      <c r="D40" s="7">
        <f t="shared" si="15"/>
        <v>1.4800000000000004</v>
      </c>
      <c r="E40" s="26">
        <v>7.6799998283386204</v>
      </c>
      <c r="F40" s="9">
        <f t="shared" si="13"/>
        <v>4.3166666666666682</v>
      </c>
      <c r="G40" s="17">
        <v>10.5</v>
      </c>
      <c r="H40" s="5"/>
      <c r="J40" s="11">
        <v>1.2</v>
      </c>
      <c r="K40" s="12">
        <f t="shared" si="14"/>
        <v>6.6906910210464927</v>
      </c>
      <c r="Y40" s="22">
        <f t="shared" si="7"/>
        <v>0.64157894736842103</v>
      </c>
      <c r="Z40" s="1">
        <v>2.2000000000000011</v>
      </c>
      <c r="AB40" s="11">
        <v>1.4</v>
      </c>
      <c r="AC40" s="23" t="e">
        <f t="shared" si="8"/>
        <v>#DIV/0!</v>
      </c>
      <c r="AD40" s="23" t="e">
        <f t="shared" si="9"/>
        <v>#DIV/0!</v>
      </c>
      <c r="AE40" s="23" t="e">
        <f t="shared" si="10"/>
        <v>#DIV/0!</v>
      </c>
      <c r="AF40" s="23" t="e">
        <f t="shared" si="11"/>
        <v>#DIV/0!</v>
      </c>
      <c r="AG40" s="23" t="e">
        <f t="shared" si="12"/>
        <v>#DIV/0!</v>
      </c>
    </row>
    <row r="41" spans="1:33" x14ac:dyDescent="0.25">
      <c r="A41">
        <v>4</v>
      </c>
      <c r="B41" t="s">
        <v>12</v>
      </c>
      <c r="C41">
        <v>8.6</v>
      </c>
      <c r="D41" s="7">
        <f t="shared" si="15"/>
        <v>0.11999999999999922</v>
      </c>
      <c r="E41" s="26">
        <v>0.56999999284744196</v>
      </c>
      <c r="F41" s="9">
        <f t="shared" si="13"/>
        <v>0.60666669209797597</v>
      </c>
      <c r="G41" s="17">
        <v>18.2000007629394</v>
      </c>
      <c r="H41" s="5"/>
      <c r="J41" s="11">
        <v>1.4</v>
      </c>
      <c r="K41" s="12">
        <f t="shared" si="14"/>
        <v>7.6728476634994003</v>
      </c>
      <c r="Y41" s="22">
        <f t="shared" si="7"/>
        <v>6.2934362934362928E-2</v>
      </c>
      <c r="Z41" s="1">
        <v>2.6799999999999997</v>
      </c>
      <c r="AB41" s="11">
        <v>1.6</v>
      </c>
      <c r="AC41" s="23" t="e">
        <f t="shared" si="8"/>
        <v>#DIV/0!</v>
      </c>
      <c r="AD41" s="23" t="e">
        <f t="shared" si="9"/>
        <v>#DIV/0!</v>
      </c>
      <c r="AE41" s="23" t="e">
        <f t="shared" si="10"/>
        <v>#DIV/0!</v>
      </c>
      <c r="AF41" s="23" t="e">
        <f t="shared" si="11"/>
        <v>#DIV/0!</v>
      </c>
      <c r="AG41" s="23" t="e">
        <f t="shared" si="12"/>
        <v>#DIV/0!</v>
      </c>
    </row>
    <row r="42" spans="1:33" x14ac:dyDescent="0.25">
      <c r="A42">
        <v>66</v>
      </c>
      <c r="B42" t="s">
        <v>11</v>
      </c>
      <c r="C42">
        <v>9.92</v>
      </c>
      <c r="D42" s="7">
        <f t="shared" si="15"/>
        <v>1.3200000000000003</v>
      </c>
      <c r="E42" s="26">
        <v>6.5500001907348597</v>
      </c>
      <c r="F42" s="9">
        <f t="shared" si="13"/>
        <v>0</v>
      </c>
      <c r="G42" s="17">
        <v>0</v>
      </c>
      <c r="H42" s="5"/>
      <c r="J42" s="11">
        <v>1.6</v>
      </c>
      <c r="K42" s="12">
        <f t="shared" si="14"/>
        <v>8.6550043059523087</v>
      </c>
      <c r="Y42" s="22">
        <f t="shared" si="7"/>
        <v>0.61129032258064508</v>
      </c>
      <c r="Z42" s="1">
        <v>1.4800000000000004</v>
      </c>
      <c r="AB42" s="11">
        <v>1.8</v>
      </c>
      <c r="AC42" s="23" t="e">
        <f t="shared" si="8"/>
        <v>#DIV/0!</v>
      </c>
      <c r="AD42" s="23" t="e">
        <f t="shared" si="9"/>
        <v>#DIV/0!</v>
      </c>
      <c r="AE42" s="23" t="e">
        <f t="shared" si="10"/>
        <v>#DIV/0!</v>
      </c>
      <c r="AF42" s="23" t="e">
        <f t="shared" si="11"/>
        <v>#DIV/0!</v>
      </c>
      <c r="AG42" s="23" t="e">
        <f t="shared" si="12"/>
        <v>#DIV/0!</v>
      </c>
    </row>
    <row r="43" spans="1:33" x14ac:dyDescent="0.25">
      <c r="A43" s="56">
        <v>48</v>
      </c>
      <c r="B43" t="s">
        <v>11</v>
      </c>
      <c r="C43">
        <v>10</v>
      </c>
      <c r="D43" s="7">
        <f t="shared" si="15"/>
        <v>8.0000000000000071E-2</v>
      </c>
      <c r="E43" s="26">
        <v>0.28999999165534901</v>
      </c>
      <c r="F43" s="9">
        <f t="shared" si="13"/>
        <v>0.44444444444444481</v>
      </c>
      <c r="G43" s="17">
        <v>20</v>
      </c>
      <c r="H43" s="5"/>
      <c r="J43" s="11">
        <v>1.8</v>
      </c>
      <c r="K43" s="12">
        <f t="shared" si="14"/>
        <v>9.6371609484052172</v>
      </c>
      <c r="Y43" s="22" t="e">
        <f t="shared" si="7"/>
        <v>#DIV/0!</v>
      </c>
      <c r="Z43" s="1">
        <v>1.6400000000000006</v>
      </c>
      <c r="AB43" s="11">
        <v>2</v>
      </c>
      <c r="AC43" s="23" t="e">
        <f t="shared" si="8"/>
        <v>#DIV/0!</v>
      </c>
      <c r="AD43" s="23" t="e">
        <f t="shared" si="9"/>
        <v>#DIV/0!</v>
      </c>
      <c r="AE43" s="23" t="e">
        <f t="shared" si="10"/>
        <v>#DIV/0!</v>
      </c>
      <c r="AF43" s="23" t="e">
        <f t="shared" si="11"/>
        <v>#DIV/0!</v>
      </c>
      <c r="AG43" s="23" t="e">
        <f t="shared" si="12"/>
        <v>#DIV/0!</v>
      </c>
    </row>
    <row r="44" spans="1:33" x14ac:dyDescent="0.25">
      <c r="A44">
        <v>44</v>
      </c>
      <c r="B44" t="s">
        <v>12</v>
      </c>
      <c r="C44">
        <v>10.48</v>
      </c>
      <c r="D44" s="7">
        <f t="shared" si="15"/>
        <v>0.48000000000000043</v>
      </c>
      <c r="E44" s="26">
        <v>2.1099998950958199</v>
      </c>
      <c r="F44" s="9">
        <f t="shared" si="13"/>
        <v>1.9066666920979749</v>
      </c>
      <c r="G44" s="17">
        <v>14.300000190734799</v>
      </c>
      <c r="H44" s="5"/>
      <c r="J44" s="11">
        <v>2</v>
      </c>
      <c r="K44" s="12">
        <f t="shared" si="14"/>
        <v>10.619317590858124</v>
      </c>
      <c r="Y44" s="22" t="e">
        <f t="shared" si="7"/>
        <v>#DIV/0!</v>
      </c>
      <c r="Z44" s="1">
        <v>1.6799999999999997</v>
      </c>
    </row>
    <row r="45" spans="1:33" x14ac:dyDescent="0.25">
      <c r="A45">
        <v>64</v>
      </c>
      <c r="B45" t="s">
        <v>11</v>
      </c>
      <c r="C45">
        <v>11.12</v>
      </c>
      <c r="D45" s="7">
        <f t="shared" si="15"/>
        <v>0.63999999999999879</v>
      </c>
      <c r="E45" s="26">
        <v>3.25</v>
      </c>
      <c r="F45" s="9">
        <f t="shared" si="13"/>
        <v>3.4488888210720288</v>
      </c>
      <c r="G45" s="17">
        <v>19.399999618530199</v>
      </c>
      <c r="H45" s="5"/>
      <c r="Y45" s="22">
        <f t="shared" si="7"/>
        <v>4.7774480712166174E-2</v>
      </c>
      <c r="Z45" s="1">
        <v>1.6799999999999997</v>
      </c>
    </row>
    <row r="46" spans="1:33" x14ac:dyDescent="0.25">
      <c r="A46" s="56">
        <v>31</v>
      </c>
      <c r="B46" t="s">
        <v>11</v>
      </c>
      <c r="C46">
        <v>11.68</v>
      </c>
      <c r="D46" s="7">
        <f t="shared" si="15"/>
        <v>0.5600000000000005</v>
      </c>
      <c r="E46" s="26">
        <v>5.0500001907348597</v>
      </c>
      <c r="F46" s="9">
        <f t="shared" si="13"/>
        <v>2.4422221925523511</v>
      </c>
      <c r="G46" s="17">
        <v>15.699999809265099</v>
      </c>
      <c r="H46" s="5"/>
      <c r="J46" s="109" t="s">
        <v>66</v>
      </c>
      <c r="K46" s="109"/>
      <c r="Y46" s="22">
        <f t="shared" si="7"/>
        <v>0.65336134453781514</v>
      </c>
      <c r="Z46" s="1">
        <v>1</v>
      </c>
    </row>
    <row r="47" spans="1:33" x14ac:dyDescent="0.25">
      <c r="A47" s="56">
        <v>58</v>
      </c>
      <c r="B47" t="s">
        <v>11</v>
      </c>
      <c r="C47">
        <v>12.12</v>
      </c>
      <c r="D47" s="7">
        <f t="shared" si="15"/>
        <v>0.4399999999999995</v>
      </c>
      <c r="E47" s="26">
        <v>1.8600000143051101</v>
      </c>
      <c r="F47" s="9">
        <f t="shared" si="13"/>
        <v>2.6033332400851696</v>
      </c>
      <c r="G47" s="17">
        <v>21.299999237060501</v>
      </c>
      <c r="H47" s="5"/>
      <c r="J47" s="63" t="s">
        <v>10</v>
      </c>
      <c r="K47" s="64">
        <f>AVERAGEIFS($G$35:$G$80, $B$35:$B$80, J47, $G$35:$G$80, "&lt;&gt;0")</f>
        <v>14.4333333969116</v>
      </c>
      <c r="Y47" s="22">
        <f t="shared" si="7"/>
        <v>0.4068027210884354</v>
      </c>
      <c r="Z47" s="1">
        <v>3.4400000000000013</v>
      </c>
    </row>
    <row r="48" spans="1:33" x14ac:dyDescent="0.25">
      <c r="A48" s="56">
        <v>89</v>
      </c>
      <c r="B48" t="s">
        <v>11</v>
      </c>
      <c r="C48">
        <v>13.28</v>
      </c>
      <c r="D48" s="7">
        <f t="shared" si="15"/>
        <v>1.1600000000000001</v>
      </c>
      <c r="E48" s="26">
        <v>6.6500000953674299</v>
      </c>
      <c r="F48" s="9">
        <f t="shared" si="13"/>
        <v>7.25</v>
      </c>
      <c r="G48" s="17">
        <v>22.5</v>
      </c>
      <c r="H48" s="5"/>
      <c r="J48" s="63" t="s">
        <v>11</v>
      </c>
      <c r="K48" s="64">
        <f t="shared" ref="K48:K49" si="16">AVERAGEIFS($G$35:$G$80, $B$35:$B$80, J48, $G$35:$G$80, "&lt;&gt;0")</f>
        <v>23.949999939311603</v>
      </c>
      <c r="Y48" s="22">
        <f t="shared" si="7"/>
        <v>0.50254545454545452</v>
      </c>
      <c r="Z48" s="1">
        <v>1.1999999999999993</v>
      </c>
    </row>
    <row r="49" spans="1:26" x14ac:dyDescent="0.25">
      <c r="A49">
        <v>112</v>
      </c>
      <c r="B49" t="s">
        <v>11</v>
      </c>
      <c r="C49">
        <v>13.72</v>
      </c>
      <c r="D49" s="7">
        <f t="shared" si="15"/>
        <v>0.44000000000000128</v>
      </c>
      <c r="E49" s="26">
        <v>1.5900000333786</v>
      </c>
      <c r="F49" s="9">
        <f t="shared" si="13"/>
        <v>0</v>
      </c>
      <c r="G49" s="17">
        <v>0</v>
      </c>
      <c r="H49" s="5"/>
      <c r="J49" s="63" t="s">
        <v>12</v>
      </c>
      <c r="K49" s="64">
        <f t="shared" si="16"/>
        <v>19.616666952768917</v>
      </c>
      <c r="Y49" s="22" t="e">
        <f t="shared" si="7"/>
        <v>#DIV/0!</v>
      </c>
      <c r="Z49" s="1">
        <v>2.6799999999999997</v>
      </c>
    </row>
    <row r="50" spans="1:26" x14ac:dyDescent="0.25">
      <c r="A50" s="56">
        <v>82</v>
      </c>
      <c r="B50" t="s">
        <v>11</v>
      </c>
      <c r="C50">
        <v>14.32</v>
      </c>
      <c r="D50" s="7">
        <f t="shared" si="15"/>
        <v>0.59999999999999964</v>
      </c>
      <c r="E50" s="26">
        <v>4.9800000190734801</v>
      </c>
      <c r="F50" s="9">
        <f t="shared" si="13"/>
        <v>1.4833332697550439</v>
      </c>
      <c r="G50" s="17">
        <v>8.8999996185302699</v>
      </c>
      <c r="H50" s="5"/>
      <c r="Y50" s="22">
        <f t="shared" si="7"/>
        <v>1.8429003021148034E-2</v>
      </c>
      <c r="Z50" s="1">
        <v>1.5999999999999979</v>
      </c>
    </row>
    <row r="51" spans="1:26" x14ac:dyDescent="0.25">
      <c r="A51">
        <v>65</v>
      </c>
      <c r="B51" t="s">
        <v>12</v>
      </c>
      <c r="C51">
        <v>14.52</v>
      </c>
      <c r="D51" s="7">
        <f t="shared" si="15"/>
        <v>0.19999999999999929</v>
      </c>
      <c r="E51" s="26">
        <v>-0.92000001668929998</v>
      </c>
      <c r="F51" s="9">
        <f t="shared" si="13"/>
        <v>0.99999999999999645</v>
      </c>
      <c r="G51" s="17">
        <v>18</v>
      </c>
      <c r="H51" s="5"/>
      <c r="Y51" s="22">
        <f t="shared" si="7"/>
        <v>0.45033557046979866</v>
      </c>
      <c r="Z51" s="1">
        <v>1.6000000000000014</v>
      </c>
    </row>
    <row r="52" spans="1:26" x14ac:dyDescent="0.25">
      <c r="A52">
        <v>105</v>
      </c>
      <c r="B52" t="s">
        <v>12</v>
      </c>
      <c r="C52">
        <v>15.92</v>
      </c>
      <c r="D52" s="7">
        <f t="shared" si="15"/>
        <v>1.4000000000000004</v>
      </c>
      <c r="E52" s="26">
        <v>8.0900001525878906</v>
      </c>
      <c r="F52" s="9">
        <f t="shared" si="13"/>
        <v>8.827778074476436</v>
      </c>
      <c r="G52" s="17">
        <v>22.7000007629394</v>
      </c>
      <c r="H52" s="5"/>
      <c r="Y52" s="22">
        <f t="shared" si="7"/>
        <v>0.74509803921568629</v>
      </c>
      <c r="Z52" s="1">
        <v>1.2000000000000028</v>
      </c>
    </row>
    <row r="53" spans="1:26" x14ac:dyDescent="0.25">
      <c r="A53">
        <v>131</v>
      </c>
      <c r="B53" t="s">
        <v>11</v>
      </c>
      <c r="C53">
        <v>16.68</v>
      </c>
      <c r="D53" s="7">
        <f t="shared" si="15"/>
        <v>0.75999999999999979</v>
      </c>
      <c r="E53" s="26">
        <v>6.46000003814697</v>
      </c>
      <c r="F53" s="9">
        <f t="shared" si="13"/>
        <v>5.0033334943983157</v>
      </c>
      <c r="G53" s="17">
        <v>23.7000007629394</v>
      </c>
      <c r="H53" s="5"/>
      <c r="Y53" s="22" t="e">
        <f t="shared" si="7"/>
        <v>#DIV/0!</v>
      </c>
      <c r="Z53" s="1">
        <v>0.79999999999999716</v>
      </c>
    </row>
    <row r="54" spans="1:26" x14ac:dyDescent="0.25">
      <c r="A54">
        <v>115</v>
      </c>
      <c r="B54" t="s">
        <v>12</v>
      </c>
      <c r="C54">
        <v>16.8</v>
      </c>
      <c r="D54" s="7">
        <f t="shared" si="15"/>
        <v>0.12000000000000099</v>
      </c>
      <c r="E54" s="26">
        <v>-1.9800000190734801</v>
      </c>
      <c r="F54" s="9">
        <f t="shared" si="13"/>
        <v>0.72333335876465266</v>
      </c>
      <c r="G54" s="17">
        <v>21.7000007629394</v>
      </c>
      <c r="H54" s="5"/>
      <c r="Y54" s="22" t="e">
        <f t="shared" si="7"/>
        <v>#DIV/0!</v>
      </c>
      <c r="Z54" s="1">
        <v>1.4799999999999969</v>
      </c>
    </row>
    <row r="55" spans="1:26" x14ac:dyDescent="0.25">
      <c r="A55">
        <v>137</v>
      </c>
      <c r="B55" t="s">
        <v>11</v>
      </c>
      <c r="C55">
        <v>17.88</v>
      </c>
      <c r="D55" s="7">
        <f t="shared" si="15"/>
        <v>1.0799999999999983</v>
      </c>
      <c r="E55" s="26">
        <v>5.9000000953674299</v>
      </c>
      <c r="F55" s="9">
        <f t="shared" si="13"/>
        <v>6.1499999999999897</v>
      </c>
      <c r="G55" s="17">
        <v>20.5</v>
      </c>
      <c r="H55" s="5"/>
      <c r="Y55" s="22" t="e">
        <f t="shared" si="7"/>
        <v>#DIV/0!</v>
      </c>
      <c r="Z55" s="1">
        <v>0.80000000000000426</v>
      </c>
    </row>
    <row r="56" spans="1:26" x14ac:dyDescent="0.25">
      <c r="A56" s="56">
        <v>139</v>
      </c>
      <c r="B56" t="s">
        <v>11</v>
      </c>
      <c r="C56">
        <v>18.2</v>
      </c>
      <c r="D56" s="7">
        <f t="shared" si="15"/>
        <v>0.32000000000000028</v>
      </c>
      <c r="E56" s="26">
        <v>2.4300000667571999</v>
      </c>
      <c r="F56" s="9">
        <f t="shared" si="13"/>
        <v>1.9111111111111128</v>
      </c>
      <c r="G56" s="17">
        <v>21.5</v>
      </c>
      <c r="H56" s="5"/>
      <c r="Y56" s="22" t="e">
        <f t="shared" si="7"/>
        <v>#DIV/0!</v>
      </c>
      <c r="Z56" s="1">
        <v>6</v>
      </c>
    </row>
    <row r="57" spans="1:26" x14ac:dyDescent="0.25">
      <c r="A57" s="56">
        <v>117</v>
      </c>
      <c r="B57" t="s">
        <v>11</v>
      </c>
      <c r="C57">
        <v>18.88</v>
      </c>
      <c r="D57" s="7">
        <f t="shared" si="15"/>
        <v>0.67999999999999972</v>
      </c>
      <c r="E57" s="26">
        <v>4.0199999809265101</v>
      </c>
      <c r="F57" s="9">
        <f t="shared" si="13"/>
        <v>4.7222222222222205</v>
      </c>
      <c r="G57" s="17">
        <v>25</v>
      </c>
      <c r="H57" s="5"/>
      <c r="Y57" s="22"/>
    </row>
    <row r="58" spans="1:26" x14ac:dyDescent="0.25">
      <c r="A58" s="56">
        <v>146</v>
      </c>
      <c r="B58" t="s">
        <v>11</v>
      </c>
      <c r="C58">
        <v>19.88</v>
      </c>
      <c r="D58" s="7">
        <f t="shared" si="15"/>
        <v>1</v>
      </c>
      <c r="E58" s="26">
        <v>5.5199999809265101</v>
      </c>
      <c r="F58" s="9">
        <f t="shared" si="13"/>
        <v>8.1388886769612494</v>
      </c>
      <c r="G58" s="17">
        <v>29.299999237060501</v>
      </c>
      <c r="H58" s="5"/>
    </row>
    <row r="59" spans="1:26" x14ac:dyDescent="0.25">
      <c r="A59">
        <v>191</v>
      </c>
      <c r="B59" t="s">
        <v>11</v>
      </c>
      <c r="C59">
        <v>20.68</v>
      </c>
      <c r="D59" s="7">
        <f t="shared" si="15"/>
        <v>0.80000000000000071</v>
      </c>
      <c r="E59" s="26">
        <v>6.9099998474120996</v>
      </c>
      <c r="F59" s="9">
        <f t="shared" si="13"/>
        <v>0</v>
      </c>
      <c r="G59" s="17">
        <v>0</v>
      </c>
      <c r="H59" s="5"/>
    </row>
    <row r="60" spans="1:26" x14ac:dyDescent="0.25">
      <c r="A60" s="56">
        <v>183</v>
      </c>
      <c r="B60" t="s">
        <v>11</v>
      </c>
      <c r="C60">
        <v>21.8</v>
      </c>
      <c r="D60" s="7">
        <f t="shared" si="15"/>
        <v>1.120000000000001</v>
      </c>
      <c r="E60" s="26">
        <v>7.8099999427795401</v>
      </c>
      <c r="F60" s="9">
        <f t="shared" si="13"/>
        <v>10.546667141384557</v>
      </c>
      <c r="G60" s="17">
        <v>33.900001525878899</v>
      </c>
      <c r="H60" s="5"/>
    </row>
    <row r="61" spans="1:26" x14ac:dyDescent="0.25">
      <c r="A61" s="56">
        <v>122</v>
      </c>
      <c r="B61" t="s">
        <v>11</v>
      </c>
      <c r="C61">
        <v>23.4</v>
      </c>
      <c r="D61" s="7">
        <f t="shared" si="15"/>
        <v>1.5999999999999979</v>
      </c>
      <c r="E61" s="26">
        <v>15.1300001144409</v>
      </c>
      <c r="F61" s="9">
        <f t="shared" si="13"/>
        <v>7.6888885498046564</v>
      </c>
      <c r="G61" s="17">
        <v>17.299999237060501</v>
      </c>
      <c r="H61" s="5"/>
    </row>
    <row r="62" spans="1:26" x14ac:dyDescent="0.25">
      <c r="A62" s="56">
        <v>208</v>
      </c>
      <c r="B62" t="s">
        <v>11</v>
      </c>
      <c r="C62">
        <v>25.08</v>
      </c>
      <c r="D62" s="7">
        <f t="shared" si="15"/>
        <v>1.6799999999999997</v>
      </c>
      <c r="E62" s="26">
        <v>8.7399997711181605</v>
      </c>
      <c r="F62" s="9">
        <f t="shared" si="13"/>
        <v>13.999999999999996</v>
      </c>
      <c r="G62" s="17">
        <v>30</v>
      </c>
      <c r="H62" s="5"/>
    </row>
    <row r="63" spans="1:26" x14ac:dyDescent="0.25">
      <c r="A63">
        <v>225</v>
      </c>
      <c r="B63" t="s">
        <v>11</v>
      </c>
      <c r="C63">
        <v>25.08</v>
      </c>
      <c r="D63" s="7">
        <f t="shared" si="15"/>
        <v>0</v>
      </c>
      <c r="E63" s="26">
        <v>1.21000003814697</v>
      </c>
      <c r="F63" s="9">
        <f t="shared" si="13"/>
        <v>0</v>
      </c>
      <c r="G63" s="17">
        <v>31.899999618530199</v>
      </c>
      <c r="H63" s="5"/>
    </row>
    <row r="64" spans="1:26" x14ac:dyDescent="0.25">
      <c r="A64" s="56">
        <v>221</v>
      </c>
      <c r="B64" t="s">
        <v>11</v>
      </c>
      <c r="C64">
        <v>26</v>
      </c>
      <c r="D64" s="7">
        <f t="shared" si="15"/>
        <v>0.92000000000000171</v>
      </c>
      <c r="E64" s="26">
        <v>7.9800000190734801</v>
      </c>
      <c r="F64" s="9">
        <f t="shared" si="13"/>
        <v>6.3122224171956365</v>
      </c>
      <c r="G64" s="17">
        <v>24.7000007629394</v>
      </c>
      <c r="H64" s="5"/>
    </row>
    <row r="65" spans="1:8" x14ac:dyDescent="0.25">
      <c r="A65">
        <v>214</v>
      </c>
      <c r="B65" t="s">
        <v>41</v>
      </c>
      <c r="C65">
        <v>27.88</v>
      </c>
      <c r="D65" s="7">
        <f t="shared" si="15"/>
        <v>1.879999999999999</v>
      </c>
      <c r="E65" s="26">
        <v>12.550000190734799</v>
      </c>
      <c r="F65" s="9">
        <f t="shared" si="13"/>
        <v>8.6688890881008405</v>
      </c>
      <c r="G65" s="17">
        <v>16.600000381469702</v>
      </c>
      <c r="H65" s="5"/>
    </row>
    <row r="66" spans="1:8" x14ac:dyDescent="0.25">
      <c r="A66">
        <v>238</v>
      </c>
      <c r="B66" t="s">
        <v>11</v>
      </c>
      <c r="C66">
        <v>30.28</v>
      </c>
      <c r="D66" s="7">
        <f t="shared" si="15"/>
        <v>2.4000000000000021</v>
      </c>
      <c r="E66" s="26">
        <v>9.0299997329711896</v>
      </c>
      <c r="F66" s="9">
        <f t="shared" si="13"/>
        <v>20.533332824707021</v>
      </c>
      <c r="G66" s="17">
        <v>30.799999237060501</v>
      </c>
      <c r="H66" s="5"/>
    </row>
    <row r="67" spans="1:8" x14ac:dyDescent="0.25">
      <c r="A67" s="56">
        <v>248</v>
      </c>
      <c r="B67" t="s">
        <v>11</v>
      </c>
      <c r="C67">
        <v>31.4</v>
      </c>
      <c r="D67" s="7">
        <f t="shared" si="15"/>
        <v>1.1199999999999974</v>
      </c>
      <c r="E67" s="26">
        <v>8.7299995422363192</v>
      </c>
      <c r="F67" s="9">
        <f t="shared" si="13"/>
        <v>8.8044442070854689</v>
      </c>
      <c r="G67" s="17">
        <v>28.299999237060501</v>
      </c>
      <c r="H67" s="5"/>
    </row>
    <row r="68" spans="1:8" x14ac:dyDescent="0.25">
      <c r="A68">
        <v>236</v>
      </c>
      <c r="B68" t="s">
        <v>12</v>
      </c>
      <c r="C68">
        <v>32.08</v>
      </c>
      <c r="D68" s="7">
        <f t="shared" si="15"/>
        <v>0.67999999999999972</v>
      </c>
      <c r="E68" s="26">
        <v>4.4400000572204501</v>
      </c>
      <c r="F68" s="9">
        <f t="shared" si="13"/>
        <v>4.3066665225558705</v>
      </c>
      <c r="G68" s="17">
        <v>22.799999237060501</v>
      </c>
      <c r="H68" s="5"/>
    </row>
    <row r="69" spans="1:8" x14ac:dyDescent="0.25">
      <c r="A69">
        <v>235</v>
      </c>
      <c r="B69" t="s">
        <v>10</v>
      </c>
      <c r="C69">
        <v>35.4</v>
      </c>
      <c r="D69" s="7">
        <f t="shared" si="15"/>
        <v>3.3200000000000003</v>
      </c>
      <c r="E69" s="26">
        <v>12.449999809265099</v>
      </c>
      <c r="F69" s="9">
        <f t="shared" si="13"/>
        <v>17.983333333333334</v>
      </c>
      <c r="G69" s="17">
        <v>19.5</v>
      </c>
      <c r="H69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{570694D9-56CC-4DB5-B706-DC6CFC1D5A6B}</x14:id>
        </ext>
      </extLst>
    </cfRule>
  </conditionalFormatting>
  <conditionalFormatting sqref="G35:G69 F3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{97A41688-3AD7-4E92-B2CF-EECE2D890CCD}</x14:id>
        </ext>
      </extLst>
    </cfRule>
  </conditionalFormatting>
  <conditionalFormatting sqref="K3:K13">
    <cfRule type="cellIs" dxfId="80" priority="11" operator="between">
      <formula>4</formula>
      <formula>5</formula>
    </cfRule>
    <cfRule type="cellIs" dxfId="79" priority="12" operator="lessThan">
      <formula>3.99</formula>
    </cfRule>
    <cfRule type="cellIs" dxfId="78" priority="13" operator="greaterThan">
      <formula>5</formula>
    </cfRule>
  </conditionalFormatting>
  <conditionalFormatting sqref="K34:K44">
    <cfRule type="cellIs" dxfId="77" priority="7" operator="between">
      <formula>4</formula>
      <formula>5</formula>
    </cfRule>
    <cfRule type="cellIs" dxfId="76" priority="8" operator="lessThan">
      <formula>3.99</formula>
    </cfRule>
    <cfRule type="cellIs" dxfId="75" priority="9" operator="greaterThan">
      <formula>5</formula>
    </cfRule>
  </conditionalFormatting>
  <conditionalFormatting sqref="AC33:AG43">
    <cfRule type="cellIs" dxfId="74" priority="1" operator="between">
      <formula>4</formula>
      <formula>5</formula>
    </cfRule>
    <cfRule type="cellIs" dxfId="73" priority="2" operator="lessThan">
      <formula>3.99</formula>
    </cfRule>
    <cfRule type="cellIs" dxfId="72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0694D9-56CC-4DB5-B706-DC6CFC1D5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97A41688-3AD7-4E92-B2CF-EECE2D890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G35:G69 F35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112B-EB8D-46A3-A6F2-0668353B4136}">
  <sheetPr codeName="Sheet7"/>
  <dimension ref="A1:AG83"/>
  <sheetViews>
    <sheetView workbookViewId="0">
      <selection activeCell="D61" sqref="D61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4</v>
      </c>
      <c r="B3" t="s">
        <v>10</v>
      </c>
      <c r="C3">
        <v>0.88</v>
      </c>
      <c r="D3" s="7">
        <v>0</v>
      </c>
      <c r="E3" s="1">
        <v>0</v>
      </c>
      <c r="F3" s="7">
        <v>0</v>
      </c>
      <c r="G3">
        <v>26</v>
      </c>
      <c r="J3" s="11">
        <v>0</v>
      </c>
      <c r="K3" s="11">
        <v>0</v>
      </c>
      <c r="X3" s="1">
        <f t="shared" ref="X3:Y27" si="0">D4</f>
        <v>1.2000000000000002</v>
      </c>
      <c r="Y3" s="1">
        <f t="shared" si="0"/>
        <v>9.06</v>
      </c>
      <c r="Z3" s="1">
        <f t="shared" ref="Z3:Z27" si="1">G4</f>
        <v>33.9</v>
      </c>
      <c r="AA3" s="4">
        <f t="shared" ref="AA3:AA27" si="2">G3</f>
        <v>26</v>
      </c>
      <c r="AB3" s="1" t="s">
        <v>10</v>
      </c>
      <c r="AC3" s="1" t="s">
        <v>10</v>
      </c>
    </row>
    <row r="4" spans="1:29" x14ac:dyDescent="0.25">
      <c r="A4">
        <v>16</v>
      </c>
      <c r="B4" t="s">
        <v>11</v>
      </c>
      <c r="C4">
        <v>2.08</v>
      </c>
      <c r="D4" s="7">
        <f>C4-C3</f>
        <v>1.2000000000000002</v>
      </c>
      <c r="E4" s="2">
        <v>9.06</v>
      </c>
      <c r="F4" s="9">
        <f t="shared" ref="F4:F22" si="3">D4*G4/3.6</f>
        <v>11.300000000000002</v>
      </c>
      <c r="G4">
        <v>33.9</v>
      </c>
      <c r="H4" s="5"/>
      <c r="J4" s="11">
        <v>0.2</v>
      </c>
      <c r="K4" s="12">
        <f>SLOPE($E$3:$E$27, $D$3:$D$27) * J4 + INTERCEPT($E$3:$E$27, $D$3:$D$27)</f>
        <v>2.8864969055150573</v>
      </c>
      <c r="X4" s="1">
        <f t="shared" si="0"/>
        <v>2.2000000000000002</v>
      </c>
      <c r="Y4" s="1">
        <f t="shared" si="0"/>
        <v>13.35</v>
      </c>
      <c r="Z4" s="1">
        <f t="shared" si="1"/>
        <v>20.3</v>
      </c>
      <c r="AA4" s="4">
        <f t="shared" si="2"/>
        <v>33.9</v>
      </c>
      <c r="AB4" s="1" t="s">
        <v>10</v>
      </c>
      <c r="AC4" s="1" t="s">
        <v>10</v>
      </c>
    </row>
    <row r="5" spans="1:29" x14ac:dyDescent="0.25">
      <c r="A5">
        <v>8</v>
      </c>
      <c r="B5" t="s">
        <v>10</v>
      </c>
      <c r="C5">
        <v>4.28</v>
      </c>
      <c r="D5" s="7">
        <f t="shared" ref="D5:D22" si="4">C5-C4</f>
        <v>2.2000000000000002</v>
      </c>
      <c r="E5" s="2">
        <v>13.35</v>
      </c>
      <c r="F5" s="9">
        <f t="shared" si="3"/>
        <v>12.405555555555557</v>
      </c>
      <c r="G5">
        <v>20.3</v>
      </c>
      <c r="H5" s="5"/>
      <c r="J5" s="11">
        <v>0.4</v>
      </c>
      <c r="K5" s="12">
        <f t="shared" ref="K5:K13" si="5">SLOPE($E$3:$E$27, $D$3:$D$27) * J5 + INTERCEPT($E$3:$E$27, $D$3:$D$27)</f>
        <v>3.6642750653280132</v>
      </c>
      <c r="X5" s="1">
        <f t="shared" si="0"/>
        <v>1.04</v>
      </c>
      <c r="Y5" s="1">
        <f t="shared" si="0"/>
        <v>9.0399999999999991</v>
      </c>
      <c r="Z5" s="1">
        <f t="shared" si="1"/>
        <v>19.8</v>
      </c>
      <c r="AA5" s="4">
        <f t="shared" si="2"/>
        <v>20.3</v>
      </c>
      <c r="AB5" s="1" t="s">
        <v>10</v>
      </c>
      <c r="AC5" s="1" t="s">
        <v>10</v>
      </c>
    </row>
    <row r="6" spans="1:29" x14ac:dyDescent="0.25">
      <c r="A6">
        <v>26</v>
      </c>
      <c r="B6" t="s">
        <v>10</v>
      </c>
      <c r="C6">
        <v>5.32</v>
      </c>
      <c r="D6" s="7">
        <f t="shared" si="4"/>
        <v>1.04</v>
      </c>
      <c r="E6" s="2">
        <v>9.0399999999999991</v>
      </c>
      <c r="F6" s="9">
        <f t="shared" si="3"/>
        <v>5.7200000000000006</v>
      </c>
      <c r="G6">
        <v>19.8</v>
      </c>
      <c r="H6" s="5"/>
      <c r="J6" s="11">
        <v>0.6</v>
      </c>
      <c r="K6" s="12">
        <f t="shared" si="5"/>
        <v>4.4420532251409686</v>
      </c>
      <c r="X6" s="1">
        <f t="shared" si="0"/>
        <v>0.67999999999999972</v>
      </c>
      <c r="Y6" s="1">
        <f t="shared" si="0"/>
        <v>1.89</v>
      </c>
      <c r="Z6" s="1">
        <f t="shared" si="1"/>
        <v>21.7</v>
      </c>
      <c r="AA6" s="4">
        <f t="shared" si="2"/>
        <v>19.8</v>
      </c>
    </row>
    <row r="7" spans="1:29" x14ac:dyDescent="0.25">
      <c r="A7">
        <v>19</v>
      </c>
      <c r="B7" t="s">
        <v>10</v>
      </c>
      <c r="C7">
        <v>6</v>
      </c>
      <c r="D7" s="7">
        <f t="shared" si="4"/>
        <v>0.67999999999999972</v>
      </c>
      <c r="E7" s="2">
        <v>1.89</v>
      </c>
      <c r="F7" s="9">
        <f t="shared" si="3"/>
        <v>4.0988888888888866</v>
      </c>
      <c r="G7">
        <v>21.7</v>
      </c>
      <c r="H7" s="5"/>
      <c r="J7" s="11">
        <v>0.8</v>
      </c>
      <c r="K7" s="12">
        <f t="shared" si="5"/>
        <v>5.219831384953924</v>
      </c>
      <c r="X7" s="1">
        <f t="shared" si="0"/>
        <v>3.4000000000000004</v>
      </c>
      <c r="Y7" s="1">
        <f t="shared" si="0"/>
        <v>16.25</v>
      </c>
      <c r="Z7" s="1">
        <f t="shared" si="1"/>
        <v>21.4</v>
      </c>
      <c r="AA7" s="4">
        <f t="shared" si="2"/>
        <v>21.7</v>
      </c>
    </row>
    <row r="8" spans="1:29" x14ac:dyDescent="0.25">
      <c r="A8">
        <v>36</v>
      </c>
      <c r="B8" t="s">
        <v>10</v>
      </c>
      <c r="C8">
        <v>9.4</v>
      </c>
      <c r="D8" s="7">
        <f>C8-C7</f>
        <v>3.4000000000000004</v>
      </c>
      <c r="E8" s="2">
        <v>16.25</v>
      </c>
      <c r="F8" s="9">
        <f t="shared" si="3"/>
        <v>20.211111111111112</v>
      </c>
      <c r="G8">
        <v>21.4</v>
      </c>
      <c r="H8" s="5"/>
      <c r="J8" s="11">
        <v>1</v>
      </c>
      <c r="K8" s="12">
        <f t="shared" si="5"/>
        <v>5.9976095447668794</v>
      </c>
      <c r="X8" s="1">
        <f t="shared" si="0"/>
        <v>0.87999999999999901</v>
      </c>
      <c r="Y8" s="1">
        <f t="shared" si="0"/>
        <v>6.1</v>
      </c>
      <c r="Z8" s="1">
        <f t="shared" si="1"/>
        <v>21.9</v>
      </c>
      <c r="AA8" s="4">
        <f t="shared" si="2"/>
        <v>21.4</v>
      </c>
    </row>
    <row r="9" spans="1:29" x14ac:dyDescent="0.25">
      <c r="A9">
        <v>44</v>
      </c>
      <c r="B9" t="s">
        <v>10</v>
      </c>
      <c r="C9">
        <v>10.28</v>
      </c>
      <c r="D9" s="7">
        <f t="shared" si="4"/>
        <v>0.87999999999999901</v>
      </c>
      <c r="E9" s="2">
        <v>6.1</v>
      </c>
      <c r="F9" s="9">
        <f t="shared" si="3"/>
        <v>5.3533333333333273</v>
      </c>
      <c r="G9">
        <v>21.9</v>
      </c>
      <c r="H9" s="5"/>
      <c r="J9" s="11">
        <v>1.2</v>
      </c>
      <c r="K9" s="12">
        <f t="shared" si="5"/>
        <v>6.7753877045798356</v>
      </c>
      <c r="X9" s="1">
        <f t="shared" si="0"/>
        <v>4.2000000000000011</v>
      </c>
      <c r="Y9" s="1">
        <f t="shared" si="0"/>
        <v>16.38</v>
      </c>
      <c r="Z9" s="1">
        <f t="shared" si="1"/>
        <v>23.4</v>
      </c>
      <c r="AA9" s="4">
        <f t="shared" si="2"/>
        <v>21.9</v>
      </c>
    </row>
    <row r="10" spans="1:29" x14ac:dyDescent="0.25">
      <c r="A10">
        <v>60</v>
      </c>
      <c r="B10" t="s">
        <v>10</v>
      </c>
      <c r="C10">
        <v>14.48</v>
      </c>
      <c r="D10" s="7">
        <f t="shared" si="4"/>
        <v>4.2000000000000011</v>
      </c>
      <c r="E10" s="2">
        <v>16.38</v>
      </c>
      <c r="F10" s="9">
        <f t="shared" si="3"/>
        <v>27.300000000000004</v>
      </c>
      <c r="G10">
        <v>23.4</v>
      </c>
      <c r="H10" s="5"/>
      <c r="J10" s="11">
        <v>1.4</v>
      </c>
      <c r="K10" s="12">
        <f t="shared" si="5"/>
        <v>7.553165864392791</v>
      </c>
      <c r="X10" s="1">
        <f t="shared" si="0"/>
        <v>5</v>
      </c>
      <c r="Y10" s="1">
        <f t="shared" si="0"/>
        <v>18.579999999999998</v>
      </c>
      <c r="Z10" s="1">
        <f t="shared" si="1"/>
        <v>18</v>
      </c>
      <c r="AA10" s="4">
        <f t="shared" si="2"/>
        <v>23.4</v>
      </c>
    </row>
    <row r="11" spans="1:29" x14ac:dyDescent="0.25">
      <c r="A11">
        <v>80</v>
      </c>
      <c r="B11" t="s">
        <v>10</v>
      </c>
      <c r="C11">
        <v>19.48</v>
      </c>
      <c r="D11" s="7">
        <f t="shared" si="4"/>
        <v>5</v>
      </c>
      <c r="E11" s="2">
        <v>18.579999999999998</v>
      </c>
      <c r="F11" s="9">
        <f t="shared" si="3"/>
        <v>25</v>
      </c>
      <c r="G11">
        <v>18</v>
      </c>
      <c r="H11" s="5"/>
      <c r="J11" s="11">
        <v>1.6</v>
      </c>
      <c r="K11" s="12">
        <f t="shared" si="5"/>
        <v>8.3309440242057473</v>
      </c>
      <c r="X11" s="1">
        <f t="shared" si="0"/>
        <v>1.9199999999999982</v>
      </c>
      <c r="Y11" s="1">
        <f t="shared" si="0"/>
        <v>11.05</v>
      </c>
      <c r="Z11" s="1">
        <f t="shared" si="1"/>
        <v>17.3</v>
      </c>
      <c r="AA11" s="4">
        <f t="shared" si="2"/>
        <v>18</v>
      </c>
    </row>
    <row r="12" spans="1:29" x14ac:dyDescent="0.25">
      <c r="A12">
        <v>96</v>
      </c>
      <c r="B12" t="s">
        <v>10</v>
      </c>
      <c r="C12">
        <v>21.4</v>
      </c>
      <c r="D12" s="7">
        <f t="shared" si="4"/>
        <v>1.9199999999999982</v>
      </c>
      <c r="E12" s="2">
        <v>11.05</v>
      </c>
      <c r="F12" s="9">
        <f t="shared" si="3"/>
        <v>9.2266666666666595</v>
      </c>
      <c r="G12">
        <v>17.3</v>
      </c>
      <c r="H12" s="5"/>
      <c r="J12" s="11">
        <v>1.8</v>
      </c>
      <c r="K12" s="12">
        <f t="shared" si="5"/>
        <v>9.1087221840187027</v>
      </c>
      <c r="X12" s="1">
        <f t="shared" si="0"/>
        <v>1.120000000000001</v>
      </c>
      <c r="Y12" s="1">
        <f t="shared" si="0"/>
        <v>6.47</v>
      </c>
      <c r="Z12" s="1">
        <f t="shared" si="1"/>
        <v>22.8</v>
      </c>
      <c r="AA12" s="4">
        <f t="shared" si="2"/>
        <v>17.3</v>
      </c>
    </row>
    <row r="13" spans="1:29" x14ac:dyDescent="0.25">
      <c r="A13">
        <v>86</v>
      </c>
      <c r="B13" t="s">
        <v>10</v>
      </c>
      <c r="C13">
        <v>22.52</v>
      </c>
      <c r="D13" s="7">
        <f t="shared" si="4"/>
        <v>1.120000000000001</v>
      </c>
      <c r="E13" s="2">
        <v>6.47</v>
      </c>
      <c r="F13" s="9">
        <f t="shared" si="3"/>
        <v>7.093333333333339</v>
      </c>
      <c r="G13">
        <v>22.8</v>
      </c>
      <c r="H13" s="5"/>
      <c r="J13" s="11">
        <v>2</v>
      </c>
      <c r="K13" s="12">
        <f t="shared" si="5"/>
        <v>9.8865003438316581</v>
      </c>
      <c r="X13" s="1">
        <f t="shared" si="0"/>
        <v>0.60000000000000142</v>
      </c>
      <c r="Y13" s="1">
        <f t="shared" si="0"/>
        <v>2.48</v>
      </c>
      <c r="Z13" s="1">
        <f t="shared" si="1"/>
        <v>20.399999999999999</v>
      </c>
      <c r="AA13" s="4">
        <f t="shared" si="2"/>
        <v>22.8</v>
      </c>
    </row>
    <row r="14" spans="1:29" x14ac:dyDescent="0.25">
      <c r="A14">
        <v>109</v>
      </c>
      <c r="B14" t="s">
        <v>10</v>
      </c>
      <c r="C14">
        <v>23.12</v>
      </c>
      <c r="D14" s="7">
        <f t="shared" si="4"/>
        <v>0.60000000000000142</v>
      </c>
      <c r="E14" s="2">
        <v>2.48</v>
      </c>
      <c r="F14" s="9">
        <f t="shared" si="3"/>
        <v>3.4000000000000079</v>
      </c>
      <c r="G14">
        <v>20.399999999999999</v>
      </c>
      <c r="H14" s="5"/>
      <c r="X14" s="1">
        <f t="shared" si="0"/>
        <v>2.1999999999999993</v>
      </c>
      <c r="Y14" s="1">
        <f t="shared" si="0"/>
        <v>12.92</v>
      </c>
      <c r="Z14" s="1">
        <f t="shared" si="1"/>
        <v>18.100000000000001</v>
      </c>
      <c r="AA14" s="4">
        <f t="shared" si="2"/>
        <v>20.399999999999999</v>
      </c>
    </row>
    <row r="15" spans="1:29" x14ac:dyDescent="0.25">
      <c r="A15">
        <v>142</v>
      </c>
      <c r="B15" t="s">
        <v>12</v>
      </c>
      <c r="C15">
        <v>25.32</v>
      </c>
      <c r="D15" s="7">
        <f>C15-C14</f>
        <v>2.1999999999999993</v>
      </c>
      <c r="E15" s="2">
        <v>12.92</v>
      </c>
      <c r="F15" s="9">
        <f t="shared" si="3"/>
        <v>11.061111111111108</v>
      </c>
      <c r="G15">
        <v>18.100000000000001</v>
      </c>
      <c r="H15" s="5"/>
      <c r="J15" s="109" t="s">
        <v>66</v>
      </c>
      <c r="K15" s="109"/>
      <c r="X15" s="1">
        <f t="shared" si="0"/>
        <v>2</v>
      </c>
      <c r="Y15" s="1">
        <f t="shared" si="0"/>
        <v>10.039999999999999</v>
      </c>
      <c r="Z15" s="1">
        <f t="shared" si="1"/>
        <v>16.8</v>
      </c>
      <c r="AA15" s="4">
        <f t="shared" si="2"/>
        <v>18.100000000000001</v>
      </c>
    </row>
    <row r="16" spans="1:29" x14ac:dyDescent="0.25">
      <c r="A16">
        <v>104</v>
      </c>
      <c r="B16" t="s">
        <v>12</v>
      </c>
      <c r="C16">
        <v>27.32</v>
      </c>
      <c r="D16" s="7">
        <f t="shared" si="4"/>
        <v>2</v>
      </c>
      <c r="E16" s="2">
        <v>10.039999999999999</v>
      </c>
      <c r="F16" s="9">
        <f t="shared" si="3"/>
        <v>9.3333333333333339</v>
      </c>
      <c r="G16">
        <v>16.8</v>
      </c>
      <c r="H16" s="5"/>
      <c r="J16" s="63" t="s">
        <v>10</v>
      </c>
      <c r="K16" s="64">
        <f>AVERAGEIFS($G$3:$G$30, $B$3:$B$30, J16, $G$3:$G$30, "&lt;&gt;0")</f>
        <v>20.8125</v>
      </c>
      <c r="X16" s="1">
        <f t="shared" si="0"/>
        <v>1.3599999999999994</v>
      </c>
      <c r="Y16" s="1">
        <f t="shared" si="0"/>
        <v>6.59</v>
      </c>
      <c r="Z16" s="1">
        <f t="shared" si="1"/>
        <v>18.100000000000001</v>
      </c>
      <c r="AA16" s="4">
        <f t="shared" si="2"/>
        <v>16.8</v>
      </c>
    </row>
    <row r="17" spans="1:33" x14ac:dyDescent="0.25">
      <c r="A17">
        <v>133</v>
      </c>
      <c r="B17" t="s">
        <v>10</v>
      </c>
      <c r="C17">
        <v>28.68</v>
      </c>
      <c r="D17" s="7">
        <f t="shared" si="4"/>
        <v>1.3599999999999994</v>
      </c>
      <c r="E17" s="2">
        <v>6.59</v>
      </c>
      <c r="F17" s="9">
        <f t="shared" si="3"/>
        <v>6.8377777777777755</v>
      </c>
      <c r="G17">
        <v>18.100000000000001</v>
      </c>
      <c r="H17" s="5"/>
      <c r="J17" s="63" t="s">
        <v>11</v>
      </c>
      <c r="K17" s="64">
        <f t="shared" ref="K17:K18" si="6">AVERAGEIFS($G$3:$G$30, $B$3:$B$30, J17, $G$3:$G$30, "&lt;&gt;0")</f>
        <v>27.5</v>
      </c>
      <c r="X17" s="1">
        <f t="shared" si="0"/>
        <v>2.240000000000002</v>
      </c>
      <c r="Y17" s="1">
        <f t="shared" si="0"/>
        <v>9.8000000000000007</v>
      </c>
      <c r="Z17" s="1">
        <f t="shared" si="1"/>
        <v>18.7</v>
      </c>
      <c r="AA17" s="4">
        <f t="shared" si="2"/>
        <v>18.100000000000001</v>
      </c>
    </row>
    <row r="18" spans="1:33" x14ac:dyDescent="0.25">
      <c r="A18">
        <v>192</v>
      </c>
      <c r="B18" t="s">
        <v>10</v>
      </c>
      <c r="C18">
        <v>30.92</v>
      </c>
      <c r="D18" s="7">
        <f t="shared" si="4"/>
        <v>2.240000000000002</v>
      </c>
      <c r="E18" s="2">
        <v>9.8000000000000007</v>
      </c>
      <c r="F18" s="9">
        <f t="shared" si="3"/>
        <v>11.635555555555564</v>
      </c>
      <c r="G18">
        <v>18.7</v>
      </c>
      <c r="H18" s="5"/>
      <c r="J18" s="63" t="s">
        <v>12</v>
      </c>
      <c r="K18" s="64">
        <f t="shared" si="6"/>
        <v>17.450000000000003</v>
      </c>
      <c r="X18" s="1">
        <f t="shared" si="0"/>
        <v>3.7999999999999972</v>
      </c>
      <c r="Y18" s="1">
        <f t="shared" si="0"/>
        <v>18.579999999999998</v>
      </c>
      <c r="Z18" s="1">
        <f t="shared" si="1"/>
        <v>22.3</v>
      </c>
      <c r="AA18" s="4">
        <f t="shared" si="2"/>
        <v>18.7</v>
      </c>
    </row>
    <row r="19" spans="1:33" x14ac:dyDescent="0.25">
      <c r="A19">
        <v>218</v>
      </c>
      <c r="B19" t="s">
        <v>10</v>
      </c>
      <c r="C19">
        <v>34.72</v>
      </c>
      <c r="D19" s="7">
        <f t="shared" si="4"/>
        <v>3.7999999999999972</v>
      </c>
      <c r="E19" s="2">
        <v>18.579999999999998</v>
      </c>
      <c r="F19" s="9">
        <f t="shared" si="3"/>
        <v>23.53888888888887</v>
      </c>
      <c r="G19">
        <v>22.3</v>
      </c>
      <c r="H19" s="5"/>
      <c r="J19" s="6"/>
      <c r="K19" s="17"/>
      <c r="X19" s="1">
        <f t="shared" si="0"/>
        <v>0.67999999999999972</v>
      </c>
      <c r="Y19" s="1">
        <f t="shared" si="0"/>
        <v>3.9</v>
      </c>
      <c r="Z19" s="1">
        <f t="shared" si="1"/>
        <v>21.1</v>
      </c>
      <c r="AA19" s="4">
        <f t="shared" si="2"/>
        <v>22.3</v>
      </c>
    </row>
    <row r="20" spans="1:33" x14ac:dyDescent="0.25">
      <c r="A20">
        <v>233</v>
      </c>
      <c r="B20" t="s">
        <v>11</v>
      </c>
      <c r="C20">
        <v>35.4</v>
      </c>
      <c r="D20" s="7">
        <f t="shared" si="4"/>
        <v>0.67999999999999972</v>
      </c>
      <c r="E20" s="2">
        <v>3.9</v>
      </c>
      <c r="F20" s="9">
        <f t="shared" si="3"/>
        <v>3.9855555555555542</v>
      </c>
      <c r="G20">
        <v>21.1</v>
      </c>
      <c r="H20" s="5"/>
      <c r="J20" s="6"/>
      <c r="K20" s="17"/>
      <c r="X20" s="1">
        <f t="shared" si="0"/>
        <v>1.5200000000000031</v>
      </c>
      <c r="Y20" s="1">
        <f t="shared" si="0"/>
        <v>8.7899999999999991</v>
      </c>
      <c r="Z20" s="1">
        <f t="shared" si="1"/>
        <v>17</v>
      </c>
      <c r="AA20" s="4">
        <f t="shared" si="2"/>
        <v>21.1</v>
      </c>
    </row>
    <row r="21" spans="1:33" x14ac:dyDescent="0.25">
      <c r="A21">
        <v>204</v>
      </c>
      <c r="B21" t="s">
        <v>10</v>
      </c>
      <c r="C21">
        <v>36.92</v>
      </c>
      <c r="D21" s="7">
        <f t="shared" si="4"/>
        <v>1.5200000000000031</v>
      </c>
      <c r="E21" s="2">
        <v>8.7899999999999991</v>
      </c>
      <c r="F21" s="9">
        <f t="shared" si="3"/>
        <v>7.1777777777777922</v>
      </c>
      <c r="G21">
        <v>17</v>
      </c>
      <c r="H21" s="5"/>
      <c r="J21" s="6"/>
      <c r="K21" s="17"/>
      <c r="X21" s="1">
        <f t="shared" si="0"/>
        <v>0.35999999999999943</v>
      </c>
      <c r="Y21" s="1">
        <f t="shared" si="0"/>
        <v>2.46</v>
      </c>
      <c r="Z21" s="1">
        <f t="shared" si="1"/>
        <v>23.9</v>
      </c>
      <c r="AA21" s="4">
        <f t="shared" si="2"/>
        <v>17</v>
      </c>
    </row>
    <row r="22" spans="1:33" x14ac:dyDescent="0.25">
      <c r="A22">
        <v>235</v>
      </c>
      <c r="B22" t="s">
        <v>10</v>
      </c>
      <c r="C22">
        <v>37.28</v>
      </c>
      <c r="D22" s="7">
        <f t="shared" si="4"/>
        <v>0.35999999999999943</v>
      </c>
      <c r="E22" s="2">
        <v>2.46</v>
      </c>
      <c r="F22" s="9">
        <f t="shared" si="3"/>
        <v>2.3899999999999961</v>
      </c>
      <c r="G22">
        <v>23.9</v>
      </c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23.9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0.26725663716814163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5</v>
      </c>
      <c r="B35" t="s">
        <v>11</v>
      </c>
      <c r="C35">
        <v>0.88</v>
      </c>
      <c r="D35" s="7">
        <v>0</v>
      </c>
      <c r="E35" s="1">
        <v>0</v>
      </c>
      <c r="F35" s="7">
        <v>0</v>
      </c>
      <c r="G35" s="17">
        <v>17.399999618530199</v>
      </c>
      <c r="J35" s="11">
        <v>0.2</v>
      </c>
      <c r="K35" s="12">
        <f t="shared" ref="K35:K44" si="8">SLOPE($E$35:$E$58, $D$35:$D$58) * J35 + INTERCEPT($E$35:$E$58, $D$35:$D$58)</f>
        <v>0.745164407636695</v>
      </c>
      <c r="X35" s="6"/>
      <c r="Y35" s="22">
        <f t="shared" si="7"/>
        <v>0.65763546798029549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>
        <v>6</v>
      </c>
      <c r="B36" t="s">
        <v>11</v>
      </c>
      <c r="C36">
        <v>1.88</v>
      </c>
      <c r="D36" s="7">
        <f>C36-C35</f>
        <v>0.99999999999999989</v>
      </c>
      <c r="E36" s="24">
        <v>5.4499998092651296</v>
      </c>
      <c r="F36" s="9">
        <f t="shared" ref="F36:F55" si="14">D36*G36/3.6</f>
        <v>1.9444444444444442</v>
      </c>
      <c r="G36" s="17">
        <v>7</v>
      </c>
      <c r="H36" s="5"/>
      <c r="J36" s="11">
        <v>0.4</v>
      </c>
      <c r="K36" s="12">
        <f t="shared" si="8"/>
        <v>1.9910815602474026</v>
      </c>
      <c r="X36" s="6"/>
      <c r="Y36" s="22">
        <f t="shared" si="7"/>
        <v>0.45656565656565651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>
        <v>12</v>
      </c>
      <c r="B37" t="s">
        <v>11</v>
      </c>
      <c r="C37">
        <v>2</v>
      </c>
      <c r="D37" s="7">
        <f t="shared" ref="D37:D55" si="15">C37-C36</f>
        <v>0.12000000000000011</v>
      </c>
      <c r="E37" s="24">
        <v>-1.5900000333786</v>
      </c>
      <c r="F37" s="9">
        <f t="shared" si="14"/>
        <v>0.72666664123535063</v>
      </c>
      <c r="G37" s="17">
        <v>21.799999237060501</v>
      </c>
      <c r="H37" s="5"/>
      <c r="J37" s="11">
        <v>0.6</v>
      </c>
      <c r="K37" s="12">
        <f t="shared" si="8"/>
        <v>3.2369987128581093</v>
      </c>
      <c r="Y37" s="22">
        <f t="shared" si="7"/>
        <v>8.7096774193548387E-2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>
        <v>16</v>
      </c>
      <c r="B38" t="s">
        <v>11</v>
      </c>
      <c r="C38">
        <v>2.2799999999999998</v>
      </c>
      <c r="D38" s="7">
        <f t="shared" si="15"/>
        <v>0.2799999999999998</v>
      </c>
      <c r="E38" s="24">
        <v>-0.140000000596046</v>
      </c>
      <c r="F38" s="9">
        <f t="shared" si="14"/>
        <v>2.1777777777777763</v>
      </c>
      <c r="G38" s="17">
        <v>28</v>
      </c>
      <c r="H38" s="5"/>
      <c r="J38" s="11">
        <v>0.8</v>
      </c>
      <c r="K38" s="12">
        <f t="shared" si="8"/>
        <v>4.4829158654688177</v>
      </c>
      <c r="Y38" s="22">
        <f t="shared" si="7"/>
        <v>0.75934579439252337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D39" s="7"/>
      <c r="E39" s="24"/>
      <c r="F39" s="9">
        <f t="shared" si="14"/>
        <v>0</v>
      </c>
      <c r="G39" s="17"/>
      <c r="H39" s="5"/>
      <c r="J39" s="11">
        <v>1</v>
      </c>
      <c r="K39" s="12">
        <f t="shared" si="8"/>
        <v>5.7288330180795244</v>
      </c>
      <c r="Y39" s="22">
        <f t="shared" si="7"/>
        <v>0.27853881278538811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14</v>
      </c>
      <c r="B40" t="s">
        <v>11</v>
      </c>
      <c r="C40">
        <v>2.8</v>
      </c>
      <c r="D40" s="7"/>
      <c r="E40" s="24">
        <v>3.17000007629394</v>
      </c>
      <c r="F40" s="9">
        <f t="shared" si="14"/>
        <v>0</v>
      </c>
      <c r="G40" s="17">
        <v>23.7000007629394</v>
      </c>
      <c r="H40" s="5"/>
      <c r="J40" s="11">
        <v>1.2</v>
      </c>
      <c r="K40" s="12">
        <f t="shared" si="8"/>
        <v>6.9747501706902311</v>
      </c>
      <c r="Y40" s="22">
        <f t="shared" si="7"/>
        <v>0.7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 s="56">
        <v>17</v>
      </c>
      <c r="B41" t="s">
        <v>11</v>
      </c>
      <c r="C41">
        <v>3</v>
      </c>
      <c r="D41" s="7">
        <f t="shared" si="15"/>
        <v>0.20000000000000018</v>
      </c>
      <c r="E41" s="24">
        <v>1.7699999809265099</v>
      </c>
      <c r="F41" s="9">
        <f t="shared" si="14"/>
        <v>1.1944444444444455</v>
      </c>
      <c r="G41" s="17">
        <v>21.5</v>
      </c>
      <c r="H41" s="5"/>
      <c r="J41" s="11">
        <v>1.4</v>
      </c>
      <c r="K41" s="12">
        <f t="shared" si="8"/>
        <v>8.2206673233009369</v>
      </c>
      <c r="Y41" s="22">
        <f t="shared" si="7"/>
        <v>1.0322222222222222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 s="56">
        <v>33</v>
      </c>
      <c r="B42" t="s">
        <v>11</v>
      </c>
      <c r="C42">
        <v>3.48</v>
      </c>
      <c r="D42" s="7">
        <f t="shared" si="15"/>
        <v>0.48</v>
      </c>
      <c r="E42" s="24">
        <v>3.1900000572204501</v>
      </c>
      <c r="F42" s="9">
        <f t="shared" si="14"/>
        <v>2.9733332316080667</v>
      </c>
      <c r="G42" s="17">
        <v>22.299999237060501</v>
      </c>
      <c r="H42" s="5"/>
      <c r="J42" s="11">
        <v>1.6</v>
      </c>
      <c r="K42" s="12">
        <f t="shared" si="8"/>
        <v>9.4665844759116489</v>
      </c>
      <c r="Y42" s="22">
        <f t="shared" si="7"/>
        <v>0.63872832369942201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 s="56">
        <v>27</v>
      </c>
      <c r="B43" t="s">
        <v>11</v>
      </c>
      <c r="C43">
        <v>4.4800000000000004</v>
      </c>
      <c r="D43" s="7">
        <f t="shared" si="15"/>
        <v>1.0000000000000004</v>
      </c>
      <c r="E43" s="24">
        <v>7.21000003814697</v>
      </c>
      <c r="F43" s="9">
        <f t="shared" si="14"/>
        <v>5.7777775658501422</v>
      </c>
      <c r="G43" s="17">
        <v>20.799999237060501</v>
      </c>
      <c r="H43" s="5"/>
      <c r="J43" s="11">
        <v>1.8</v>
      </c>
      <c r="K43" s="12">
        <f t="shared" si="8"/>
        <v>10.712501628522354</v>
      </c>
      <c r="Y43" s="22">
        <f t="shared" si="7"/>
        <v>0.2837719298245614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D44" s="7"/>
      <c r="E44" s="24"/>
      <c r="F44" s="9">
        <f t="shared" si="14"/>
        <v>0</v>
      </c>
      <c r="G44" s="17"/>
      <c r="H44" s="5"/>
      <c r="J44" s="11">
        <v>2</v>
      </c>
      <c r="K44" s="12">
        <f t="shared" si="8"/>
        <v>11.958418781133062</v>
      </c>
      <c r="Y44" s="22">
        <f t="shared" si="7"/>
        <v>0.1215686274509804</v>
      </c>
      <c r="Z44" s="1">
        <v>1.6799999999999997</v>
      </c>
    </row>
    <row r="45" spans="1:33" x14ac:dyDescent="0.25">
      <c r="A45">
        <v>46</v>
      </c>
      <c r="B45" t="s">
        <v>12</v>
      </c>
      <c r="C45">
        <v>6.48</v>
      </c>
      <c r="D45" s="7"/>
      <c r="E45" s="24">
        <v>-0.94999998807907104</v>
      </c>
      <c r="F45" s="9">
        <f t="shared" si="14"/>
        <v>0</v>
      </c>
      <c r="G45" s="17">
        <v>17.799999237060501</v>
      </c>
      <c r="H45" s="5"/>
      <c r="Y45" s="22">
        <f t="shared" si="7"/>
        <v>0.71381215469613257</v>
      </c>
      <c r="Z45" s="1">
        <v>1.6799999999999997</v>
      </c>
    </row>
    <row r="46" spans="1:33" x14ac:dyDescent="0.25">
      <c r="A46">
        <v>37</v>
      </c>
      <c r="B46" t="s">
        <v>12</v>
      </c>
      <c r="C46">
        <v>7.32</v>
      </c>
      <c r="D46" s="7">
        <f t="shared" si="15"/>
        <v>0.83999999999999986</v>
      </c>
      <c r="E46" s="24">
        <v>2.9900000095367401</v>
      </c>
      <c r="F46" s="9">
        <f t="shared" si="14"/>
        <v>6.5800001780191923</v>
      </c>
      <c r="G46" s="17">
        <v>28.2000007629394</v>
      </c>
      <c r="H46" s="5"/>
      <c r="J46" s="109" t="s">
        <v>66</v>
      </c>
      <c r="K46" s="109"/>
      <c r="Y46" s="22">
        <f t="shared" si="7"/>
        <v>0.59761904761904749</v>
      </c>
      <c r="Z46" s="1">
        <v>1</v>
      </c>
    </row>
    <row r="47" spans="1:33" x14ac:dyDescent="0.25">
      <c r="A47">
        <v>63</v>
      </c>
      <c r="B47" t="s">
        <v>11</v>
      </c>
      <c r="C47">
        <v>10.119999999999999</v>
      </c>
      <c r="D47" s="7">
        <f t="shared" si="15"/>
        <v>2.7999999999999989</v>
      </c>
      <c r="E47" s="24">
        <v>16.309999465942301</v>
      </c>
      <c r="F47" s="9">
        <f t="shared" si="14"/>
        <v>20.999999999999989</v>
      </c>
      <c r="G47" s="17">
        <v>27</v>
      </c>
      <c r="H47" s="5"/>
      <c r="J47" s="63" t="s">
        <v>10</v>
      </c>
      <c r="K47" s="64">
        <f>AVERAGEIFS($G$35:$G$80, $B$35:$B$80, J47, $G$35:$G$80, "&lt;&gt;0")</f>
        <v>21.457142693655786</v>
      </c>
      <c r="Y47" s="22">
        <f t="shared" si="7"/>
        <v>0.3640883977900552</v>
      </c>
      <c r="Z47" s="1">
        <v>3.4400000000000013</v>
      </c>
    </row>
    <row r="48" spans="1:33" x14ac:dyDescent="0.25">
      <c r="A48">
        <v>52</v>
      </c>
      <c r="B48" t="s">
        <v>10</v>
      </c>
      <c r="C48">
        <v>11.32</v>
      </c>
      <c r="D48" s="7">
        <f t="shared" si="15"/>
        <v>1.2000000000000011</v>
      </c>
      <c r="E48" s="24">
        <v>8.6999998092651296</v>
      </c>
      <c r="F48" s="9">
        <f t="shared" si="14"/>
        <v>8.7666664123535085</v>
      </c>
      <c r="G48" s="17">
        <v>26.299999237060501</v>
      </c>
      <c r="H48" s="5"/>
      <c r="J48" s="63" t="s">
        <v>11</v>
      </c>
      <c r="K48" s="64">
        <f t="shared" ref="K48:K49" si="16">AVERAGEIFS($G$35:$G$80, $B$35:$B$80, J48, $G$35:$G$80, "&lt;&gt;0")</f>
        <v>22.286363341591535</v>
      </c>
      <c r="Y48" s="22">
        <f t="shared" si="7"/>
        <v>0.52406417112299475</v>
      </c>
      <c r="Z48" s="1">
        <v>1.1999999999999993</v>
      </c>
    </row>
    <row r="49" spans="1:26" x14ac:dyDescent="0.25">
      <c r="A49">
        <v>77</v>
      </c>
      <c r="B49" t="s">
        <v>11</v>
      </c>
      <c r="C49">
        <v>12.48</v>
      </c>
      <c r="D49" s="7">
        <f t="shared" si="15"/>
        <v>1.1600000000000001</v>
      </c>
      <c r="E49" s="24">
        <v>8.9499998092651296</v>
      </c>
      <c r="F49" s="9">
        <f t="shared" si="14"/>
        <v>12.083333333333336</v>
      </c>
      <c r="G49" s="17">
        <v>37.5</v>
      </c>
      <c r="H49" s="5"/>
      <c r="J49" s="63" t="s">
        <v>12</v>
      </c>
      <c r="K49" s="64">
        <f t="shared" si="16"/>
        <v>21.175000190734824</v>
      </c>
      <c r="Y49" s="22">
        <f t="shared" si="7"/>
        <v>0.83318385650224203</v>
      </c>
      <c r="Z49" s="1">
        <v>2.6799999999999997</v>
      </c>
    </row>
    <row r="50" spans="1:26" x14ac:dyDescent="0.25">
      <c r="A50">
        <v>70</v>
      </c>
      <c r="B50" t="s">
        <v>10</v>
      </c>
      <c r="C50">
        <v>13.88</v>
      </c>
      <c r="D50" s="7">
        <f t="shared" si="15"/>
        <v>1.4000000000000004</v>
      </c>
      <c r="E50" s="24">
        <v>9.8900003433227504</v>
      </c>
      <c r="F50" s="9">
        <f t="shared" si="14"/>
        <v>10.694444444444446</v>
      </c>
      <c r="G50" s="17">
        <v>27.5</v>
      </c>
      <c r="H50" s="5"/>
      <c r="Y50" s="22">
        <f t="shared" si="7"/>
        <v>0.18483412322274881</v>
      </c>
      <c r="Z50" s="1">
        <v>1.5999999999999979</v>
      </c>
    </row>
    <row r="51" spans="1:26" x14ac:dyDescent="0.25">
      <c r="A51">
        <v>73</v>
      </c>
      <c r="B51" t="s">
        <v>12</v>
      </c>
      <c r="C51">
        <v>15.68</v>
      </c>
      <c r="D51" s="7">
        <f t="shared" si="15"/>
        <v>1.7999999999999989</v>
      </c>
      <c r="E51" s="24">
        <v>14.789999961853001</v>
      </c>
      <c r="F51" s="9">
        <f t="shared" si="14"/>
        <v>10.800000190734844</v>
      </c>
      <c r="G51" s="17">
        <v>21.600000381469702</v>
      </c>
      <c r="H51" s="5"/>
      <c r="Y51" s="22">
        <f t="shared" si="7"/>
        <v>0.51705882352941168</v>
      </c>
      <c r="Z51" s="1">
        <v>1.6000000000000014</v>
      </c>
    </row>
    <row r="52" spans="1:26" x14ac:dyDescent="0.25">
      <c r="A52">
        <v>111</v>
      </c>
      <c r="B52" t="s">
        <v>11</v>
      </c>
      <c r="C52">
        <v>16.600000000000001</v>
      </c>
      <c r="D52" s="7">
        <f t="shared" si="15"/>
        <v>0.92000000000000171</v>
      </c>
      <c r="E52" s="24">
        <v>6.0700001716613698</v>
      </c>
      <c r="F52" s="9">
        <f t="shared" si="14"/>
        <v>6.1333333333333444</v>
      </c>
      <c r="G52" s="17">
        <v>24</v>
      </c>
      <c r="H52" s="5"/>
      <c r="Y52" s="22">
        <f t="shared" si="7"/>
        <v>0.10292887029288704</v>
      </c>
      <c r="Z52" s="1">
        <v>1.2000000000000028</v>
      </c>
    </row>
    <row r="53" spans="1:26" x14ac:dyDescent="0.25">
      <c r="A53">
        <v>126</v>
      </c>
      <c r="B53" t="s">
        <v>41</v>
      </c>
      <c r="C53">
        <v>18.8</v>
      </c>
      <c r="D53" s="7">
        <f t="shared" si="15"/>
        <v>2.1999999999999993</v>
      </c>
      <c r="E53" s="24">
        <v>12.550000190734799</v>
      </c>
      <c r="F53" s="9">
        <f t="shared" si="14"/>
        <v>4.3388888306087852</v>
      </c>
      <c r="G53" s="17">
        <v>7.0999999046325604</v>
      </c>
      <c r="H53" s="5"/>
      <c r="Y53" s="22" t="e">
        <f t="shared" si="7"/>
        <v>#DIV/0!</v>
      </c>
      <c r="Z53" s="1">
        <v>0.79999999999999716</v>
      </c>
    </row>
    <row r="54" spans="1:26" x14ac:dyDescent="0.25">
      <c r="A54">
        <v>89</v>
      </c>
      <c r="B54" t="s">
        <v>10</v>
      </c>
      <c r="C54">
        <v>19.920000000000002</v>
      </c>
      <c r="D54" s="7">
        <f t="shared" si="15"/>
        <v>1.120000000000001</v>
      </c>
      <c r="E54" s="24">
        <v>1.9900000095367401</v>
      </c>
      <c r="F54" s="9">
        <f t="shared" si="14"/>
        <v>5.0711108737521595</v>
      </c>
      <c r="G54" s="17">
        <v>16.299999237060501</v>
      </c>
      <c r="H54" s="5"/>
      <c r="Y54" s="22" t="e">
        <f t="shared" si="7"/>
        <v>#DIV/0!</v>
      </c>
      <c r="Z54" s="1">
        <v>1.4799999999999969</v>
      </c>
    </row>
    <row r="55" spans="1:26" x14ac:dyDescent="0.25">
      <c r="A55">
        <v>141</v>
      </c>
      <c r="B55" t="s">
        <v>12</v>
      </c>
      <c r="C55">
        <v>22.08</v>
      </c>
      <c r="D55" s="7">
        <f t="shared" si="15"/>
        <v>2.1599999999999966</v>
      </c>
      <c r="E55" s="24">
        <v>10.7200002670288</v>
      </c>
      <c r="F55" s="9">
        <f t="shared" si="14"/>
        <v>10.260000228881804</v>
      </c>
      <c r="G55" s="17">
        <v>17.100000381469702</v>
      </c>
      <c r="H55" s="5"/>
      <c r="Y55" s="22" t="e">
        <f t="shared" si="7"/>
        <v>#DIV/0!</v>
      </c>
      <c r="Z55" s="1">
        <v>0.80000000000000426</v>
      </c>
    </row>
    <row r="56" spans="1:26" x14ac:dyDescent="0.25">
      <c r="A56">
        <v>112</v>
      </c>
      <c r="B56" t="s">
        <v>10</v>
      </c>
      <c r="C56">
        <v>23.8</v>
      </c>
      <c r="D56" s="7">
        <f t="shared" ref="D56:D74" si="17">C56-C55</f>
        <v>1.7200000000000024</v>
      </c>
      <c r="E56" s="24">
        <v>9.2200002670287997</v>
      </c>
      <c r="F56" s="9">
        <f t="shared" ref="F56:F74" si="18">D56*G56/3.6</f>
        <v>9.2688887066311079</v>
      </c>
      <c r="G56" s="17">
        <v>19.399999618530199</v>
      </c>
      <c r="H56" s="5"/>
      <c r="Y56" s="22" t="e">
        <f t="shared" si="7"/>
        <v>#DIV/0!</v>
      </c>
      <c r="Z56" s="1">
        <v>6</v>
      </c>
    </row>
    <row r="57" spans="1:26" x14ac:dyDescent="0.25">
      <c r="D57" s="7"/>
      <c r="E57" s="24"/>
      <c r="F57" s="9">
        <f t="shared" si="18"/>
        <v>0</v>
      </c>
      <c r="G57" s="17"/>
      <c r="H57" s="5"/>
      <c r="Y57" s="22"/>
    </row>
    <row r="58" spans="1:26" x14ac:dyDescent="0.25">
      <c r="A58">
        <v>156</v>
      </c>
      <c r="B58" t="s">
        <v>11</v>
      </c>
      <c r="C58">
        <v>24.72</v>
      </c>
      <c r="D58" s="7"/>
      <c r="E58" s="24">
        <v>5.5</v>
      </c>
      <c r="F58" s="9">
        <f t="shared" si="18"/>
        <v>0</v>
      </c>
      <c r="G58" s="17">
        <v>17.299999237060501</v>
      </c>
      <c r="H58" s="5"/>
    </row>
    <row r="59" spans="1:26" x14ac:dyDescent="0.25">
      <c r="A59" s="56">
        <v>144</v>
      </c>
      <c r="B59" t="s">
        <v>11</v>
      </c>
      <c r="C59">
        <v>25.32</v>
      </c>
      <c r="D59" s="7">
        <f t="shared" si="17"/>
        <v>0.60000000000000142</v>
      </c>
      <c r="E59" s="24">
        <v>4.8099999427795401</v>
      </c>
      <c r="F59" s="9">
        <f t="shared" si="18"/>
        <v>3.2000001271565739</v>
      </c>
      <c r="G59" s="17">
        <v>19.2000007629394</v>
      </c>
      <c r="H59" s="5"/>
    </row>
    <row r="60" spans="1:26" x14ac:dyDescent="0.25">
      <c r="D60" s="7"/>
      <c r="E60" s="24"/>
      <c r="F60" s="9">
        <f t="shared" si="18"/>
        <v>0</v>
      </c>
      <c r="G60" s="17"/>
      <c r="H60" s="5"/>
    </row>
    <row r="61" spans="1:26" x14ac:dyDescent="0.25">
      <c r="A61">
        <v>150</v>
      </c>
      <c r="B61" t="s">
        <v>11</v>
      </c>
      <c r="C61">
        <v>26.68</v>
      </c>
      <c r="D61" s="7"/>
      <c r="E61" s="24">
        <v>1.41999995708465</v>
      </c>
      <c r="F61" s="9">
        <f t="shared" si="18"/>
        <v>0</v>
      </c>
      <c r="G61" s="17">
        <v>20.799999237060501</v>
      </c>
      <c r="H61" s="5"/>
    </row>
    <row r="62" spans="1:26" x14ac:dyDescent="0.25">
      <c r="A62">
        <v>134</v>
      </c>
      <c r="B62" t="s">
        <v>11</v>
      </c>
      <c r="C62">
        <v>26.8</v>
      </c>
      <c r="D62" s="7">
        <f t="shared" si="17"/>
        <v>0.12000000000000099</v>
      </c>
      <c r="E62" s="24">
        <v>0.46000000834464999</v>
      </c>
      <c r="F62" s="9">
        <f t="shared" si="18"/>
        <v>0.54666665395101111</v>
      </c>
      <c r="G62" s="17">
        <v>16.399999618530199</v>
      </c>
      <c r="H62" s="5"/>
    </row>
    <row r="63" spans="1:26" x14ac:dyDescent="0.25">
      <c r="A63">
        <v>180</v>
      </c>
      <c r="B63" t="s">
        <v>10</v>
      </c>
      <c r="C63">
        <v>27.08</v>
      </c>
      <c r="D63" s="7">
        <f t="shared" si="17"/>
        <v>0.27999999999999758</v>
      </c>
      <c r="E63" s="24">
        <v>-0.18000000715255701</v>
      </c>
      <c r="F63" s="9">
        <f t="shared" si="18"/>
        <v>1.8044445037841599</v>
      </c>
      <c r="G63" s="17">
        <v>23.2000007629394</v>
      </c>
      <c r="H63" s="5"/>
    </row>
    <row r="64" spans="1:26" x14ac:dyDescent="0.25">
      <c r="D64" s="7"/>
      <c r="E64" s="24"/>
      <c r="F64" s="9">
        <f t="shared" si="18"/>
        <v>0</v>
      </c>
      <c r="G64" s="17"/>
      <c r="H64" s="5"/>
    </row>
    <row r="65" spans="1:8" x14ac:dyDescent="0.25">
      <c r="A65">
        <v>164</v>
      </c>
      <c r="B65" t="s">
        <v>10</v>
      </c>
      <c r="C65">
        <v>29.6</v>
      </c>
      <c r="D65" s="7"/>
      <c r="E65" s="24">
        <v>0.86000001430511397</v>
      </c>
      <c r="F65" s="9">
        <f t="shared" si="18"/>
        <v>0</v>
      </c>
      <c r="G65" s="17">
        <v>20.2000007629394</v>
      </c>
      <c r="H65" s="5"/>
    </row>
    <row r="66" spans="1:8" x14ac:dyDescent="0.25">
      <c r="A66">
        <v>191</v>
      </c>
      <c r="B66" t="s">
        <v>10</v>
      </c>
      <c r="C66">
        <v>32.08</v>
      </c>
      <c r="D66" s="7">
        <f t="shared" si="17"/>
        <v>2.4799999999999969</v>
      </c>
      <c r="E66" s="24">
        <v>10.439999580383301</v>
      </c>
      <c r="F66" s="9">
        <f t="shared" si="18"/>
        <v>11.917777252197217</v>
      </c>
      <c r="G66" s="17">
        <v>17.299999237060501</v>
      </c>
      <c r="H66" s="5"/>
    </row>
    <row r="67" spans="1:8" x14ac:dyDescent="0.25">
      <c r="A67">
        <v>210</v>
      </c>
      <c r="B67" t="s">
        <v>11</v>
      </c>
      <c r="C67">
        <v>34.08</v>
      </c>
      <c r="D67" s="7">
        <f t="shared" si="17"/>
        <v>2</v>
      </c>
      <c r="E67" s="24">
        <v>11.949999809265099</v>
      </c>
      <c r="F67" s="9">
        <f t="shared" si="18"/>
        <v>13.611111111111111</v>
      </c>
      <c r="G67" s="17">
        <v>24.5</v>
      </c>
      <c r="H67" s="5"/>
    </row>
    <row r="68" spans="1:8" x14ac:dyDescent="0.25">
      <c r="A68">
        <v>249</v>
      </c>
      <c r="B68" t="s">
        <v>11</v>
      </c>
      <c r="C68">
        <v>35.119999999999997</v>
      </c>
      <c r="D68" s="7">
        <f t="shared" si="17"/>
        <v>1.0399999999999991</v>
      </c>
      <c r="E68" s="24">
        <v>9.3800001144409109</v>
      </c>
      <c r="F68" s="9">
        <f t="shared" si="18"/>
        <v>9.5622217814127257</v>
      </c>
      <c r="G68" s="17">
        <v>33.099998474121001</v>
      </c>
      <c r="H68" s="5"/>
    </row>
    <row r="69" spans="1:8" x14ac:dyDescent="0.25">
      <c r="A69" s="56">
        <v>243</v>
      </c>
      <c r="B69" t="s">
        <v>11</v>
      </c>
      <c r="C69">
        <v>35.520000000000003</v>
      </c>
      <c r="D69" s="7">
        <f t="shared" si="17"/>
        <v>0.40000000000000568</v>
      </c>
      <c r="E69" s="24">
        <v>1.50999999046325</v>
      </c>
      <c r="F69" s="9">
        <f t="shared" si="18"/>
        <v>2.2222222222222539</v>
      </c>
      <c r="G69" s="17">
        <v>20</v>
      </c>
      <c r="H69" s="5"/>
    </row>
    <row r="70" spans="1:8" x14ac:dyDescent="0.25">
      <c r="A70" s="57">
        <v>233</v>
      </c>
      <c r="B70" t="s">
        <v>11</v>
      </c>
      <c r="C70">
        <v>35.6</v>
      </c>
      <c r="D70" s="7">
        <f t="shared" si="17"/>
        <v>7.9999999999998295E-2</v>
      </c>
      <c r="E70" s="24">
        <v>-2.0899999141693102</v>
      </c>
      <c r="F70" s="9">
        <f t="shared" si="18"/>
        <v>0.49777776930066042</v>
      </c>
      <c r="G70" s="17">
        <v>22.399999618530199</v>
      </c>
      <c r="H70" s="5"/>
    </row>
    <row r="71" spans="1:8" x14ac:dyDescent="0.25">
      <c r="A71">
        <v>269</v>
      </c>
      <c r="B71" t="s">
        <v>11</v>
      </c>
      <c r="C71">
        <v>36.08</v>
      </c>
      <c r="D71" s="7">
        <f t="shared" si="17"/>
        <v>0.47999999999999687</v>
      </c>
      <c r="E71" s="24">
        <v>5.4000000953674299</v>
      </c>
      <c r="F71" s="9">
        <f t="shared" si="18"/>
        <v>0</v>
      </c>
      <c r="G71" s="17">
        <v>0</v>
      </c>
      <c r="H71" s="5"/>
    </row>
    <row r="72" spans="1:8" x14ac:dyDescent="0.25">
      <c r="A72" s="57">
        <v>245</v>
      </c>
      <c r="B72" t="s">
        <v>11</v>
      </c>
      <c r="C72">
        <v>36.28</v>
      </c>
      <c r="D72" s="7">
        <f t="shared" si="17"/>
        <v>0.20000000000000284</v>
      </c>
      <c r="E72" s="24">
        <v>-2.16000008583068</v>
      </c>
      <c r="F72" s="9">
        <f t="shared" si="18"/>
        <v>1.3555555343628078</v>
      </c>
      <c r="G72" s="17">
        <v>24.399999618530199</v>
      </c>
      <c r="H72" s="5"/>
    </row>
    <row r="73" spans="1:8" x14ac:dyDescent="0.25">
      <c r="A73">
        <v>270</v>
      </c>
      <c r="B73" t="s">
        <v>11</v>
      </c>
      <c r="C73">
        <v>38.799999999999997</v>
      </c>
      <c r="D73" s="7">
        <f t="shared" si="17"/>
        <v>2.519999999999996</v>
      </c>
      <c r="E73" s="24">
        <v>16.590000152587798</v>
      </c>
      <c r="F73" s="9">
        <f t="shared" si="18"/>
        <v>16.659999465942324</v>
      </c>
      <c r="G73" s="17">
        <v>23.799999237060501</v>
      </c>
      <c r="H73" s="5"/>
    </row>
    <row r="74" spans="1:8" x14ac:dyDescent="0.25">
      <c r="A74" s="56">
        <v>276</v>
      </c>
      <c r="B74" t="s">
        <v>11</v>
      </c>
      <c r="C74">
        <v>40.28</v>
      </c>
      <c r="D74" s="7">
        <f t="shared" si="17"/>
        <v>1.480000000000004</v>
      </c>
      <c r="E74" s="24">
        <v>9.1899995803833008</v>
      </c>
      <c r="F74" s="9">
        <f t="shared" si="18"/>
        <v>7.1533331765068784</v>
      </c>
      <c r="G74" s="17">
        <v>17.399999618530199</v>
      </c>
      <c r="H74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{4344E78A-DEC4-469C-8F68-84A90378E5DA}</x14:id>
        </ext>
      </extLst>
    </cfRule>
  </conditionalFormatting>
  <conditionalFormatting sqref="G35:G74 F3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{7373B52D-2EBE-4503-BB3B-C8B023DEBD9F}</x14:id>
        </ext>
      </extLst>
    </cfRule>
  </conditionalFormatting>
  <conditionalFormatting sqref="K3:K13">
    <cfRule type="cellIs" dxfId="71" priority="11" operator="between">
      <formula>4</formula>
      <formula>5</formula>
    </cfRule>
    <cfRule type="cellIs" dxfId="70" priority="12" operator="lessThan">
      <formula>3.99</formula>
    </cfRule>
    <cfRule type="cellIs" dxfId="69" priority="13" operator="greaterThan">
      <formula>5</formula>
    </cfRule>
  </conditionalFormatting>
  <conditionalFormatting sqref="K34:K44">
    <cfRule type="cellIs" dxfId="68" priority="7" operator="between">
      <formula>4</formula>
      <formula>5</formula>
    </cfRule>
    <cfRule type="cellIs" dxfId="67" priority="8" operator="lessThan">
      <formula>3.99</formula>
    </cfRule>
    <cfRule type="cellIs" dxfId="66" priority="9" operator="greaterThan">
      <formula>5</formula>
    </cfRule>
  </conditionalFormatting>
  <conditionalFormatting sqref="AC33:AG43">
    <cfRule type="cellIs" dxfId="65" priority="1" operator="between">
      <formula>4</formula>
      <formula>5</formula>
    </cfRule>
    <cfRule type="cellIs" dxfId="64" priority="2" operator="lessThan">
      <formula>3.99</formula>
    </cfRule>
    <cfRule type="cellIs" dxfId="63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44E78A-DEC4-469C-8F68-84A90378E5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7373B52D-2EBE-4503-BB3B-C8B023DEB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G35:G74 F35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55CC-4E05-4A11-A046-9BBF68B21DB6}">
  <sheetPr codeName="Sheet8"/>
  <dimension ref="A1:AG83"/>
  <sheetViews>
    <sheetView topLeftCell="A22" workbookViewId="0">
      <selection activeCell="D47" sqref="D47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 t="s">
        <v>18</v>
      </c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1</v>
      </c>
      <c r="B3" t="s">
        <v>10</v>
      </c>
      <c r="C3">
        <v>2.44</v>
      </c>
      <c r="D3" s="7">
        <v>0</v>
      </c>
      <c r="E3" s="1">
        <v>0</v>
      </c>
      <c r="F3" s="7">
        <v>0</v>
      </c>
      <c r="G3">
        <v>24.1</v>
      </c>
      <c r="J3" s="11">
        <v>0</v>
      </c>
      <c r="K3" s="11">
        <v>0</v>
      </c>
      <c r="X3" s="1">
        <f t="shared" ref="X3:Y27" si="0">D4</f>
        <v>2.9600000000000004</v>
      </c>
      <c r="Y3" s="1">
        <f t="shared" si="0"/>
        <v>17.739999999999998</v>
      </c>
      <c r="Z3" s="1">
        <f t="shared" ref="Z3:Z27" si="1">G4</f>
        <v>21.4</v>
      </c>
      <c r="AA3" s="4">
        <f t="shared" ref="AA3:AA27" si="2">G3</f>
        <v>24.1</v>
      </c>
      <c r="AB3" s="1" t="s">
        <v>10</v>
      </c>
      <c r="AC3" s="1" t="s">
        <v>10</v>
      </c>
    </row>
    <row r="4" spans="1:29" x14ac:dyDescent="0.25">
      <c r="A4">
        <v>27</v>
      </c>
      <c r="B4" t="s">
        <v>12</v>
      </c>
      <c r="C4">
        <v>5.4</v>
      </c>
      <c r="D4" s="7">
        <f>C4-C3</f>
        <v>2.9600000000000004</v>
      </c>
      <c r="E4" s="2">
        <v>17.739999999999998</v>
      </c>
      <c r="F4" s="9">
        <f t="shared" ref="F4:F17" si="3">D4*G4/3.6</f>
        <v>17.595555555555556</v>
      </c>
      <c r="G4">
        <v>21.4</v>
      </c>
      <c r="H4" s="5">
        <f t="shared" ref="H4:H17" si="4">E4/(4.8*(((G4/3.6)/16.1)+1))</f>
        <v>2.6992250504032258</v>
      </c>
      <c r="J4" s="11">
        <v>0.2</v>
      </c>
      <c r="K4" s="12">
        <f>SLOPE($E$3:$E$27, $D$3:$D$27) * J4 + INTERCEPT($E$3:$E$27, $D$3:$D$27)</f>
        <v>3.6229939513783913</v>
      </c>
      <c r="X4" s="1">
        <f t="shared" si="0"/>
        <v>1.4399999999999995</v>
      </c>
      <c r="Y4" s="1">
        <f t="shared" si="0"/>
        <v>7.73</v>
      </c>
      <c r="Z4" s="1">
        <f t="shared" si="1"/>
        <v>20.6</v>
      </c>
      <c r="AA4" s="4">
        <f t="shared" si="2"/>
        <v>21.4</v>
      </c>
      <c r="AB4" s="1" t="s">
        <v>10</v>
      </c>
      <c r="AC4" s="1" t="s">
        <v>10</v>
      </c>
    </row>
    <row r="5" spans="1:29" x14ac:dyDescent="0.25">
      <c r="A5">
        <v>2</v>
      </c>
      <c r="B5" t="s">
        <v>10</v>
      </c>
      <c r="C5">
        <v>6.84</v>
      </c>
      <c r="D5" s="7">
        <f t="shared" ref="D5:D17" si="5">C5-C4</f>
        <v>1.4399999999999995</v>
      </c>
      <c r="E5" s="2">
        <v>7.73</v>
      </c>
      <c r="F5" s="9">
        <f t="shared" si="3"/>
        <v>8.2399999999999967</v>
      </c>
      <c r="G5">
        <v>20.6</v>
      </c>
      <c r="H5" s="5">
        <f t="shared" si="4"/>
        <v>1.1881332739307537</v>
      </c>
      <c r="J5" s="11">
        <v>0.4</v>
      </c>
      <c r="K5" s="12">
        <f t="shared" ref="K5:K13" si="6">SLOPE($E$3:$E$27, $D$3:$D$27) * J5 + INTERCEPT($E$3:$E$27, $D$3:$D$27)</f>
        <v>4.2267932418285481</v>
      </c>
      <c r="X5" s="1">
        <f t="shared" si="0"/>
        <v>2.1999999999999993</v>
      </c>
      <c r="Y5" s="1">
        <f t="shared" si="0"/>
        <v>11.79</v>
      </c>
      <c r="Z5" s="1">
        <f t="shared" si="1"/>
        <v>21.1</v>
      </c>
      <c r="AA5" s="4">
        <f t="shared" si="2"/>
        <v>20.6</v>
      </c>
      <c r="AB5" s="1" t="s">
        <v>10</v>
      </c>
      <c r="AC5" s="1" t="s">
        <v>10</v>
      </c>
    </row>
    <row r="6" spans="1:29" x14ac:dyDescent="0.25">
      <c r="A6">
        <v>57</v>
      </c>
      <c r="B6" t="s">
        <v>10</v>
      </c>
      <c r="C6">
        <v>9.0399999999999991</v>
      </c>
      <c r="D6" s="7">
        <f t="shared" si="5"/>
        <v>2.1999999999999993</v>
      </c>
      <c r="E6" s="2">
        <v>11.79</v>
      </c>
      <c r="F6" s="9">
        <f t="shared" si="3"/>
        <v>12.89444444444444</v>
      </c>
      <c r="G6">
        <v>21.1</v>
      </c>
      <c r="H6" s="5">
        <f t="shared" si="4"/>
        <v>1.8007114849481407</v>
      </c>
      <c r="J6" s="11">
        <v>0.6</v>
      </c>
      <c r="K6" s="12">
        <f t="shared" si="6"/>
        <v>4.8305925322787049</v>
      </c>
      <c r="X6" s="1">
        <f t="shared" si="0"/>
        <v>0.40000000000000036</v>
      </c>
      <c r="Y6" s="1">
        <f t="shared" si="0"/>
        <v>3.04</v>
      </c>
      <c r="Z6" s="1">
        <f t="shared" si="1"/>
        <v>19.100000000000001</v>
      </c>
      <c r="AA6" s="4">
        <f t="shared" si="2"/>
        <v>21.1</v>
      </c>
    </row>
    <row r="7" spans="1:29" x14ac:dyDescent="0.25">
      <c r="A7">
        <v>29</v>
      </c>
      <c r="B7" t="s">
        <v>10</v>
      </c>
      <c r="C7">
        <v>9.44</v>
      </c>
      <c r="D7" s="7">
        <f t="shared" si="5"/>
        <v>0.40000000000000036</v>
      </c>
      <c r="E7" s="2">
        <v>3.04</v>
      </c>
      <c r="F7" s="9">
        <f t="shared" si="3"/>
        <v>2.1222222222222245</v>
      </c>
      <c r="G7">
        <v>19.100000000000001</v>
      </c>
      <c r="H7" s="5">
        <f t="shared" si="4"/>
        <v>0.47635608616662339</v>
      </c>
      <c r="J7" s="11">
        <v>0.8</v>
      </c>
      <c r="K7" s="12">
        <f t="shared" si="6"/>
        <v>5.4343918227288626</v>
      </c>
      <c r="X7" s="1">
        <f t="shared" si="0"/>
        <v>2.08</v>
      </c>
      <c r="Y7" s="1">
        <f t="shared" si="0"/>
        <v>9.49</v>
      </c>
      <c r="Z7" s="1">
        <f t="shared" si="1"/>
        <v>17.100000000000001</v>
      </c>
      <c r="AA7" s="4">
        <f t="shared" si="2"/>
        <v>19.100000000000001</v>
      </c>
    </row>
    <row r="8" spans="1:29" x14ac:dyDescent="0.25">
      <c r="A8">
        <v>58</v>
      </c>
      <c r="B8" t="s">
        <v>10</v>
      </c>
      <c r="C8">
        <v>11.52</v>
      </c>
      <c r="D8" s="7">
        <f>C8-C7</f>
        <v>2.08</v>
      </c>
      <c r="E8" s="2">
        <v>9.49</v>
      </c>
      <c r="F8" s="9">
        <f t="shared" si="3"/>
        <v>9.8800000000000008</v>
      </c>
      <c r="G8">
        <v>17.100000000000001</v>
      </c>
      <c r="H8" s="5">
        <f t="shared" si="4"/>
        <v>1.5266686650679457</v>
      </c>
      <c r="J8" s="11">
        <v>1</v>
      </c>
      <c r="K8" s="12">
        <f t="shared" si="6"/>
        <v>6.0381911131790194</v>
      </c>
      <c r="X8" s="1">
        <f t="shared" si="0"/>
        <v>0.67999999999999972</v>
      </c>
      <c r="Y8" s="1">
        <f t="shared" si="0"/>
        <v>4.62</v>
      </c>
      <c r="Z8" s="1">
        <f t="shared" si="1"/>
        <v>13.2</v>
      </c>
      <c r="AA8" s="4">
        <f t="shared" si="2"/>
        <v>17.100000000000001</v>
      </c>
    </row>
    <row r="9" spans="1:29" x14ac:dyDescent="0.25">
      <c r="A9">
        <v>61</v>
      </c>
      <c r="B9" t="s">
        <v>10</v>
      </c>
      <c r="C9">
        <v>12.2</v>
      </c>
      <c r="D9" s="7">
        <f t="shared" si="5"/>
        <v>0.67999999999999972</v>
      </c>
      <c r="E9" s="2">
        <v>4.62</v>
      </c>
      <c r="F9" s="9">
        <f t="shared" si="3"/>
        <v>2.4933333333333318</v>
      </c>
      <c r="G9">
        <v>13.2</v>
      </c>
      <c r="H9" s="5">
        <f t="shared" si="4"/>
        <v>0.78395868465430019</v>
      </c>
      <c r="J9" s="11">
        <v>1.2</v>
      </c>
      <c r="K9" s="12">
        <f t="shared" si="6"/>
        <v>6.6419904036291761</v>
      </c>
      <c r="X9" s="1">
        <f t="shared" si="0"/>
        <v>5.1999999999999993</v>
      </c>
      <c r="Y9" s="1">
        <f t="shared" si="0"/>
        <v>18.010000000000002</v>
      </c>
      <c r="Z9" s="1">
        <f t="shared" si="1"/>
        <v>17.2</v>
      </c>
      <c r="AA9" s="4">
        <f t="shared" si="2"/>
        <v>13.2</v>
      </c>
    </row>
    <row r="10" spans="1:29" x14ac:dyDescent="0.25">
      <c r="A10">
        <v>78</v>
      </c>
      <c r="B10" t="s">
        <v>10</v>
      </c>
      <c r="C10">
        <v>17.399999999999999</v>
      </c>
      <c r="D10" s="7">
        <f t="shared" si="5"/>
        <v>5.1999999999999993</v>
      </c>
      <c r="E10" s="2">
        <v>18.010000000000002</v>
      </c>
      <c r="F10" s="9">
        <f t="shared" si="3"/>
        <v>24.844444444444438</v>
      </c>
      <c r="G10">
        <v>17.2</v>
      </c>
      <c r="H10" s="5">
        <f t="shared" si="4"/>
        <v>2.8934373336881323</v>
      </c>
      <c r="J10" s="11">
        <v>1.4</v>
      </c>
      <c r="K10" s="12">
        <f t="shared" si="6"/>
        <v>7.245789694079332</v>
      </c>
      <c r="X10" s="1">
        <f t="shared" si="0"/>
        <v>2.0400000000000027</v>
      </c>
      <c r="Y10" s="1">
        <f t="shared" si="0"/>
        <v>9.99</v>
      </c>
      <c r="Z10" s="1">
        <f t="shared" si="1"/>
        <v>14.4</v>
      </c>
      <c r="AA10" s="4">
        <f t="shared" si="2"/>
        <v>17.2</v>
      </c>
    </row>
    <row r="11" spans="1:29" x14ac:dyDescent="0.25">
      <c r="A11">
        <v>101</v>
      </c>
      <c r="B11" t="s">
        <v>11</v>
      </c>
      <c r="C11">
        <v>19.440000000000001</v>
      </c>
      <c r="D11" s="7">
        <f t="shared" si="5"/>
        <v>2.0400000000000027</v>
      </c>
      <c r="E11" s="2">
        <v>9.99</v>
      </c>
      <c r="F11" s="9">
        <f t="shared" si="3"/>
        <v>8.1600000000000108</v>
      </c>
      <c r="G11">
        <v>14.4</v>
      </c>
      <c r="H11" s="5">
        <f t="shared" si="4"/>
        <v>1.6670708955223881</v>
      </c>
      <c r="J11" s="11">
        <v>1.6</v>
      </c>
      <c r="K11" s="12">
        <f t="shared" si="6"/>
        <v>7.8495889845294897</v>
      </c>
      <c r="X11" s="1">
        <f t="shared" si="0"/>
        <v>0.87999999999999901</v>
      </c>
      <c r="Y11" s="1">
        <f t="shared" si="0"/>
        <v>4.16</v>
      </c>
      <c r="Z11" s="1">
        <f t="shared" si="1"/>
        <v>18.100000000000001</v>
      </c>
      <c r="AA11" s="4">
        <f t="shared" si="2"/>
        <v>14.4</v>
      </c>
    </row>
    <row r="12" spans="1:29" x14ac:dyDescent="0.25">
      <c r="A12">
        <v>118</v>
      </c>
      <c r="B12" t="s">
        <v>11</v>
      </c>
      <c r="C12">
        <v>20.32</v>
      </c>
      <c r="D12" s="7">
        <f t="shared" si="5"/>
        <v>0.87999999999999901</v>
      </c>
      <c r="E12" s="2">
        <v>4.16</v>
      </c>
      <c r="F12" s="9">
        <f t="shared" si="3"/>
        <v>4.4244444444444397</v>
      </c>
      <c r="G12">
        <v>18.100000000000001</v>
      </c>
      <c r="H12" s="5">
        <f t="shared" si="4"/>
        <v>0.66042597948987647</v>
      </c>
      <c r="J12" s="11">
        <v>1.8</v>
      </c>
      <c r="K12" s="12">
        <f t="shared" si="6"/>
        <v>8.4533882749796465</v>
      </c>
      <c r="X12" s="1">
        <f t="shared" si="0"/>
        <v>1.879999999999999</v>
      </c>
      <c r="Y12" s="1">
        <f t="shared" si="0"/>
        <v>8.82</v>
      </c>
      <c r="Z12" s="1">
        <f t="shared" si="1"/>
        <v>21</v>
      </c>
      <c r="AA12" s="4">
        <f t="shared" si="2"/>
        <v>18.100000000000001</v>
      </c>
    </row>
    <row r="13" spans="1:29" x14ac:dyDescent="0.25">
      <c r="A13">
        <v>124</v>
      </c>
      <c r="B13" t="s">
        <v>10</v>
      </c>
      <c r="C13">
        <v>22.2</v>
      </c>
      <c r="D13" s="7">
        <f t="shared" si="5"/>
        <v>1.879999999999999</v>
      </c>
      <c r="E13" s="2">
        <v>8.82</v>
      </c>
      <c r="F13" s="9">
        <f t="shared" si="3"/>
        <v>10.96666666666666</v>
      </c>
      <c r="G13">
        <v>21</v>
      </c>
      <c r="H13" s="5">
        <f t="shared" si="4"/>
        <v>1.3488031914893621</v>
      </c>
      <c r="J13" s="11">
        <v>2</v>
      </c>
      <c r="K13" s="12">
        <f t="shared" si="6"/>
        <v>9.0571875654298033</v>
      </c>
      <c r="X13" s="1">
        <f t="shared" si="0"/>
        <v>2.120000000000001</v>
      </c>
      <c r="Y13" s="1">
        <f t="shared" si="0"/>
        <v>9.2100000000000009</v>
      </c>
      <c r="Z13" s="1">
        <f t="shared" si="1"/>
        <v>21.1</v>
      </c>
      <c r="AA13" s="4">
        <f t="shared" si="2"/>
        <v>21</v>
      </c>
    </row>
    <row r="14" spans="1:29" x14ac:dyDescent="0.25">
      <c r="A14">
        <v>156</v>
      </c>
      <c r="B14" t="s">
        <v>10</v>
      </c>
      <c r="C14">
        <v>24.32</v>
      </c>
      <c r="D14" s="7">
        <f t="shared" si="5"/>
        <v>2.120000000000001</v>
      </c>
      <c r="E14" s="2">
        <v>9.2100000000000009</v>
      </c>
      <c r="F14" s="9">
        <f t="shared" si="3"/>
        <v>12.425555555555562</v>
      </c>
      <c r="G14">
        <v>21.1</v>
      </c>
      <c r="H14" s="5">
        <f t="shared" si="4"/>
        <v>1.4066626612699218</v>
      </c>
      <c r="X14" s="1">
        <f t="shared" si="0"/>
        <v>2.1999999999999993</v>
      </c>
      <c r="Y14" s="1">
        <f t="shared" si="0"/>
        <v>12.6</v>
      </c>
      <c r="Z14" s="1">
        <f t="shared" si="1"/>
        <v>22.5</v>
      </c>
      <c r="AA14" s="4">
        <f t="shared" si="2"/>
        <v>21.1</v>
      </c>
    </row>
    <row r="15" spans="1:29" x14ac:dyDescent="0.25">
      <c r="A15">
        <v>167</v>
      </c>
      <c r="B15" t="s">
        <v>10</v>
      </c>
      <c r="C15">
        <v>26.52</v>
      </c>
      <c r="D15" s="7">
        <f>C15-C14</f>
        <v>2.1999999999999993</v>
      </c>
      <c r="E15" s="2">
        <v>12.6</v>
      </c>
      <c r="F15" s="9">
        <f t="shared" si="3"/>
        <v>13.749999999999996</v>
      </c>
      <c r="G15">
        <v>22.5</v>
      </c>
      <c r="H15" s="5">
        <f t="shared" si="4"/>
        <v>1.8909395973154361</v>
      </c>
      <c r="J15" s="109" t="s">
        <v>66</v>
      </c>
      <c r="K15" s="109"/>
      <c r="X15" s="1">
        <f t="shared" si="0"/>
        <v>5.120000000000001</v>
      </c>
      <c r="Y15" s="1">
        <f t="shared" si="0"/>
        <v>17.170000000000002</v>
      </c>
      <c r="Z15" s="1">
        <f t="shared" si="1"/>
        <v>19.100000000000001</v>
      </c>
      <c r="AA15" s="4">
        <f t="shared" si="2"/>
        <v>22.5</v>
      </c>
    </row>
    <row r="16" spans="1:29" x14ac:dyDescent="0.25">
      <c r="A16">
        <v>192</v>
      </c>
      <c r="B16" t="s">
        <v>11</v>
      </c>
      <c r="C16">
        <v>31.64</v>
      </c>
      <c r="D16" s="7">
        <f t="shared" si="5"/>
        <v>5.120000000000001</v>
      </c>
      <c r="E16" s="2">
        <v>17.170000000000002</v>
      </c>
      <c r="F16" s="9">
        <f t="shared" si="3"/>
        <v>27.164444444444452</v>
      </c>
      <c r="G16">
        <v>19.100000000000001</v>
      </c>
      <c r="H16" s="5">
        <f t="shared" si="4"/>
        <v>2.6904717103555673</v>
      </c>
      <c r="J16" s="63" t="s">
        <v>10</v>
      </c>
      <c r="K16" s="64">
        <f>AVERAGEIFS($G$3:$G$30, $B$3:$B$30, J16, $G$3:$G$30, "&lt;&gt;0")</f>
        <v>19.545454545454547</v>
      </c>
      <c r="X16" s="1">
        <f t="shared" si="0"/>
        <v>4.6000000000000014</v>
      </c>
      <c r="Y16" s="1">
        <f t="shared" si="0"/>
        <v>12.96</v>
      </c>
      <c r="Z16" s="1">
        <f t="shared" si="1"/>
        <v>18</v>
      </c>
      <c r="AA16" s="4">
        <f t="shared" si="2"/>
        <v>19.100000000000001</v>
      </c>
    </row>
    <row r="17" spans="1:33" x14ac:dyDescent="0.25">
      <c r="A17">
        <v>219</v>
      </c>
      <c r="B17" t="s">
        <v>10</v>
      </c>
      <c r="C17">
        <v>36.24</v>
      </c>
      <c r="D17" s="7">
        <f t="shared" si="5"/>
        <v>4.6000000000000014</v>
      </c>
      <c r="E17" s="2">
        <v>12.96</v>
      </c>
      <c r="F17" s="9">
        <f t="shared" si="3"/>
        <v>23.000000000000007</v>
      </c>
      <c r="G17">
        <v>18</v>
      </c>
      <c r="H17" s="5">
        <f t="shared" si="4"/>
        <v>2.060189573459716</v>
      </c>
      <c r="J17" s="63" t="s">
        <v>11</v>
      </c>
      <c r="K17" s="64">
        <f t="shared" ref="K17:K18" si="7">AVERAGEIFS($G$3:$G$30, $B$3:$B$30, J17, $G$3:$G$30, "&lt;&gt;0")</f>
        <v>17.2</v>
      </c>
      <c r="X17" s="1">
        <f t="shared" si="0"/>
        <v>0</v>
      </c>
      <c r="Y17" s="1">
        <f t="shared" si="0"/>
        <v>0</v>
      </c>
      <c r="Z17" s="1">
        <f t="shared" si="1"/>
        <v>0</v>
      </c>
      <c r="AA17" s="4">
        <f t="shared" si="2"/>
        <v>18</v>
      </c>
    </row>
    <row r="18" spans="1:33" x14ac:dyDescent="0.25">
      <c r="D18" s="7"/>
      <c r="E18" s="2"/>
      <c r="F18" s="9"/>
      <c r="H18" s="5"/>
      <c r="J18" s="63" t="s">
        <v>12</v>
      </c>
      <c r="K18" s="64">
        <f t="shared" si="7"/>
        <v>21.4</v>
      </c>
      <c r="X18" s="1">
        <f t="shared" si="0"/>
        <v>0</v>
      </c>
      <c r="Y18" s="1">
        <f t="shared" si="0"/>
        <v>0</v>
      </c>
      <c r="Z18" s="1">
        <f t="shared" si="1"/>
        <v>0</v>
      </c>
      <c r="AA18" s="4">
        <f t="shared" si="2"/>
        <v>0</v>
      </c>
    </row>
    <row r="19" spans="1:33" x14ac:dyDescent="0.25">
      <c r="D19" s="7"/>
      <c r="E19" s="2"/>
      <c r="F19" s="9"/>
      <c r="H19" s="5"/>
      <c r="J19" s="6"/>
      <c r="K19" s="17"/>
      <c r="X19" s="1">
        <f t="shared" si="0"/>
        <v>0</v>
      </c>
      <c r="Y19" s="1">
        <f t="shared" si="0"/>
        <v>0</v>
      </c>
      <c r="Z19" s="1">
        <f t="shared" si="1"/>
        <v>0</v>
      </c>
      <c r="AA19" s="4">
        <f t="shared" si="2"/>
        <v>0</v>
      </c>
    </row>
    <row r="20" spans="1:33" x14ac:dyDescent="0.25">
      <c r="D20" s="7"/>
      <c r="E20" s="2"/>
      <c r="F20" s="9"/>
      <c r="H20" s="5"/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0</v>
      </c>
    </row>
    <row r="21" spans="1:33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1:33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 t="s">
        <v>18</v>
      </c>
      <c r="J34" s="11">
        <v>0</v>
      </c>
      <c r="K34" s="11">
        <v>0</v>
      </c>
      <c r="X34" s="6"/>
      <c r="Y34" s="22">
        <f t="shared" ref="Y34:Y56" si="8">E4/G4</f>
        <v>0.82897196261682238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11</v>
      </c>
      <c r="B35" t="s">
        <v>41</v>
      </c>
      <c r="C35">
        <v>0.12</v>
      </c>
      <c r="D35" s="7">
        <v>0</v>
      </c>
      <c r="E35" s="1">
        <v>0</v>
      </c>
      <c r="F35" s="7">
        <v>0</v>
      </c>
      <c r="G35">
        <v>0</v>
      </c>
      <c r="J35" s="11">
        <v>0.2</v>
      </c>
      <c r="K35" s="12">
        <f t="shared" ref="K35:K44" si="9">SLOPE($E$35:$E$58, $D$35:$D$58) * J35 + INTERCEPT($E$35:$E$58, $D$35:$D$58)</f>
        <v>3.0660608821755386</v>
      </c>
      <c r="X35" s="6"/>
      <c r="Y35" s="22">
        <f t="shared" si="8"/>
        <v>0.37524271844660195</v>
      </c>
      <c r="Z35" s="1">
        <v>1.04</v>
      </c>
      <c r="AB35" s="11">
        <v>0.4</v>
      </c>
      <c r="AC35" s="23" t="e">
        <f t="shared" ref="AC35:AC43" si="10">SLOPE($Y$33:$Y$57, $Z$33:$Z$57) * AB35 + INTERCEPT($Y$33:$Y$57, $Z$33:$Z$57)</f>
        <v>#DIV/0!</v>
      </c>
      <c r="AD35" s="23" t="e">
        <f t="shared" ref="AD35:AD43" si="11">$AD$32*AC35</f>
        <v>#DIV/0!</v>
      </c>
      <c r="AE35" s="23" t="e">
        <f t="shared" ref="AE35:AE43" si="12">$AE$32*AC35</f>
        <v>#DIV/0!</v>
      </c>
      <c r="AF35" s="23" t="e">
        <f t="shared" ref="AF35:AF43" si="13">$AF$32*AC35</f>
        <v>#DIV/0!</v>
      </c>
      <c r="AG35" s="23" t="e">
        <f t="shared" ref="AG35:AG43" si="14">$AG$32*AC35</f>
        <v>#DIV/0!</v>
      </c>
    </row>
    <row r="36" spans="1:33" x14ac:dyDescent="0.25">
      <c r="A36">
        <v>22</v>
      </c>
      <c r="B36" t="s">
        <v>41</v>
      </c>
      <c r="C36">
        <v>4.24</v>
      </c>
      <c r="D36" s="7">
        <f>C36-C35</f>
        <v>4.12</v>
      </c>
      <c r="E36" s="2">
        <v>10.19</v>
      </c>
      <c r="F36" s="9">
        <f t="shared" ref="F36:F51" si="15">D36*G36/3.6</f>
        <v>12.703333333333333</v>
      </c>
      <c r="G36">
        <v>11.1</v>
      </c>
      <c r="H36" s="5">
        <f t="shared" ref="H36:H51" si="16">E36/(4.8*(((G36/3.6)/16.1)+1))</f>
        <v>1.7817006950477847</v>
      </c>
      <c r="J36" s="11">
        <v>0.4</v>
      </c>
      <c r="K36" s="12">
        <f t="shared" si="9"/>
        <v>3.4462838002592386</v>
      </c>
      <c r="X36" s="6"/>
      <c r="Y36" s="22">
        <f t="shared" si="8"/>
        <v>0.55876777251184828</v>
      </c>
      <c r="Z36" s="1">
        <v>1.1600000000000001</v>
      </c>
      <c r="AB36" s="11">
        <v>0.6</v>
      </c>
      <c r="AC36" s="23" t="e">
        <f t="shared" si="10"/>
        <v>#DIV/0!</v>
      </c>
      <c r="AD36" s="23" t="e">
        <f t="shared" si="11"/>
        <v>#DIV/0!</v>
      </c>
      <c r="AE36" s="23" t="e">
        <f t="shared" si="12"/>
        <v>#DIV/0!</v>
      </c>
      <c r="AF36" s="23" t="e">
        <f t="shared" si="13"/>
        <v>#DIV/0!</v>
      </c>
      <c r="AG36" s="23" t="e">
        <f t="shared" si="14"/>
        <v>#DIV/0!</v>
      </c>
    </row>
    <row r="37" spans="1:33" x14ac:dyDescent="0.25">
      <c r="A37">
        <v>7</v>
      </c>
      <c r="B37" t="s">
        <v>12</v>
      </c>
      <c r="C37">
        <v>4.5999999999999996</v>
      </c>
      <c r="D37" s="7">
        <f t="shared" ref="D37:D51" si="17">C37-C36</f>
        <v>0.35999999999999943</v>
      </c>
      <c r="E37" s="2">
        <v>0.5</v>
      </c>
      <c r="F37" s="9">
        <f t="shared" si="15"/>
        <v>1.7699999999999971</v>
      </c>
      <c r="G37">
        <v>17.7</v>
      </c>
      <c r="H37" s="5">
        <f t="shared" si="16"/>
        <v>7.9797779540047589E-2</v>
      </c>
      <c r="J37" s="11">
        <v>0.6</v>
      </c>
      <c r="K37" s="12">
        <f t="shared" si="9"/>
        <v>3.8265067183429387</v>
      </c>
      <c r="Y37" s="22">
        <f t="shared" si="8"/>
        <v>0.15916230366492146</v>
      </c>
      <c r="Z37" s="1">
        <v>1.2400000000000002</v>
      </c>
      <c r="AB37" s="11">
        <v>0.8</v>
      </c>
      <c r="AC37" s="23" t="e">
        <f t="shared" si="10"/>
        <v>#DIV/0!</v>
      </c>
      <c r="AD37" s="23" t="e">
        <f t="shared" si="11"/>
        <v>#DIV/0!</v>
      </c>
      <c r="AE37" s="23" t="e">
        <f t="shared" si="12"/>
        <v>#DIV/0!</v>
      </c>
      <c r="AF37" s="23" t="e">
        <f t="shared" si="13"/>
        <v>#DIV/0!</v>
      </c>
      <c r="AG37" s="23" t="e">
        <f t="shared" si="14"/>
        <v>#DIV/0!</v>
      </c>
    </row>
    <row r="38" spans="1:33" x14ac:dyDescent="0.25">
      <c r="A38">
        <v>44</v>
      </c>
      <c r="B38" t="s">
        <v>10</v>
      </c>
      <c r="C38">
        <v>7.04</v>
      </c>
      <c r="D38" s="7">
        <f t="shared" si="17"/>
        <v>2.4400000000000004</v>
      </c>
      <c r="E38" s="2">
        <v>12.37</v>
      </c>
      <c r="F38" s="9">
        <f t="shared" si="15"/>
        <v>12.403333333333336</v>
      </c>
      <c r="G38">
        <v>18.3</v>
      </c>
      <c r="H38" s="5">
        <f t="shared" si="16"/>
        <v>1.9586644374508262</v>
      </c>
      <c r="J38" s="11">
        <v>0.8</v>
      </c>
      <c r="K38" s="12">
        <f t="shared" si="9"/>
        <v>4.2067296364266387</v>
      </c>
      <c r="Y38" s="22">
        <f t="shared" si="8"/>
        <v>0.55497076023391811</v>
      </c>
      <c r="Z38" s="1">
        <v>2.16</v>
      </c>
      <c r="AB38" s="11">
        <v>1</v>
      </c>
      <c r="AC38" s="23" t="e">
        <f t="shared" si="10"/>
        <v>#DIV/0!</v>
      </c>
      <c r="AD38" s="23" t="e">
        <f t="shared" si="11"/>
        <v>#DIV/0!</v>
      </c>
      <c r="AE38" s="23" t="e">
        <f t="shared" si="12"/>
        <v>#DIV/0!</v>
      </c>
      <c r="AF38" s="23" t="e">
        <f t="shared" si="13"/>
        <v>#DIV/0!</v>
      </c>
      <c r="AG38" s="23" t="e">
        <f t="shared" si="14"/>
        <v>#DIV/0!</v>
      </c>
    </row>
    <row r="39" spans="1:33" x14ac:dyDescent="0.25">
      <c r="A39">
        <v>17</v>
      </c>
      <c r="B39" t="s">
        <v>10</v>
      </c>
      <c r="C39">
        <v>9</v>
      </c>
      <c r="D39" s="7">
        <f t="shared" si="17"/>
        <v>1.96</v>
      </c>
      <c r="E39" s="2">
        <v>6.99</v>
      </c>
      <c r="F39" s="9">
        <f t="shared" si="15"/>
        <v>9.8544444444444448</v>
      </c>
      <c r="G39">
        <v>18.100000000000001</v>
      </c>
      <c r="H39" s="5">
        <f t="shared" si="16"/>
        <v>1.109706153037076</v>
      </c>
      <c r="J39" s="11">
        <v>1</v>
      </c>
      <c r="K39" s="12">
        <f t="shared" si="9"/>
        <v>4.5869525545103391</v>
      </c>
      <c r="Y39" s="22">
        <f t="shared" si="8"/>
        <v>0.35000000000000003</v>
      </c>
      <c r="Z39" s="1">
        <v>2.6399999999999988</v>
      </c>
      <c r="AB39" s="11">
        <v>1.2</v>
      </c>
      <c r="AC39" s="23" t="e">
        <f t="shared" si="10"/>
        <v>#DIV/0!</v>
      </c>
      <c r="AD39" s="23" t="e">
        <f t="shared" si="11"/>
        <v>#DIV/0!</v>
      </c>
      <c r="AE39" s="23" t="e">
        <f t="shared" si="12"/>
        <v>#DIV/0!</v>
      </c>
      <c r="AF39" s="23" t="e">
        <f t="shared" si="13"/>
        <v>#DIV/0!</v>
      </c>
      <c r="AG39" s="23" t="e">
        <f t="shared" si="14"/>
        <v>#DIV/0!</v>
      </c>
    </row>
    <row r="40" spans="1:33" x14ac:dyDescent="0.25">
      <c r="A40">
        <v>50</v>
      </c>
      <c r="B40" t="s">
        <v>10</v>
      </c>
      <c r="C40">
        <v>11.2</v>
      </c>
      <c r="D40" s="7">
        <f t="shared" si="17"/>
        <v>2.1999999999999993</v>
      </c>
      <c r="E40" s="2">
        <v>8.2200000000000006</v>
      </c>
      <c r="F40" s="9">
        <f t="shared" si="15"/>
        <v>11.24444444444444</v>
      </c>
      <c r="G40">
        <v>18.399999999999999</v>
      </c>
      <c r="H40" s="5">
        <f t="shared" si="16"/>
        <v>1.2998493975903616</v>
      </c>
      <c r="J40" s="11">
        <v>1.2</v>
      </c>
      <c r="K40" s="12">
        <f t="shared" si="9"/>
        <v>4.9671754725940387</v>
      </c>
      <c r="Y40" s="22">
        <f t="shared" si="8"/>
        <v>1.047093023255814</v>
      </c>
      <c r="Z40" s="1">
        <v>2.2000000000000011</v>
      </c>
      <c r="AB40" s="11">
        <v>1.4</v>
      </c>
      <c r="AC40" s="23" t="e">
        <f t="shared" si="10"/>
        <v>#DIV/0!</v>
      </c>
      <c r="AD40" s="23" t="e">
        <f t="shared" si="11"/>
        <v>#DIV/0!</v>
      </c>
      <c r="AE40" s="23" t="e">
        <f t="shared" si="12"/>
        <v>#DIV/0!</v>
      </c>
      <c r="AF40" s="23" t="e">
        <f t="shared" si="13"/>
        <v>#DIV/0!</v>
      </c>
      <c r="AG40" s="23" t="e">
        <f t="shared" si="14"/>
        <v>#DIV/0!</v>
      </c>
    </row>
    <row r="41" spans="1:33" x14ac:dyDescent="0.25">
      <c r="A41">
        <v>68</v>
      </c>
      <c r="B41" t="s">
        <v>36</v>
      </c>
      <c r="C41">
        <v>14.6</v>
      </c>
      <c r="D41" s="7">
        <f t="shared" si="17"/>
        <v>3.4000000000000004</v>
      </c>
      <c r="E41" s="2">
        <v>12.2</v>
      </c>
      <c r="F41" s="9">
        <f t="shared" si="15"/>
        <v>18.133333333333333</v>
      </c>
      <c r="G41">
        <v>19.2</v>
      </c>
      <c r="H41" s="5">
        <f t="shared" si="16"/>
        <v>1.9092146189735615</v>
      </c>
      <c r="J41" s="11">
        <v>1.4</v>
      </c>
      <c r="K41" s="12">
        <f t="shared" si="9"/>
        <v>5.3473983906777391</v>
      </c>
      <c r="Y41" s="22">
        <f t="shared" si="8"/>
        <v>0.69374999999999998</v>
      </c>
      <c r="Z41" s="1">
        <v>2.6799999999999997</v>
      </c>
      <c r="AB41" s="11">
        <v>1.6</v>
      </c>
      <c r="AC41" s="23" t="e">
        <f t="shared" si="10"/>
        <v>#DIV/0!</v>
      </c>
      <c r="AD41" s="23" t="e">
        <f t="shared" si="11"/>
        <v>#DIV/0!</v>
      </c>
      <c r="AE41" s="23" t="e">
        <f t="shared" si="12"/>
        <v>#DIV/0!</v>
      </c>
      <c r="AF41" s="23" t="e">
        <f t="shared" si="13"/>
        <v>#DIV/0!</v>
      </c>
      <c r="AG41" s="23" t="e">
        <f t="shared" si="14"/>
        <v>#DIV/0!</v>
      </c>
    </row>
    <row r="42" spans="1:33" x14ac:dyDescent="0.25">
      <c r="D42" s="7"/>
      <c r="E42" s="2"/>
      <c r="F42" s="9">
        <f t="shared" si="15"/>
        <v>0</v>
      </c>
      <c r="H42" s="5">
        <f t="shared" si="16"/>
        <v>0</v>
      </c>
      <c r="J42" s="11">
        <v>1.6</v>
      </c>
      <c r="K42" s="12">
        <f t="shared" si="9"/>
        <v>5.7276213087614387</v>
      </c>
      <c r="Y42" s="22">
        <f t="shared" si="8"/>
        <v>0.22983425414364639</v>
      </c>
      <c r="Z42" s="1">
        <v>1.4800000000000004</v>
      </c>
      <c r="AB42" s="11">
        <v>1.8</v>
      </c>
      <c r="AC42" s="23" t="e">
        <f t="shared" si="10"/>
        <v>#DIV/0!</v>
      </c>
      <c r="AD42" s="23" t="e">
        <f t="shared" si="11"/>
        <v>#DIV/0!</v>
      </c>
      <c r="AE42" s="23" t="e">
        <f t="shared" si="12"/>
        <v>#DIV/0!</v>
      </c>
      <c r="AF42" s="23" t="e">
        <f t="shared" si="13"/>
        <v>#DIV/0!</v>
      </c>
      <c r="AG42" s="23" t="e">
        <f t="shared" si="14"/>
        <v>#DIV/0!</v>
      </c>
    </row>
    <row r="43" spans="1:33" x14ac:dyDescent="0.25">
      <c r="A43">
        <v>76</v>
      </c>
      <c r="B43" t="s">
        <v>10</v>
      </c>
      <c r="C43">
        <v>16.52</v>
      </c>
      <c r="D43" s="7"/>
      <c r="E43" s="2">
        <v>2.46</v>
      </c>
      <c r="F43" s="9">
        <f t="shared" si="15"/>
        <v>0</v>
      </c>
      <c r="G43">
        <v>16.7</v>
      </c>
      <c r="H43" s="5">
        <f t="shared" si="16"/>
        <v>0.39786364854004824</v>
      </c>
      <c r="J43" s="11">
        <v>1.8</v>
      </c>
      <c r="K43" s="12">
        <f t="shared" si="9"/>
        <v>6.1078442268451392</v>
      </c>
      <c r="Y43" s="22">
        <f t="shared" si="8"/>
        <v>0.42000000000000004</v>
      </c>
      <c r="Z43" s="1">
        <v>1.6400000000000006</v>
      </c>
      <c r="AB43" s="11">
        <v>2</v>
      </c>
      <c r="AC43" s="23" t="e">
        <f t="shared" si="10"/>
        <v>#DIV/0!</v>
      </c>
      <c r="AD43" s="23" t="e">
        <f t="shared" si="11"/>
        <v>#DIV/0!</v>
      </c>
      <c r="AE43" s="23" t="e">
        <f t="shared" si="12"/>
        <v>#DIV/0!</v>
      </c>
      <c r="AF43" s="23" t="e">
        <f t="shared" si="13"/>
        <v>#DIV/0!</v>
      </c>
      <c r="AG43" s="23" t="e">
        <f t="shared" si="14"/>
        <v>#DIV/0!</v>
      </c>
    </row>
    <row r="44" spans="1:33" x14ac:dyDescent="0.25">
      <c r="A44">
        <v>148</v>
      </c>
      <c r="B44" t="s">
        <v>11</v>
      </c>
      <c r="C44">
        <v>19.04</v>
      </c>
      <c r="D44" s="7">
        <f t="shared" si="17"/>
        <v>2.5199999999999996</v>
      </c>
      <c r="E44" s="2">
        <v>10.93</v>
      </c>
      <c r="F44" s="9">
        <f t="shared" si="15"/>
        <v>0</v>
      </c>
      <c r="G44">
        <v>0</v>
      </c>
      <c r="H44" s="5">
        <f t="shared" si="16"/>
        <v>2.2770833333333336</v>
      </c>
      <c r="J44" s="11">
        <v>2</v>
      </c>
      <c r="K44" s="12">
        <f t="shared" si="9"/>
        <v>6.4880671449288396</v>
      </c>
      <c r="Y44" s="22">
        <f t="shared" si="8"/>
        <v>0.43649289099526067</v>
      </c>
      <c r="Z44" s="1">
        <v>1.6799999999999997</v>
      </c>
    </row>
    <row r="45" spans="1:33" x14ac:dyDescent="0.25">
      <c r="A45">
        <v>88</v>
      </c>
      <c r="B45" t="s">
        <v>10</v>
      </c>
      <c r="C45">
        <v>20.399999999999999</v>
      </c>
      <c r="D45" s="7">
        <f t="shared" si="17"/>
        <v>1.3599999999999994</v>
      </c>
      <c r="E45" s="2">
        <v>1.94</v>
      </c>
      <c r="F45" s="9">
        <f t="shared" si="15"/>
        <v>6.2711111111111091</v>
      </c>
      <c r="G45">
        <v>16.600000000000001</v>
      </c>
      <c r="H45" s="5">
        <f t="shared" si="16"/>
        <v>0.3141832081545064</v>
      </c>
      <c r="Y45" s="22">
        <f t="shared" si="8"/>
        <v>0.55999999999999994</v>
      </c>
      <c r="Z45" s="1">
        <v>1.6799999999999997</v>
      </c>
    </row>
    <row r="46" spans="1:33" x14ac:dyDescent="0.25">
      <c r="D46" s="7"/>
      <c r="E46" s="2"/>
      <c r="F46" s="9">
        <f t="shared" si="15"/>
        <v>0</v>
      </c>
      <c r="H46" s="5">
        <f t="shared" si="16"/>
        <v>0</v>
      </c>
      <c r="J46" s="109" t="s">
        <v>66</v>
      </c>
      <c r="K46" s="109"/>
      <c r="Y46" s="22">
        <f t="shared" si="8"/>
        <v>0.89895287958115189</v>
      </c>
      <c r="Z46" s="1">
        <v>1</v>
      </c>
    </row>
    <row r="47" spans="1:33" x14ac:dyDescent="0.25">
      <c r="A47">
        <v>147</v>
      </c>
      <c r="B47" t="s">
        <v>12</v>
      </c>
      <c r="C47">
        <v>24.4</v>
      </c>
      <c r="D47" s="7"/>
      <c r="E47" s="2">
        <v>7.02</v>
      </c>
      <c r="F47" s="9">
        <f t="shared" si="15"/>
        <v>0</v>
      </c>
      <c r="G47">
        <v>20.5</v>
      </c>
      <c r="H47" s="5">
        <f t="shared" si="16"/>
        <v>1.0803785368340555</v>
      </c>
      <c r="J47" s="63" t="s">
        <v>10</v>
      </c>
      <c r="K47" s="64">
        <f>AVERAGEIFS($G$35:$G$80, $B$35:$B$80, J47, $G$35:$G$80, "&lt;&gt;0")</f>
        <v>17.816666666666666</v>
      </c>
      <c r="Y47" s="22">
        <f t="shared" si="8"/>
        <v>0.72000000000000008</v>
      </c>
      <c r="Z47" s="1">
        <v>3.4400000000000013</v>
      </c>
    </row>
    <row r="48" spans="1:33" x14ac:dyDescent="0.25">
      <c r="A48">
        <v>158</v>
      </c>
      <c r="B48" t="s">
        <v>12</v>
      </c>
      <c r="C48">
        <v>25.04</v>
      </c>
      <c r="D48" s="7">
        <f t="shared" si="17"/>
        <v>0.64000000000000057</v>
      </c>
      <c r="E48" s="2">
        <v>4.21</v>
      </c>
      <c r="F48" s="9">
        <f t="shared" si="15"/>
        <v>3.7688888888888923</v>
      </c>
      <c r="G48">
        <v>21.2</v>
      </c>
      <c r="H48" s="5">
        <f t="shared" si="16"/>
        <v>0.64218986862051541</v>
      </c>
      <c r="J48" s="63" t="s">
        <v>11</v>
      </c>
      <c r="K48" s="64">
        <f t="shared" ref="K48:K49" si="18">AVERAGEIFS($G$35:$G$80, $B$35:$B$80, J48, $G$35:$G$80, "&lt;&gt;0")</f>
        <v>15.7</v>
      </c>
      <c r="Y48" s="22" t="e">
        <f t="shared" si="8"/>
        <v>#DIV/0!</v>
      </c>
      <c r="Z48" s="1">
        <v>1.1999999999999993</v>
      </c>
    </row>
    <row r="49" spans="1:26" x14ac:dyDescent="0.25">
      <c r="A49">
        <v>183</v>
      </c>
      <c r="B49" t="s">
        <v>14</v>
      </c>
      <c r="C49">
        <v>31.84</v>
      </c>
      <c r="D49" s="7">
        <f t="shared" si="17"/>
        <v>6.8000000000000007</v>
      </c>
      <c r="E49" s="2">
        <v>12.09</v>
      </c>
      <c r="F49" s="9">
        <f t="shared" si="15"/>
        <v>23.422222222222224</v>
      </c>
      <c r="G49">
        <v>12.4</v>
      </c>
      <c r="H49" s="5">
        <f t="shared" si="16"/>
        <v>2.0748543206367254</v>
      </c>
      <c r="J49" s="63" t="s">
        <v>12</v>
      </c>
      <c r="K49" s="64">
        <f t="shared" si="18"/>
        <v>19.8</v>
      </c>
      <c r="Y49" s="22" t="e">
        <f t="shared" si="8"/>
        <v>#DIV/0!</v>
      </c>
      <c r="Z49" s="1">
        <v>2.6799999999999997</v>
      </c>
    </row>
    <row r="50" spans="1:26" x14ac:dyDescent="0.25">
      <c r="A50">
        <v>203</v>
      </c>
      <c r="B50" t="s">
        <v>11</v>
      </c>
      <c r="C50">
        <v>33.64</v>
      </c>
      <c r="D50" s="7">
        <f t="shared" si="17"/>
        <v>1.8000000000000007</v>
      </c>
      <c r="E50" s="2">
        <v>7.5</v>
      </c>
      <c r="F50" s="9">
        <f t="shared" si="15"/>
        <v>7.8500000000000023</v>
      </c>
      <c r="G50">
        <v>15.7</v>
      </c>
      <c r="H50" s="5">
        <f t="shared" si="16"/>
        <v>1.2294664675536249</v>
      </c>
      <c r="Y50" s="22" t="e">
        <f t="shared" si="8"/>
        <v>#DIV/0!</v>
      </c>
      <c r="Z50" s="1">
        <v>1.5999999999999979</v>
      </c>
    </row>
    <row r="51" spans="1:26" x14ac:dyDescent="0.25">
      <c r="A51">
        <v>219</v>
      </c>
      <c r="B51" t="s">
        <v>10</v>
      </c>
      <c r="C51">
        <v>36.64</v>
      </c>
      <c r="D51" s="7">
        <f t="shared" si="17"/>
        <v>3</v>
      </c>
      <c r="E51" s="2">
        <v>5.95</v>
      </c>
      <c r="F51" s="9">
        <f t="shared" si="15"/>
        <v>15.666666666666668</v>
      </c>
      <c r="G51">
        <v>18.8</v>
      </c>
      <c r="H51" s="5">
        <f t="shared" si="16"/>
        <v>0.935985539343408</v>
      </c>
      <c r="Y51" s="22" t="e">
        <f t="shared" si="8"/>
        <v>#DIV/0!</v>
      </c>
      <c r="Z51" s="1">
        <v>1.6000000000000014</v>
      </c>
    </row>
    <row r="52" spans="1:26" x14ac:dyDescent="0.25">
      <c r="D52" s="7"/>
      <c r="E52" s="2"/>
      <c r="F52" s="9"/>
      <c r="H52" s="5"/>
      <c r="Y52" s="22" t="e">
        <f t="shared" si="8"/>
        <v>#DIV/0!</v>
      </c>
      <c r="Z52" s="1">
        <v>1.2000000000000028</v>
      </c>
    </row>
    <row r="53" spans="1:26" x14ac:dyDescent="0.25">
      <c r="D53" s="7"/>
      <c r="E53" s="2"/>
      <c r="F53" s="9"/>
      <c r="H53" s="5"/>
      <c r="Y53" s="22" t="e">
        <f t="shared" si="8"/>
        <v>#DIV/0!</v>
      </c>
      <c r="Z53" s="1">
        <v>0.79999999999999716</v>
      </c>
    </row>
    <row r="54" spans="1:26" x14ac:dyDescent="0.25">
      <c r="D54" s="7"/>
      <c r="E54" s="2"/>
      <c r="F54" s="9"/>
      <c r="H54" s="5"/>
      <c r="Y54" s="22" t="e">
        <f t="shared" si="8"/>
        <v>#DIV/0!</v>
      </c>
      <c r="Z54" s="1">
        <v>1.4799999999999969</v>
      </c>
    </row>
    <row r="55" spans="1:26" x14ac:dyDescent="0.25">
      <c r="D55" s="7"/>
      <c r="E55" s="2"/>
      <c r="F55" s="9"/>
      <c r="H55" s="5"/>
      <c r="Y55" s="22" t="e">
        <f t="shared" si="8"/>
        <v>#DIV/0!</v>
      </c>
      <c r="Z55" s="1">
        <v>0.80000000000000426</v>
      </c>
    </row>
    <row r="56" spans="1:26" x14ac:dyDescent="0.25">
      <c r="D56" s="7"/>
      <c r="F56" s="9"/>
      <c r="H56" s="5"/>
      <c r="Y56" s="22" t="e">
        <f t="shared" si="8"/>
        <v>#DIV/0!</v>
      </c>
      <c r="Z56" s="1">
        <v>6</v>
      </c>
    </row>
    <row r="57" spans="1:26" x14ac:dyDescent="0.25">
      <c r="E57" s="2"/>
      <c r="F57" s="9"/>
      <c r="H57" s="5"/>
      <c r="Y57" s="22"/>
    </row>
    <row r="58" spans="1:26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{FB9B41C1-4366-4659-B195-6709193EEBB9}</x14:id>
        </ext>
      </extLst>
    </cfRule>
  </conditionalFormatting>
  <conditionalFormatting sqref="G57:G58 F35 G35:G5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{E51D00BB-3393-4E44-B8AA-FC2A88314708}</x14:id>
        </ext>
      </extLst>
    </cfRule>
  </conditionalFormatting>
  <conditionalFormatting sqref="K3:K13">
    <cfRule type="cellIs" dxfId="62" priority="11" operator="between">
      <formula>4</formula>
      <formula>5</formula>
    </cfRule>
    <cfRule type="cellIs" dxfId="61" priority="12" operator="lessThan">
      <formula>3.99</formula>
    </cfRule>
    <cfRule type="cellIs" dxfId="60" priority="13" operator="greaterThan">
      <formula>5</formula>
    </cfRule>
  </conditionalFormatting>
  <conditionalFormatting sqref="K34:K44">
    <cfRule type="cellIs" dxfId="59" priority="7" operator="between">
      <formula>4</formula>
      <formula>5</formula>
    </cfRule>
    <cfRule type="cellIs" dxfId="58" priority="8" operator="lessThan">
      <formula>3.99</formula>
    </cfRule>
    <cfRule type="cellIs" dxfId="57" priority="9" operator="greaterThan">
      <formula>5</formula>
    </cfRule>
  </conditionalFormatting>
  <conditionalFormatting sqref="AC33:AG43">
    <cfRule type="cellIs" dxfId="56" priority="1" operator="between">
      <formula>4</formula>
      <formula>5</formula>
    </cfRule>
    <cfRule type="cellIs" dxfId="55" priority="2" operator="lessThan">
      <formula>3.99</formula>
    </cfRule>
    <cfRule type="cellIs" dxfId="54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B41C1-4366-4659-B195-6709193EE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E51D00BB-3393-4E44-B8AA-FC2A883147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A7F9-56F3-4DA8-AB51-8E5F5D5D864A}">
  <sheetPr codeName="Sheet9"/>
  <dimension ref="A1:AG83"/>
  <sheetViews>
    <sheetView workbookViewId="0">
      <selection activeCell="H32" sqref="F32:H33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2</v>
      </c>
      <c r="B3" t="s">
        <v>10</v>
      </c>
      <c r="C3">
        <v>1.88</v>
      </c>
      <c r="D3" s="7">
        <v>0</v>
      </c>
      <c r="E3" s="1">
        <v>0</v>
      </c>
      <c r="F3" s="7">
        <v>0</v>
      </c>
      <c r="G3">
        <v>21.8</v>
      </c>
      <c r="J3" s="11">
        <v>0</v>
      </c>
      <c r="K3" s="11">
        <v>0</v>
      </c>
      <c r="X3" s="1">
        <f t="shared" ref="X3:Y27" si="0">D4</f>
        <v>1.8000000000000003</v>
      </c>
      <c r="Y3" s="1">
        <f t="shared" si="0"/>
        <v>12.88</v>
      </c>
      <c r="Z3" s="1">
        <f t="shared" ref="Z3:Z27" si="1">G4</f>
        <v>30.4</v>
      </c>
      <c r="AA3" s="4">
        <f t="shared" ref="AA3:AA27" si="2">G3</f>
        <v>21.8</v>
      </c>
      <c r="AB3" s="1" t="s">
        <v>10</v>
      </c>
      <c r="AC3" s="1" t="s">
        <v>10</v>
      </c>
    </row>
    <row r="4" spans="1:29" x14ac:dyDescent="0.25">
      <c r="A4">
        <v>5</v>
      </c>
      <c r="B4" t="s">
        <v>10</v>
      </c>
      <c r="C4">
        <v>3.68</v>
      </c>
      <c r="D4" s="7">
        <f>C4-C3</f>
        <v>1.8000000000000003</v>
      </c>
      <c r="E4" s="2">
        <v>12.88</v>
      </c>
      <c r="F4" s="9">
        <f t="shared" ref="F4:F23" si="3">D4*G4/3.6</f>
        <v>15.200000000000001</v>
      </c>
      <c r="G4">
        <v>30.4</v>
      </c>
      <c r="H4" s="5"/>
      <c r="J4" s="11">
        <v>0.2</v>
      </c>
      <c r="K4" s="12">
        <f>SLOPE($E$3:$E$27, $D$3:$D$27) * J4 + INTERCEPT($E$3:$E$27, $D$3:$D$27)</f>
        <v>2.5283952390422129</v>
      </c>
      <c r="X4" s="1">
        <f t="shared" si="0"/>
        <v>3.8399999999999994</v>
      </c>
      <c r="Y4" s="1">
        <f t="shared" si="0"/>
        <v>17.489999999999998</v>
      </c>
      <c r="Z4" s="1">
        <f t="shared" si="1"/>
        <v>17.3</v>
      </c>
      <c r="AA4" s="4">
        <f t="shared" si="2"/>
        <v>30.4</v>
      </c>
      <c r="AB4" s="1" t="s">
        <v>10</v>
      </c>
      <c r="AC4" s="1" t="s">
        <v>10</v>
      </c>
    </row>
    <row r="5" spans="1:29" x14ac:dyDescent="0.25">
      <c r="A5">
        <v>27</v>
      </c>
      <c r="B5" t="s">
        <v>12</v>
      </c>
      <c r="C5">
        <v>7.52</v>
      </c>
      <c r="D5" s="7">
        <f t="shared" ref="D5:D23" si="4">C5-C4</f>
        <v>3.8399999999999994</v>
      </c>
      <c r="E5" s="2">
        <v>17.489999999999998</v>
      </c>
      <c r="F5" s="9">
        <f t="shared" si="3"/>
        <v>18.45333333333333</v>
      </c>
      <c r="G5">
        <v>17.3</v>
      </c>
      <c r="H5" s="5"/>
      <c r="J5" s="11">
        <v>0.4</v>
      </c>
      <c r="K5" s="12">
        <f t="shared" ref="K5:K13" si="5">SLOPE($E$3:$E$27, $D$3:$D$27) * J5 + INTERCEPT($E$3:$E$27, $D$3:$D$27)</f>
        <v>3.4107095771556537</v>
      </c>
      <c r="X5" s="1">
        <f t="shared" si="0"/>
        <v>0.96000000000000085</v>
      </c>
      <c r="Y5" s="1">
        <f t="shared" si="0"/>
        <v>5.27</v>
      </c>
      <c r="Z5" s="1">
        <f t="shared" si="1"/>
        <v>14.8</v>
      </c>
      <c r="AA5" s="4">
        <f t="shared" si="2"/>
        <v>17.3</v>
      </c>
      <c r="AB5" s="1" t="s">
        <v>10</v>
      </c>
      <c r="AC5" s="1" t="s">
        <v>10</v>
      </c>
    </row>
    <row r="6" spans="1:29" x14ac:dyDescent="0.25">
      <c r="A6">
        <v>13</v>
      </c>
      <c r="B6" t="s">
        <v>10</v>
      </c>
      <c r="C6">
        <v>8.48</v>
      </c>
      <c r="D6" s="7">
        <f t="shared" si="4"/>
        <v>0.96000000000000085</v>
      </c>
      <c r="E6" s="2">
        <v>5.27</v>
      </c>
      <c r="F6" s="9">
        <f t="shared" si="3"/>
        <v>3.9466666666666699</v>
      </c>
      <c r="G6">
        <v>14.8</v>
      </c>
      <c r="H6" s="5"/>
      <c r="J6" s="11">
        <v>0.6</v>
      </c>
      <c r="K6" s="12">
        <f t="shared" si="5"/>
        <v>4.2930239152690941</v>
      </c>
      <c r="X6" s="1">
        <f t="shared" si="0"/>
        <v>1.6399999999999988</v>
      </c>
      <c r="Y6" s="1">
        <f t="shared" si="0"/>
        <v>7</v>
      </c>
      <c r="Z6" s="1">
        <f t="shared" si="1"/>
        <v>14</v>
      </c>
      <c r="AA6" s="4">
        <f t="shared" si="2"/>
        <v>14.8</v>
      </c>
    </row>
    <row r="7" spans="1:29" x14ac:dyDescent="0.25">
      <c r="A7">
        <v>54</v>
      </c>
      <c r="B7" t="s">
        <v>10</v>
      </c>
      <c r="C7">
        <v>10.119999999999999</v>
      </c>
      <c r="D7" s="7">
        <f t="shared" si="4"/>
        <v>1.6399999999999988</v>
      </c>
      <c r="E7" s="2">
        <v>7</v>
      </c>
      <c r="F7" s="9">
        <f t="shared" si="3"/>
        <v>6.3777777777777729</v>
      </c>
      <c r="G7">
        <v>14</v>
      </c>
      <c r="H7" s="5"/>
      <c r="J7" s="11">
        <v>0.8</v>
      </c>
      <c r="K7" s="12">
        <f t="shared" si="5"/>
        <v>5.1753382533825354</v>
      </c>
      <c r="X7" s="1">
        <f t="shared" si="0"/>
        <v>2.2800000000000011</v>
      </c>
      <c r="Y7" s="1">
        <f t="shared" si="0"/>
        <v>14.07</v>
      </c>
      <c r="Z7" s="1">
        <f t="shared" si="1"/>
        <v>16</v>
      </c>
      <c r="AA7" s="4">
        <f t="shared" si="2"/>
        <v>14</v>
      </c>
    </row>
    <row r="8" spans="1:29" x14ac:dyDescent="0.25">
      <c r="A8">
        <v>60</v>
      </c>
      <c r="B8" t="s">
        <v>10</v>
      </c>
      <c r="C8">
        <v>12.4</v>
      </c>
      <c r="D8" s="7">
        <f>C8-C7</f>
        <v>2.2800000000000011</v>
      </c>
      <c r="E8" s="2">
        <v>14.07</v>
      </c>
      <c r="F8" s="9">
        <f t="shared" si="3"/>
        <v>10.133333333333338</v>
      </c>
      <c r="G8">
        <v>16</v>
      </c>
      <c r="H8" s="5"/>
      <c r="J8" s="11">
        <v>1</v>
      </c>
      <c r="K8" s="12">
        <f t="shared" si="5"/>
        <v>6.0576525914959758</v>
      </c>
      <c r="X8" s="1">
        <f t="shared" si="0"/>
        <v>2.08</v>
      </c>
      <c r="Y8" s="1">
        <f t="shared" si="0"/>
        <v>13.23</v>
      </c>
      <c r="Z8" s="1">
        <f t="shared" si="1"/>
        <v>19.399999999999999</v>
      </c>
      <c r="AA8" s="4">
        <f t="shared" si="2"/>
        <v>16</v>
      </c>
    </row>
    <row r="9" spans="1:29" x14ac:dyDescent="0.25">
      <c r="A9">
        <v>77</v>
      </c>
      <c r="B9" t="s">
        <v>10</v>
      </c>
      <c r="C9">
        <v>14.48</v>
      </c>
      <c r="D9" s="7">
        <f t="shared" si="4"/>
        <v>2.08</v>
      </c>
      <c r="E9" s="2">
        <v>13.23</v>
      </c>
      <c r="F9" s="9">
        <f t="shared" si="3"/>
        <v>11.208888888888888</v>
      </c>
      <c r="G9">
        <v>19.399999999999999</v>
      </c>
      <c r="H9" s="5"/>
      <c r="J9" s="11">
        <v>1.2</v>
      </c>
      <c r="K9" s="12">
        <f t="shared" si="5"/>
        <v>6.9399669296094162</v>
      </c>
      <c r="X9" s="1">
        <f t="shared" si="0"/>
        <v>3.0399999999999991</v>
      </c>
      <c r="Y9" s="1">
        <f t="shared" si="0"/>
        <v>17.82</v>
      </c>
      <c r="Z9" s="1">
        <f t="shared" si="1"/>
        <v>14.4</v>
      </c>
      <c r="AA9" s="4">
        <f t="shared" si="2"/>
        <v>19.399999999999999</v>
      </c>
    </row>
    <row r="10" spans="1:29" x14ac:dyDescent="0.25">
      <c r="A10">
        <v>74</v>
      </c>
      <c r="B10" t="s">
        <v>10</v>
      </c>
      <c r="C10">
        <v>17.52</v>
      </c>
      <c r="D10" s="7">
        <f t="shared" si="4"/>
        <v>3.0399999999999991</v>
      </c>
      <c r="E10" s="2">
        <v>17.82</v>
      </c>
      <c r="F10" s="9">
        <f t="shared" si="3"/>
        <v>12.159999999999997</v>
      </c>
      <c r="G10">
        <v>14.4</v>
      </c>
      <c r="H10" s="5"/>
      <c r="J10" s="11">
        <v>1.4</v>
      </c>
      <c r="K10" s="12">
        <f t="shared" si="5"/>
        <v>7.8222812677228566</v>
      </c>
      <c r="X10" s="1">
        <f t="shared" si="0"/>
        <v>3.879999999999999</v>
      </c>
      <c r="Y10" s="1">
        <f t="shared" si="0"/>
        <v>16</v>
      </c>
      <c r="Z10" s="1">
        <f t="shared" si="1"/>
        <v>16.399999999999999</v>
      </c>
      <c r="AA10" s="4">
        <f t="shared" si="2"/>
        <v>14.4</v>
      </c>
    </row>
    <row r="11" spans="1:29" x14ac:dyDescent="0.25">
      <c r="A11">
        <v>95</v>
      </c>
      <c r="B11" t="s">
        <v>10</v>
      </c>
      <c r="C11">
        <v>21.4</v>
      </c>
      <c r="D11" s="7">
        <f t="shared" si="4"/>
        <v>3.879999999999999</v>
      </c>
      <c r="E11" s="2">
        <v>16</v>
      </c>
      <c r="F11" s="9">
        <f t="shared" si="3"/>
        <v>17.675555555555547</v>
      </c>
      <c r="G11">
        <v>16.399999999999999</v>
      </c>
      <c r="H11" s="5"/>
      <c r="J11" s="11">
        <v>1.6</v>
      </c>
      <c r="K11" s="12">
        <f t="shared" si="5"/>
        <v>8.7045956058362997</v>
      </c>
      <c r="X11" s="1">
        <f t="shared" si="0"/>
        <v>2.0800000000000018</v>
      </c>
      <c r="Y11" s="1">
        <f t="shared" si="0"/>
        <v>9.6300000000000008</v>
      </c>
      <c r="Z11" s="1">
        <f t="shared" si="1"/>
        <v>18.8</v>
      </c>
      <c r="AA11" s="4">
        <f t="shared" si="2"/>
        <v>16.399999999999999</v>
      </c>
    </row>
    <row r="12" spans="1:29" x14ac:dyDescent="0.25">
      <c r="A12">
        <v>114</v>
      </c>
      <c r="B12" t="s">
        <v>10</v>
      </c>
      <c r="C12">
        <v>23.48</v>
      </c>
      <c r="D12" s="7">
        <f t="shared" si="4"/>
        <v>2.0800000000000018</v>
      </c>
      <c r="E12" s="2">
        <v>9.6300000000000008</v>
      </c>
      <c r="F12" s="9">
        <f t="shared" si="3"/>
        <v>10.862222222222231</v>
      </c>
      <c r="G12">
        <v>18.8</v>
      </c>
      <c r="H12" s="5"/>
      <c r="J12" s="11">
        <v>1.8</v>
      </c>
      <c r="K12" s="12">
        <f t="shared" si="5"/>
        <v>9.5869099439497383</v>
      </c>
      <c r="X12" s="1">
        <f t="shared" si="0"/>
        <v>3.120000000000001</v>
      </c>
      <c r="Y12" s="1">
        <f t="shared" si="0"/>
        <v>14.21</v>
      </c>
      <c r="Z12" s="1">
        <f t="shared" si="1"/>
        <v>20.100000000000001</v>
      </c>
      <c r="AA12" s="4">
        <f t="shared" si="2"/>
        <v>18.8</v>
      </c>
    </row>
    <row r="13" spans="1:29" x14ac:dyDescent="0.25">
      <c r="A13">
        <v>133</v>
      </c>
      <c r="B13" t="s">
        <v>11</v>
      </c>
      <c r="C13">
        <v>26.6</v>
      </c>
      <c r="D13" s="7">
        <f t="shared" si="4"/>
        <v>3.120000000000001</v>
      </c>
      <c r="E13" s="2">
        <v>14.21</v>
      </c>
      <c r="F13" s="9">
        <f t="shared" si="3"/>
        <v>17.420000000000005</v>
      </c>
      <c r="G13">
        <v>20.100000000000001</v>
      </c>
      <c r="H13" s="5"/>
      <c r="J13" s="11">
        <v>2</v>
      </c>
      <c r="K13" s="12">
        <f t="shared" si="5"/>
        <v>10.46922428206318</v>
      </c>
      <c r="X13" s="1">
        <f t="shared" si="0"/>
        <v>1.3200000000000003</v>
      </c>
      <c r="Y13" s="1">
        <f t="shared" si="0"/>
        <v>8.1300000000000008</v>
      </c>
      <c r="Z13" s="1">
        <f t="shared" si="1"/>
        <v>15.6</v>
      </c>
      <c r="AA13" s="4">
        <f t="shared" si="2"/>
        <v>20.100000000000001</v>
      </c>
    </row>
    <row r="14" spans="1:29" x14ac:dyDescent="0.25">
      <c r="A14">
        <v>148</v>
      </c>
      <c r="B14" t="s">
        <v>10</v>
      </c>
      <c r="C14">
        <v>27.92</v>
      </c>
      <c r="D14" s="7">
        <f t="shared" si="4"/>
        <v>1.3200000000000003</v>
      </c>
      <c r="E14" s="2">
        <v>8.1300000000000008</v>
      </c>
      <c r="F14" s="9">
        <f t="shared" si="3"/>
        <v>5.7200000000000006</v>
      </c>
      <c r="G14">
        <v>15.6</v>
      </c>
      <c r="H14" s="5"/>
      <c r="X14" s="1">
        <f t="shared" si="0"/>
        <v>1.879999999999999</v>
      </c>
      <c r="Y14" s="1">
        <f t="shared" si="0"/>
        <v>10.38</v>
      </c>
      <c r="Z14" s="1">
        <f t="shared" si="1"/>
        <v>17.100000000000001</v>
      </c>
      <c r="AA14" s="4">
        <f t="shared" si="2"/>
        <v>15.6</v>
      </c>
    </row>
    <row r="15" spans="1:29" x14ac:dyDescent="0.25">
      <c r="A15">
        <v>170</v>
      </c>
      <c r="B15" t="s">
        <v>10</v>
      </c>
      <c r="C15">
        <v>29.8</v>
      </c>
      <c r="D15" s="7">
        <f>C15-C14</f>
        <v>1.879999999999999</v>
      </c>
      <c r="E15" s="2">
        <v>10.38</v>
      </c>
      <c r="F15" s="9">
        <f t="shared" si="3"/>
        <v>8.9299999999999962</v>
      </c>
      <c r="G15">
        <v>17.100000000000001</v>
      </c>
      <c r="H15" s="5"/>
      <c r="J15" s="109" t="s">
        <v>66</v>
      </c>
      <c r="K15" s="109"/>
      <c r="X15" s="1">
        <f t="shared" si="0"/>
        <v>1</v>
      </c>
      <c r="Y15" s="1">
        <f t="shared" si="0"/>
        <v>4.72</v>
      </c>
      <c r="Z15" s="1">
        <f t="shared" si="1"/>
        <v>20</v>
      </c>
      <c r="AA15" s="4">
        <f t="shared" si="2"/>
        <v>17.100000000000001</v>
      </c>
    </row>
    <row r="16" spans="1:29" x14ac:dyDescent="0.25">
      <c r="A16">
        <v>151</v>
      </c>
      <c r="B16" t="s">
        <v>10</v>
      </c>
      <c r="C16">
        <v>30.8</v>
      </c>
      <c r="D16" s="7">
        <f t="shared" si="4"/>
        <v>1</v>
      </c>
      <c r="E16" s="2">
        <v>4.72</v>
      </c>
      <c r="F16" s="9">
        <f t="shared" si="3"/>
        <v>5.5555555555555554</v>
      </c>
      <c r="G16">
        <v>20</v>
      </c>
      <c r="H16" s="5"/>
      <c r="J16" s="63" t="s">
        <v>10</v>
      </c>
      <c r="K16" s="64">
        <f>AVERAGEIFS($G$3:$G$30, $B$3:$B$30, J16, $G$3:$G$30, "&lt;&gt;0")</f>
        <v>18.428571428571427</v>
      </c>
      <c r="X16" s="1">
        <f t="shared" si="0"/>
        <v>0.87999999999999901</v>
      </c>
      <c r="Y16" s="1">
        <f t="shared" si="0"/>
        <v>5.84</v>
      </c>
      <c r="Z16" s="1">
        <f t="shared" si="1"/>
        <v>18.7</v>
      </c>
      <c r="AA16" s="4">
        <f t="shared" si="2"/>
        <v>20</v>
      </c>
    </row>
    <row r="17" spans="1:33" x14ac:dyDescent="0.25">
      <c r="A17">
        <v>173</v>
      </c>
      <c r="B17" t="s">
        <v>10</v>
      </c>
      <c r="C17">
        <v>31.68</v>
      </c>
      <c r="D17" s="7">
        <f t="shared" si="4"/>
        <v>0.87999999999999901</v>
      </c>
      <c r="E17" s="2">
        <v>5.84</v>
      </c>
      <c r="F17" s="9">
        <f t="shared" si="3"/>
        <v>4.5711111111111062</v>
      </c>
      <c r="G17">
        <v>18.7</v>
      </c>
      <c r="H17" s="5"/>
      <c r="J17" s="63" t="s">
        <v>11</v>
      </c>
      <c r="K17" s="64">
        <f t="shared" ref="K17:K18" si="6">AVERAGEIFS($G$3:$G$30, $B$3:$B$30, J17, $G$3:$G$30, "&lt;&gt;0")</f>
        <v>18.975000000000001</v>
      </c>
      <c r="X17" s="1">
        <f t="shared" si="0"/>
        <v>1.3200000000000003</v>
      </c>
      <c r="Y17" s="1">
        <f t="shared" si="0"/>
        <v>7.06</v>
      </c>
      <c r="Z17" s="1">
        <f t="shared" si="1"/>
        <v>20.6</v>
      </c>
      <c r="AA17" s="4">
        <f t="shared" si="2"/>
        <v>18.7</v>
      </c>
    </row>
    <row r="18" spans="1:33" x14ac:dyDescent="0.25">
      <c r="A18">
        <v>185</v>
      </c>
      <c r="B18" t="s">
        <v>10</v>
      </c>
      <c r="C18">
        <v>33</v>
      </c>
      <c r="D18" s="7">
        <f t="shared" si="4"/>
        <v>1.3200000000000003</v>
      </c>
      <c r="E18" s="2">
        <v>7.06</v>
      </c>
      <c r="F18" s="9">
        <f t="shared" si="3"/>
        <v>7.5533333333333355</v>
      </c>
      <c r="G18">
        <v>20.6</v>
      </c>
      <c r="H18" s="5"/>
      <c r="J18" s="63" t="s">
        <v>12</v>
      </c>
      <c r="K18" s="64">
        <f t="shared" si="6"/>
        <v>21</v>
      </c>
      <c r="X18" s="1">
        <f t="shared" si="0"/>
        <v>1.1199999999999974</v>
      </c>
      <c r="Y18" s="1">
        <f t="shared" si="0"/>
        <v>6.54</v>
      </c>
      <c r="Z18" s="1">
        <f t="shared" si="1"/>
        <v>24.3</v>
      </c>
      <c r="AA18" s="4">
        <f t="shared" si="2"/>
        <v>20.6</v>
      </c>
    </row>
    <row r="19" spans="1:33" x14ac:dyDescent="0.25">
      <c r="A19">
        <v>221</v>
      </c>
      <c r="B19" t="s">
        <v>12</v>
      </c>
      <c r="C19">
        <v>34.119999999999997</v>
      </c>
      <c r="D19" s="7">
        <f t="shared" si="4"/>
        <v>1.1199999999999974</v>
      </c>
      <c r="E19" s="2">
        <v>6.54</v>
      </c>
      <c r="F19" s="9">
        <f t="shared" si="3"/>
        <v>7.5599999999999827</v>
      </c>
      <c r="G19">
        <v>24.3</v>
      </c>
      <c r="H19" s="5"/>
      <c r="J19" s="6"/>
      <c r="K19" s="17"/>
      <c r="X19" s="1">
        <f t="shared" si="0"/>
        <v>1.1600000000000037</v>
      </c>
      <c r="Y19" s="1">
        <f t="shared" si="0"/>
        <v>7.74</v>
      </c>
      <c r="Z19" s="1">
        <f t="shared" si="1"/>
        <v>23.5</v>
      </c>
      <c r="AA19" s="4">
        <f t="shared" si="2"/>
        <v>24.3</v>
      </c>
    </row>
    <row r="20" spans="1:33" x14ac:dyDescent="0.25">
      <c r="A20">
        <v>246</v>
      </c>
      <c r="B20" t="s">
        <v>11</v>
      </c>
      <c r="C20">
        <v>35.28</v>
      </c>
      <c r="D20" s="7">
        <f t="shared" si="4"/>
        <v>1.1600000000000037</v>
      </c>
      <c r="E20" s="2">
        <v>7.74</v>
      </c>
      <c r="F20" s="9">
        <f t="shared" si="3"/>
        <v>7.5722222222222459</v>
      </c>
      <c r="G20">
        <v>23.5</v>
      </c>
      <c r="H20" s="5"/>
      <c r="J20" s="6"/>
      <c r="K20" s="17"/>
      <c r="X20" s="1">
        <f t="shared" si="0"/>
        <v>1.6400000000000006</v>
      </c>
      <c r="Y20" s="1">
        <f t="shared" si="0"/>
        <v>8.01</v>
      </c>
      <c r="Z20" s="1">
        <f t="shared" si="1"/>
        <v>21.4</v>
      </c>
      <c r="AA20" s="4">
        <f t="shared" si="2"/>
        <v>23.5</v>
      </c>
    </row>
    <row r="21" spans="1:33" x14ac:dyDescent="0.25">
      <c r="A21">
        <v>233</v>
      </c>
      <c r="B21" t="s">
        <v>12</v>
      </c>
      <c r="C21">
        <v>36.92</v>
      </c>
      <c r="D21" s="7">
        <f t="shared" si="4"/>
        <v>1.6400000000000006</v>
      </c>
      <c r="E21" s="2">
        <v>8.01</v>
      </c>
      <c r="F21" s="9">
        <f t="shared" si="3"/>
        <v>9.7488888888888923</v>
      </c>
      <c r="G21">
        <v>21.4</v>
      </c>
      <c r="H21" s="5"/>
      <c r="J21" s="6"/>
      <c r="K21" s="17"/>
      <c r="X21" s="1">
        <f t="shared" si="0"/>
        <v>1.1599999999999966</v>
      </c>
      <c r="Y21" s="1">
        <f t="shared" si="0"/>
        <v>7.64</v>
      </c>
      <c r="Z21" s="1">
        <f t="shared" si="1"/>
        <v>16.600000000000001</v>
      </c>
      <c r="AA21" s="4">
        <f t="shared" si="2"/>
        <v>21.4</v>
      </c>
    </row>
    <row r="22" spans="1:33" x14ac:dyDescent="0.25">
      <c r="A22">
        <v>260</v>
      </c>
      <c r="B22" t="s">
        <v>11</v>
      </c>
      <c r="C22">
        <v>38.08</v>
      </c>
      <c r="D22" s="7">
        <f t="shared" si="4"/>
        <v>1.1599999999999966</v>
      </c>
      <c r="E22" s="2">
        <v>7.64</v>
      </c>
      <c r="F22" s="9">
        <f t="shared" si="3"/>
        <v>5.3488888888888733</v>
      </c>
      <c r="G22">
        <v>16.600000000000001</v>
      </c>
      <c r="H22" s="5"/>
      <c r="J22" s="6"/>
      <c r="K22" s="17"/>
      <c r="X22" s="1">
        <f t="shared" si="0"/>
        <v>0.64000000000000057</v>
      </c>
      <c r="Y22" s="1">
        <f t="shared" si="0"/>
        <v>3.43</v>
      </c>
      <c r="Z22" s="1">
        <f t="shared" si="1"/>
        <v>15.7</v>
      </c>
      <c r="AA22" s="4">
        <f t="shared" si="2"/>
        <v>16.600000000000001</v>
      </c>
    </row>
    <row r="23" spans="1:33" x14ac:dyDescent="0.25">
      <c r="A23">
        <v>270</v>
      </c>
      <c r="B23" t="s">
        <v>11</v>
      </c>
      <c r="C23">
        <v>38.72</v>
      </c>
      <c r="D23" s="7">
        <f t="shared" si="4"/>
        <v>0.64000000000000057</v>
      </c>
      <c r="E23" s="2">
        <v>3.43</v>
      </c>
      <c r="F23" s="9">
        <f t="shared" si="3"/>
        <v>2.7911111111111135</v>
      </c>
      <c r="G23">
        <v>15.7</v>
      </c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15.7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0.42368421052631583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6</v>
      </c>
      <c r="B35" t="s">
        <v>11</v>
      </c>
      <c r="C35">
        <v>3.72</v>
      </c>
      <c r="D35" s="7">
        <v>0</v>
      </c>
      <c r="E35" s="1">
        <v>0</v>
      </c>
      <c r="F35" s="7">
        <v>0</v>
      </c>
      <c r="G35">
        <v>18.7</v>
      </c>
      <c r="J35" s="11">
        <v>0.2</v>
      </c>
      <c r="K35" s="12">
        <f t="shared" ref="K35:K44" si="8">SLOPE($E$35:$E$58, $D$35:$D$58) * J35 + INTERCEPT($E$35:$E$58, $D$35:$D$58)</f>
        <v>4.6039489442901678</v>
      </c>
      <c r="X35" s="6"/>
      <c r="Y35" s="22">
        <f t="shared" si="7"/>
        <v>1.0109826589595374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>
        <v>49</v>
      </c>
      <c r="B36" t="s">
        <v>11</v>
      </c>
      <c r="C36">
        <v>6.2</v>
      </c>
      <c r="D36" s="7">
        <f>C36-C35</f>
        <v>2.48</v>
      </c>
      <c r="E36" s="2">
        <v>9.77</v>
      </c>
      <c r="F36" s="9">
        <f t="shared" ref="F36:F48" si="14">D36*G36/3.6</f>
        <v>13.157777777777778</v>
      </c>
      <c r="G36">
        <v>19.100000000000001</v>
      </c>
      <c r="H36" s="5"/>
      <c r="J36" s="11">
        <v>0.4</v>
      </c>
      <c r="K36" s="12">
        <f t="shared" si="8"/>
        <v>4.9813074202206042</v>
      </c>
      <c r="X36" s="6"/>
      <c r="Y36" s="22">
        <f t="shared" si="7"/>
        <v>0.35608108108108105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>
        <v>45</v>
      </c>
      <c r="B37" t="s">
        <v>12</v>
      </c>
      <c r="C37">
        <v>7.12</v>
      </c>
      <c r="D37" s="7">
        <f t="shared" ref="D37:D48" si="15">C37-C36</f>
        <v>0.91999999999999993</v>
      </c>
      <c r="E37" s="2">
        <v>4.01</v>
      </c>
      <c r="F37" s="9">
        <f t="shared" si="14"/>
        <v>4.2422222222222219</v>
      </c>
      <c r="G37">
        <v>16.600000000000001</v>
      </c>
      <c r="H37" s="5"/>
      <c r="J37" s="11">
        <v>0.6</v>
      </c>
      <c r="K37" s="12">
        <f t="shared" si="8"/>
        <v>5.3586658961510407</v>
      </c>
      <c r="Y37" s="22">
        <f t="shared" si="7"/>
        <v>0.5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>
        <v>28</v>
      </c>
      <c r="B38" t="s">
        <v>10</v>
      </c>
      <c r="C38">
        <v>8.6</v>
      </c>
      <c r="D38" s="7">
        <f t="shared" si="15"/>
        <v>1.4799999999999995</v>
      </c>
      <c r="E38" s="2">
        <v>8.3699999999999992</v>
      </c>
      <c r="F38" s="9">
        <f t="shared" si="14"/>
        <v>6.7833333333333306</v>
      </c>
      <c r="G38">
        <v>16.5</v>
      </c>
      <c r="H38" s="5"/>
      <c r="J38" s="11">
        <v>0.8</v>
      </c>
      <c r="K38" s="12">
        <f t="shared" si="8"/>
        <v>5.7360243720814772</v>
      </c>
      <c r="Y38" s="22">
        <f t="shared" si="7"/>
        <v>0.87937500000000002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A39">
        <v>81</v>
      </c>
      <c r="B39" t="s">
        <v>10</v>
      </c>
      <c r="C39">
        <v>12.52</v>
      </c>
      <c r="D39" s="7">
        <f t="shared" si="15"/>
        <v>3.92</v>
      </c>
      <c r="E39" s="2">
        <v>12.76</v>
      </c>
      <c r="F39" s="9">
        <f t="shared" si="14"/>
        <v>14.917777777777776</v>
      </c>
      <c r="G39">
        <v>13.7</v>
      </c>
      <c r="H39" s="5"/>
      <c r="J39" s="11">
        <v>1</v>
      </c>
      <c r="K39" s="12">
        <f t="shared" si="8"/>
        <v>6.1133828480119137</v>
      </c>
      <c r="Y39" s="22">
        <f t="shared" si="7"/>
        <v>0.68195876288659796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85</v>
      </c>
      <c r="B40" t="s">
        <v>10</v>
      </c>
      <c r="C40">
        <v>15.08</v>
      </c>
      <c r="D40" s="7">
        <f t="shared" si="15"/>
        <v>2.5600000000000005</v>
      </c>
      <c r="E40" s="2">
        <v>10.02</v>
      </c>
      <c r="F40" s="9">
        <f t="shared" si="14"/>
        <v>9.2444444444444471</v>
      </c>
      <c r="G40">
        <v>13</v>
      </c>
      <c r="H40" s="5"/>
      <c r="J40" s="11">
        <v>1.2</v>
      </c>
      <c r="K40" s="12">
        <f t="shared" si="8"/>
        <v>6.4907413239423501</v>
      </c>
      <c r="Y40" s="22">
        <f t="shared" si="7"/>
        <v>1.2375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>
        <v>65</v>
      </c>
      <c r="B41" t="s">
        <v>10</v>
      </c>
      <c r="C41">
        <v>16.88</v>
      </c>
      <c r="D41" s="7">
        <f t="shared" si="15"/>
        <v>1.7999999999999989</v>
      </c>
      <c r="E41" s="2">
        <v>7.94</v>
      </c>
      <c r="F41" s="9">
        <f t="shared" si="14"/>
        <v>7.3499999999999952</v>
      </c>
      <c r="G41">
        <v>14.7</v>
      </c>
      <c r="H41" s="5"/>
      <c r="J41" s="11">
        <v>1.4</v>
      </c>
      <c r="K41" s="12">
        <f t="shared" si="8"/>
        <v>6.8680997998727866</v>
      </c>
      <c r="Y41" s="22">
        <f t="shared" si="7"/>
        <v>0.97560975609756106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>
        <v>104</v>
      </c>
      <c r="B42" t="s">
        <v>10</v>
      </c>
      <c r="C42">
        <v>19.8</v>
      </c>
      <c r="D42" s="7">
        <f t="shared" si="15"/>
        <v>2.9200000000000017</v>
      </c>
      <c r="E42" s="2">
        <v>14.54</v>
      </c>
      <c r="F42" s="9">
        <f t="shared" si="14"/>
        <v>15.330000000000009</v>
      </c>
      <c r="G42">
        <v>18.899999999999999</v>
      </c>
      <c r="H42" s="5"/>
      <c r="J42" s="11">
        <v>1.6</v>
      </c>
      <c r="K42" s="12">
        <f t="shared" si="8"/>
        <v>7.2454582758032231</v>
      </c>
      <c r="Y42" s="22">
        <f t="shared" si="7"/>
        <v>0.51223404255319149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>
        <v>119</v>
      </c>
      <c r="B43" t="s">
        <v>12</v>
      </c>
      <c r="C43">
        <v>22.32</v>
      </c>
      <c r="D43" s="7">
        <f t="shared" si="15"/>
        <v>2.5199999999999996</v>
      </c>
      <c r="E43" s="2">
        <v>12.67</v>
      </c>
      <c r="F43" s="9">
        <f t="shared" si="14"/>
        <v>10.219999999999999</v>
      </c>
      <c r="G43">
        <v>14.6</v>
      </c>
      <c r="H43" s="5"/>
      <c r="J43" s="11">
        <v>1.8</v>
      </c>
      <c r="K43" s="12">
        <f t="shared" si="8"/>
        <v>7.6228167517336605</v>
      </c>
      <c r="Y43" s="22">
        <f t="shared" si="7"/>
        <v>0.70696517412935322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A44">
        <v>133</v>
      </c>
      <c r="B44" t="s">
        <v>11</v>
      </c>
      <c r="C44">
        <v>26.88</v>
      </c>
      <c r="D44" s="7">
        <f t="shared" si="15"/>
        <v>4.5599999999999987</v>
      </c>
      <c r="E44" s="2">
        <v>8.75</v>
      </c>
      <c r="F44" s="9">
        <f t="shared" si="14"/>
        <v>28.879999999999992</v>
      </c>
      <c r="G44">
        <v>22.8</v>
      </c>
      <c r="H44" s="5"/>
      <c r="J44" s="11">
        <v>2</v>
      </c>
      <c r="K44" s="12">
        <f t="shared" si="8"/>
        <v>8.0001752276640961</v>
      </c>
      <c r="Y44" s="22">
        <f t="shared" si="7"/>
        <v>0.52115384615384619</v>
      </c>
      <c r="Z44" s="1">
        <v>1.6799999999999997</v>
      </c>
    </row>
    <row r="45" spans="1:33" x14ac:dyDescent="0.25">
      <c r="A45">
        <v>167</v>
      </c>
      <c r="B45" t="s">
        <v>12</v>
      </c>
      <c r="C45">
        <v>27.48</v>
      </c>
      <c r="D45" s="7">
        <f t="shared" si="15"/>
        <v>0.60000000000000142</v>
      </c>
      <c r="E45" s="2">
        <v>4.9800000000000004</v>
      </c>
      <c r="F45" s="9">
        <f t="shared" si="14"/>
        <v>3.1500000000000075</v>
      </c>
      <c r="G45">
        <v>18.899999999999999</v>
      </c>
      <c r="H45" s="5"/>
      <c r="Y45" s="22">
        <f t="shared" si="7"/>
        <v>0.60701754385964912</v>
      </c>
      <c r="Z45" s="1">
        <v>1.6799999999999997</v>
      </c>
    </row>
    <row r="46" spans="1:33" x14ac:dyDescent="0.25">
      <c r="A46">
        <v>159</v>
      </c>
      <c r="B46" t="s">
        <v>12</v>
      </c>
      <c r="C46">
        <v>29</v>
      </c>
      <c r="D46" s="7">
        <f t="shared" si="15"/>
        <v>1.5199999999999996</v>
      </c>
      <c r="E46" s="2">
        <v>8.52</v>
      </c>
      <c r="F46" s="9">
        <f t="shared" si="14"/>
        <v>7.6844444444444413</v>
      </c>
      <c r="G46">
        <v>18.2</v>
      </c>
      <c r="H46" s="5"/>
      <c r="J46" s="109" t="s">
        <v>66</v>
      </c>
      <c r="K46" s="109"/>
      <c r="Y46" s="22">
        <f t="shared" si="7"/>
        <v>0.23599999999999999</v>
      </c>
      <c r="Z46" s="1">
        <v>1</v>
      </c>
    </row>
    <row r="47" spans="1:33" x14ac:dyDescent="0.25">
      <c r="A47">
        <v>172</v>
      </c>
      <c r="B47" t="s">
        <v>11</v>
      </c>
      <c r="C47">
        <v>34.4</v>
      </c>
      <c r="D47" s="7">
        <f t="shared" si="15"/>
        <v>5.3999999999999986</v>
      </c>
      <c r="E47" s="2">
        <v>11.95</v>
      </c>
      <c r="F47" s="9">
        <f t="shared" si="14"/>
        <v>26.54999999999999</v>
      </c>
      <c r="G47">
        <v>17.7</v>
      </c>
      <c r="H47" s="5"/>
      <c r="J47" s="63" t="s">
        <v>10</v>
      </c>
      <c r="K47" s="64">
        <f>AVERAGEIFS($G$35:$G$80, $B$35:$B$80, J47, $G$35:$G$80, "&lt;&gt;0")</f>
        <v>15.360000000000003</v>
      </c>
      <c r="Y47" s="22">
        <f t="shared" si="7"/>
        <v>0.31229946524064173</v>
      </c>
      <c r="Z47" s="1">
        <v>3.4400000000000013</v>
      </c>
    </row>
    <row r="48" spans="1:33" x14ac:dyDescent="0.25">
      <c r="A48">
        <v>239</v>
      </c>
      <c r="B48" t="s">
        <v>11</v>
      </c>
      <c r="C48">
        <v>36.6</v>
      </c>
      <c r="D48" s="7">
        <f t="shared" si="15"/>
        <v>2.2000000000000028</v>
      </c>
      <c r="E48" s="2">
        <v>6.93</v>
      </c>
      <c r="F48" s="9">
        <f t="shared" si="14"/>
        <v>12.711111111111128</v>
      </c>
      <c r="G48">
        <v>20.8</v>
      </c>
      <c r="H48" s="5"/>
      <c r="J48" s="63" t="s">
        <v>11</v>
      </c>
      <c r="K48" s="64">
        <f t="shared" ref="K48:K49" si="16">AVERAGEIFS($G$35:$G$80, $B$35:$B$80, J48, $G$35:$G$80, "&lt;&gt;0")</f>
        <v>19.82</v>
      </c>
      <c r="Y48" s="22">
        <f t="shared" si="7"/>
        <v>0.34271844660194173</v>
      </c>
      <c r="Z48" s="1">
        <v>1.1999999999999993</v>
      </c>
    </row>
    <row r="49" spans="4:26" x14ac:dyDescent="0.25">
      <c r="D49" s="7"/>
      <c r="E49" s="2"/>
      <c r="F49" s="9"/>
      <c r="H49" s="5"/>
      <c r="J49" s="63" t="s">
        <v>12</v>
      </c>
      <c r="K49" s="64">
        <f t="shared" si="16"/>
        <v>17.074999999999999</v>
      </c>
      <c r="Y49" s="22">
        <f t="shared" si="7"/>
        <v>0.26913580246913582</v>
      </c>
      <c r="Z49" s="1">
        <v>2.6799999999999997</v>
      </c>
    </row>
    <row r="50" spans="4:26" x14ac:dyDescent="0.25">
      <c r="D50" s="7"/>
      <c r="E50" s="2"/>
      <c r="F50" s="9"/>
      <c r="H50" s="5"/>
      <c r="Y50" s="22">
        <f t="shared" si="7"/>
        <v>0.32936170212765958</v>
      </c>
      <c r="Z50" s="1">
        <v>1.5999999999999979</v>
      </c>
    </row>
    <row r="51" spans="4:26" x14ac:dyDescent="0.25">
      <c r="D51" s="7"/>
      <c r="E51" s="2"/>
      <c r="F51" s="9"/>
      <c r="H51" s="5"/>
      <c r="Y51" s="22">
        <f t="shared" si="7"/>
        <v>0.37429906542056074</v>
      </c>
      <c r="Z51" s="1">
        <v>1.6000000000000014</v>
      </c>
    </row>
    <row r="52" spans="4:26" x14ac:dyDescent="0.25">
      <c r="D52" s="7"/>
      <c r="E52" s="2"/>
      <c r="F52" s="9"/>
      <c r="H52" s="5"/>
      <c r="Y52" s="22">
        <f t="shared" si="7"/>
        <v>0.46024096385542163</v>
      </c>
      <c r="Z52" s="1">
        <v>1.2000000000000028</v>
      </c>
    </row>
    <row r="53" spans="4:26" x14ac:dyDescent="0.25">
      <c r="D53" s="7"/>
      <c r="E53" s="2"/>
      <c r="F53" s="9"/>
      <c r="H53" s="5"/>
      <c r="Y53" s="22">
        <f t="shared" si="7"/>
        <v>0.21847133757961784</v>
      </c>
      <c r="Z53" s="1">
        <v>0.79999999999999716</v>
      </c>
    </row>
    <row r="54" spans="4:26" x14ac:dyDescent="0.25">
      <c r="D54" s="7"/>
      <c r="E54" s="2"/>
      <c r="F54" s="9"/>
      <c r="H54" s="5"/>
      <c r="Y54" s="22" t="e">
        <f t="shared" si="7"/>
        <v>#DIV/0!</v>
      </c>
      <c r="Z54" s="1">
        <v>1.4799999999999969</v>
      </c>
    </row>
    <row r="55" spans="4:26" x14ac:dyDescent="0.25">
      <c r="D55" s="7"/>
      <c r="E55" s="2"/>
      <c r="F55" s="9"/>
      <c r="H55" s="5"/>
      <c r="Y55" s="22" t="e">
        <f t="shared" si="7"/>
        <v>#DIV/0!</v>
      </c>
      <c r="Z55" s="1">
        <v>0.80000000000000426</v>
      </c>
    </row>
    <row r="56" spans="4:26" x14ac:dyDescent="0.25">
      <c r="D56" s="7"/>
      <c r="F56" s="9"/>
      <c r="H56" s="5"/>
      <c r="Y56" s="22" t="e">
        <f t="shared" si="7"/>
        <v>#DIV/0!</v>
      </c>
      <c r="Z56" s="1">
        <v>6</v>
      </c>
    </row>
    <row r="57" spans="4:26" x14ac:dyDescent="0.25">
      <c r="E57" s="2"/>
      <c r="F57" s="9"/>
      <c r="H57" s="5"/>
      <c r="Y57" s="22"/>
    </row>
    <row r="58" spans="4:26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{9A346768-7BB6-47B3-A944-76ED8118A8B8}</x14:id>
        </ext>
      </extLst>
    </cfRule>
  </conditionalFormatting>
  <conditionalFormatting sqref="G57:G58 F35 G35:G5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{9BA51353-D5CC-49BC-85B6-455C32BA4AAB}</x14:id>
        </ext>
      </extLst>
    </cfRule>
  </conditionalFormatting>
  <conditionalFormatting sqref="K3:K13">
    <cfRule type="cellIs" dxfId="53" priority="11" operator="between">
      <formula>4</formula>
      <formula>5</formula>
    </cfRule>
    <cfRule type="cellIs" dxfId="52" priority="12" operator="lessThan">
      <formula>3.99</formula>
    </cfRule>
    <cfRule type="cellIs" dxfId="51" priority="13" operator="greaterThan">
      <formula>5</formula>
    </cfRule>
  </conditionalFormatting>
  <conditionalFormatting sqref="K34:K44">
    <cfRule type="cellIs" dxfId="50" priority="7" operator="between">
      <formula>4</formula>
      <formula>5</formula>
    </cfRule>
    <cfRule type="cellIs" dxfId="49" priority="8" operator="lessThan">
      <formula>3.99</formula>
    </cfRule>
    <cfRule type="cellIs" dxfId="48" priority="9" operator="greaterThan">
      <formula>5</formula>
    </cfRule>
  </conditionalFormatting>
  <conditionalFormatting sqref="AC33:AG43">
    <cfRule type="cellIs" dxfId="47" priority="1" operator="between">
      <formula>4</formula>
      <formula>5</formula>
    </cfRule>
    <cfRule type="cellIs" dxfId="46" priority="2" operator="lessThan">
      <formula>3.99</formula>
    </cfRule>
    <cfRule type="cellIs" dxfId="45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46768-7BB6-47B3-A944-76ED8118A8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9BA51353-D5CC-49BC-85B6-455C32BA4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83D3-E050-4EEC-9D2E-B2EF10C7BDA6}">
  <sheetPr codeName="Sheet10"/>
  <dimension ref="A1:AG83"/>
  <sheetViews>
    <sheetView workbookViewId="0">
      <selection activeCell="D55" sqref="D55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 t="s">
        <v>22</v>
      </c>
      <c r="G1" s="16">
        <f>AVERAGEIF(G3:G26,"&gt;0")</f>
        <v>22.488888888888887</v>
      </c>
      <c r="H1" s="10">
        <f>AVERAGEIF(H4:H26,"&gt;0")</f>
        <v>1.5600319995822289</v>
      </c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 t="s">
        <v>18</v>
      </c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3</v>
      </c>
      <c r="B3" t="s">
        <v>10</v>
      </c>
      <c r="C3">
        <v>5.2</v>
      </c>
      <c r="D3" s="7">
        <v>0</v>
      </c>
      <c r="E3" s="1">
        <v>0</v>
      </c>
      <c r="F3" s="7">
        <v>0</v>
      </c>
      <c r="G3">
        <v>19.100000000000001</v>
      </c>
      <c r="J3" s="11">
        <v>0</v>
      </c>
      <c r="K3" s="11">
        <v>0</v>
      </c>
      <c r="X3" s="1">
        <f t="shared" ref="X3:Y27" si="0">D4</f>
        <v>2.04</v>
      </c>
      <c r="Y3" s="1">
        <f t="shared" si="0"/>
        <v>13.93</v>
      </c>
      <c r="Z3" s="1">
        <f t="shared" ref="Z3:Z27" si="1">G4</f>
        <v>25</v>
      </c>
      <c r="AA3" s="4">
        <f t="shared" ref="AA3:AA27" si="2">G3</f>
        <v>19.100000000000001</v>
      </c>
      <c r="AB3" s="1" t="s">
        <v>10</v>
      </c>
      <c r="AC3" s="1" t="s">
        <v>10</v>
      </c>
    </row>
    <row r="4" spans="1:29" x14ac:dyDescent="0.25">
      <c r="A4">
        <v>33</v>
      </c>
      <c r="B4" t="s">
        <v>11</v>
      </c>
      <c r="C4">
        <v>7.24</v>
      </c>
      <c r="D4" s="7">
        <f>C4-C3</f>
        <v>2.04</v>
      </c>
      <c r="E4" s="2">
        <v>13.93</v>
      </c>
      <c r="F4" s="9">
        <f t="shared" ref="F4:F20" si="3">D4*G4/3.6</f>
        <v>14.166666666666666</v>
      </c>
      <c r="G4">
        <v>25</v>
      </c>
      <c r="H4" s="5">
        <f t="shared" ref="H4:H20" si="4">E4/(4.8*(((G4/3.6)/16.1)+1))</f>
        <v>2.0275403809064612</v>
      </c>
      <c r="J4" s="11">
        <v>0.2</v>
      </c>
      <c r="K4" s="12">
        <f>SLOPE($E$3:$E$27, $D$3:$D$27) * J4 + INTERCEPT($E$3:$E$27, $D$3:$D$27)</f>
        <v>2.4044071379717704</v>
      </c>
      <c r="X4" s="1">
        <f t="shared" si="0"/>
        <v>2.4800000000000004</v>
      </c>
      <c r="Y4" s="1">
        <f t="shared" si="0"/>
        <v>13.25</v>
      </c>
      <c r="Z4" s="1">
        <f t="shared" si="1"/>
        <v>22.9</v>
      </c>
      <c r="AA4" s="4">
        <f t="shared" si="2"/>
        <v>25</v>
      </c>
      <c r="AB4" s="1" t="s">
        <v>10</v>
      </c>
      <c r="AC4" s="1" t="s">
        <v>10</v>
      </c>
    </row>
    <row r="5" spans="1:29" x14ac:dyDescent="0.25">
      <c r="A5">
        <v>17</v>
      </c>
      <c r="B5" t="s">
        <v>10</v>
      </c>
      <c r="C5">
        <v>9.7200000000000006</v>
      </c>
      <c r="D5" s="7">
        <f t="shared" ref="D5:D20" si="5">C5-C4</f>
        <v>2.4800000000000004</v>
      </c>
      <c r="E5" s="2">
        <v>13.25</v>
      </c>
      <c r="F5" s="9">
        <f t="shared" si="3"/>
        <v>15.775555555555558</v>
      </c>
      <c r="G5">
        <v>22.9</v>
      </c>
      <c r="H5" s="5">
        <f t="shared" si="4"/>
        <v>1.9786513727430128</v>
      </c>
      <c r="J5" s="11">
        <v>0.4</v>
      </c>
      <c r="K5" s="12">
        <f t="shared" ref="K5:K13" si="6">SLOPE($E$3:$E$27, $D$3:$D$27) * J5 + INTERCEPT($E$3:$E$27, $D$3:$D$27)</f>
        <v>3.35342317975502</v>
      </c>
      <c r="X5" s="1">
        <f t="shared" si="0"/>
        <v>1.5999999999999996</v>
      </c>
      <c r="Y5" s="1">
        <f t="shared" si="0"/>
        <v>9.4499999999999993</v>
      </c>
      <c r="Z5" s="1">
        <f t="shared" si="1"/>
        <v>20.7</v>
      </c>
      <c r="AA5" s="4">
        <f t="shared" si="2"/>
        <v>22.9</v>
      </c>
      <c r="AB5" s="1" t="s">
        <v>10</v>
      </c>
      <c r="AC5" s="1" t="s">
        <v>10</v>
      </c>
    </row>
    <row r="6" spans="1:29" x14ac:dyDescent="0.25">
      <c r="A6">
        <v>39</v>
      </c>
      <c r="B6" t="s">
        <v>10</v>
      </c>
      <c r="C6">
        <v>11.32</v>
      </c>
      <c r="D6" s="7">
        <f t="shared" si="5"/>
        <v>1.5999999999999996</v>
      </c>
      <c r="E6" s="2">
        <v>9.4499999999999993</v>
      </c>
      <c r="F6" s="9">
        <f t="shared" si="3"/>
        <v>9.1999999999999975</v>
      </c>
      <c r="G6">
        <v>20.7</v>
      </c>
      <c r="H6" s="5">
        <f t="shared" si="4"/>
        <v>1.450657894736842</v>
      </c>
      <c r="J6" s="11">
        <v>0.6</v>
      </c>
      <c r="K6" s="12">
        <f t="shared" si="6"/>
        <v>4.3024392215382701</v>
      </c>
      <c r="X6" s="1">
        <f t="shared" si="0"/>
        <v>2.4000000000000004</v>
      </c>
      <c r="Y6" s="1">
        <f t="shared" si="0"/>
        <v>13.1</v>
      </c>
      <c r="Z6" s="1">
        <f t="shared" si="1"/>
        <v>17.399999999999999</v>
      </c>
      <c r="AA6" s="4">
        <f t="shared" si="2"/>
        <v>20.7</v>
      </c>
    </row>
    <row r="7" spans="1:29" x14ac:dyDescent="0.25">
      <c r="A7">
        <v>10</v>
      </c>
      <c r="B7" t="s">
        <v>10</v>
      </c>
      <c r="C7">
        <v>13.72</v>
      </c>
      <c r="D7" s="7">
        <f t="shared" si="5"/>
        <v>2.4000000000000004</v>
      </c>
      <c r="E7" s="2">
        <v>13.1</v>
      </c>
      <c r="F7" s="9">
        <f t="shared" si="3"/>
        <v>11.600000000000001</v>
      </c>
      <c r="G7">
        <v>17.399999999999999</v>
      </c>
      <c r="H7" s="5">
        <f t="shared" si="4"/>
        <v>2.0990246815286624</v>
      </c>
      <c r="J7" s="11">
        <v>0.8</v>
      </c>
      <c r="K7" s="12">
        <f t="shared" si="6"/>
        <v>5.2514552633215192</v>
      </c>
      <c r="X7" s="1">
        <f t="shared" si="0"/>
        <v>2.2799999999999994</v>
      </c>
      <c r="Y7" s="1">
        <f t="shared" si="0"/>
        <v>9.7799999999999994</v>
      </c>
      <c r="Z7" s="1">
        <f t="shared" si="1"/>
        <v>22.1</v>
      </c>
      <c r="AA7" s="4">
        <f t="shared" si="2"/>
        <v>17.399999999999999</v>
      </c>
    </row>
    <row r="8" spans="1:29" x14ac:dyDescent="0.25">
      <c r="A8">
        <v>71</v>
      </c>
      <c r="B8" t="s">
        <v>12</v>
      </c>
      <c r="C8">
        <v>16</v>
      </c>
      <c r="D8" s="7">
        <f>C8-C7</f>
        <v>2.2799999999999994</v>
      </c>
      <c r="E8" s="2">
        <v>9.7799999999999994</v>
      </c>
      <c r="F8" s="9">
        <f t="shared" si="3"/>
        <v>13.996666666666664</v>
      </c>
      <c r="G8">
        <v>22.1</v>
      </c>
      <c r="H8" s="5">
        <f t="shared" si="4"/>
        <v>1.47506245316013</v>
      </c>
      <c r="J8" s="11">
        <v>1</v>
      </c>
      <c r="K8" s="12">
        <f t="shared" si="6"/>
        <v>6.2004713051047693</v>
      </c>
      <c r="X8" s="1">
        <f t="shared" si="0"/>
        <v>3.8000000000000007</v>
      </c>
      <c r="Y8" s="1">
        <f t="shared" si="0"/>
        <v>17.48</v>
      </c>
      <c r="Z8" s="1">
        <f t="shared" si="1"/>
        <v>32.4</v>
      </c>
      <c r="AA8" s="4">
        <f t="shared" si="2"/>
        <v>22.1</v>
      </c>
    </row>
    <row r="9" spans="1:29" x14ac:dyDescent="0.25">
      <c r="A9">
        <v>90</v>
      </c>
      <c r="B9" t="s">
        <v>10</v>
      </c>
      <c r="C9">
        <v>19.8</v>
      </c>
      <c r="D9" s="7">
        <f t="shared" si="5"/>
        <v>3.8000000000000007</v>
      </c>
      <c r="E9" s="2">
        <v>17.48</v>
      </c>
      <c r="F9" s="9">
        <f t="shared" si="3"/>
        <v>34.200000000000003</v>
      </c>
      <c r="G9">
        <v>32.4</v>
      </c>
      <c r="H9" s="5">
        <f t="shared" si="4"/>
        <v>2.3358897742363878</v>
      </c>
      <c r="J9" s="11">
        <v>1.2</v>
      </c>
      <c r="K9" s="12">
        <f t="shared" si="6"/>
        <v>7.1494873468880185</v>
      </c>
      <c r="X9" s="1">
        <f t="shared" si="0"/>
        <v>3.120000000000001</v>
      </c>
      <c r="Y9" s="1">
        <f t="shared" si="0"/>
        <v>16.010000000000002</v>
      </c>
      <c r="Z9" s="1">
        <f t="shared" si="1"/>
        <v>23</v>
      </c>
      <c r="AA9" s="4">
        <f t="shared" si="2"/>
        <v>32.4</v>
      </c>
    </row>
    <row r="10" spans="1:29" x14ac:dyDescent="0.25">
      <c r="A10">
        <v>103</v>
      </c>
      <c r="B10" t="s">
        <v>10</v>
      </c>
      <c r="C10">
        <v>22.92</v>
      </c>
      <c r="D10" s="7">
        <f t="shared" si="5"/>
        <v>3.120000000000001</v>
      </c>
      <c r="E10" s="2">
        <v>16.010000000000002</v>
      </c>
      <c r="F10" s="9">
        <f t="shared" si="3"/>
        <v>19.933333333333337</v>
      </c>
      <c r="G10">
        <v>23</v>
      </c>
      <c r="H10" s="5">
        <f t="shared" si="4"/>
        <v>2.3878551136363639</v>
      </c>
      <c r="J10" s="11">
        <v>1.4</v>
      </c>
      <c r="K10" s="12">
        <f t="shared" si="6"/>
        <v>8.0985033886712685</v>
      </c>
      <c r="X10" s="1">
        <f t="shared" si="0"/>
        <v>0.47999999999999687</v>
      </c>
      <c r="Y10" s="1">
        <f t="shared" si="0"/>
        <v>3.97</v>
      </c>
      <c r="Z10" s="1">
        <f t="shared" si="1"/>
        <v>19.7</v>
      </c>
      <c r="AA10" s="4">
        <f t="shared" si="2"/>
        <v>23</v>
      </c>
    </row>
    <row r="11" spans="1:29" x14ac:dyDescent="0.25">
      <c r="A11">
        <v>116</v>
      </c>
      <c r="B11" t="s">
        <v>10</v>
      </c>
      <c r="C11">
        <v>23.4</v>
      </c>
      <c r="D11" s="7">
        <f t="shared" si="5"/>
        <v>0.47999999999999687</v>
      </c>
      <c r="E11" s="2">
        <v>3.97</v>
      </c>
      <c r="F11" s="9">
        <f t="shared" si="3"/>
        <v>2.6266666666666492</v>
      </c>
      <c r="G11">
        <v>19.7</v>
      </c>
      <c r="H11" s="5">
        <f t="shared" si="4"/>
        <v>0.61727723409734747</v>
      </c>
      <c r="J11" s="11">
        <v>1.6</v>
      </c>
      <c r="K11" s="12">
        <f t="shared" si="6"/>
        <v>9.0475194304545177</v>
      </c>
      <c r="X11" s="1">
        <f t="shared" si="0"/>
        <v>1.7200000000000024</v>
      </c>
      <c r="Y11" s="1">
        <f t="shared" si="0"/>
        <v>9.49</v>
      </c>
      <c r="Z11" s="1">
        <f t="shared" si="1"/>
        <v>27.3</v>
      </c>
      <c r="AA11" s="4">
        <f t="shared" si="2"/>
        <v>19.7</v>
      </c>
    </row>
    <row r="12" spans="1:29" x14ac:dyDescent="0.25">
      <c r="A12">
        <v>124</v>
      </c>
      <c r="B12" t="s">
        <v>10</v>
      </c>
      <c r="C12">
        <v>25.12</v>
      </c>
      <c r="D12" s="7">
        <f t="shared" si="5"/>
        <v>1.7200000000000024</v>
      </c>
      <c r="E12" s="2">
        <v>9.49</v>
      </c>
      <c r="F12" s="9">
        <f t="shared" si="3"/>
        <v>13.043333333333351</v>
      </c>
      <c r="G12">
        <v>27.3</v>
      </c>
      <c r="H12" s="5">
        <f t="shared" si="4"/>
        <v>1.3440270935960592</v>
      </c>
      <c r="J12" s="11">
        <v>1.8</v>
      </c>
      <c r="K12" s="12">
        <f t="shared" si="6"/>
        <v>9.9965354722377686</v>
      </c>
      <c r="X12" s="1">
        <f t="shared" si="0"/>
        <v>1.3999999999999986</v>
      </c>
      <c r="Y12" s="1">
        <f t="shared" si="0"/>
        <v>9.74</v>
      </c>
      <c r="Z12" s="1">
        <f t="shared" si="1"/>
        <v>28.3</v>
      </c>
      <c r="AA12" s="4">
        <f t="shared" si="2"/>
        <v>27.3</v>
      </c>
    </row>
    <row r="13" spans="1:29" x14ac:dyDescent="0.25">
      <c r="A13">
        <v>136</v>
      </c>
      <c r="B13" t="s">
        <v>10</v>
      </c>
      <c r="C13">
        <v>26.52</v>
      </c>
      <c r="D13" s="7">
        <f t="shared" si="5"/>
        <v>1.3999999999999986</v>
      </c>
      <c r="E13" s="2">
        <v>9.74</v>
      </c>
      <c r="F13" s="9">
        <f t="shared" si="3"/>
        <v>11.005555555555544</v>
      </c>
      <c r="G13">
        <v>28.3</v>
      </c>
      <c r="H13" s="5">
        <f t="shared" si="4"/>
        <v>1.3634419197774172</v>
      </c>
      <c r="J13" s="11">
        <v>2</v>
      </c>
      <c r="K13" s="12">
        <f t="shared" si="6"/>
        <v>10.945551514021018</v>
      </c>
      <c r="X13" s="1">
        <f t="shared" si="0"/>
        <v>2</v>
      </c>
      <c r="Y13" s="1">
        <f t="shared" si="0"/>
        <v>12.79</v>
      </c>
      <c r="Z13" s="1">
        <f t="shared" si="1"/>
        <v>24.3</v>
      </c>
      <c r="AA13" s="4">
        <f t="shared" si="2"/>
        <v>28.3</v>
      </c>
    </row>
    <row r="14" spans="1:29" x14ac:dyDescent="0.25">
      <c r="A14">
        <v>149</v>
      </c>
      <c r="B14" t="s">
        <v>10</v>
      </c>
      <c r="C14">
        <v>28.52</v>
      </c>
      <c r="D14" s="7">
        <f t="shared" si="5"/>
        <v>2</v>
      </c>
      <c r="E14" s="2">
        <v>12.79</v>
      </c>
      <c r="F14" s="9">
        <f t="shared" si="3"/>
        <v>13.5</v>
      </c>
      <c r="G14">
        <v>24.3</v>
      </c>
      <c r="H14" s="5">
        <f t="shared" si="4"/>
        <v>1.8774525893508387</v>
      </c>
      <c r="X14" s="1">
        <f t="shared" si="0"/>
        <v>8.0000000000001847E-2</v>
      </c>
      <c r="Y14" s="1">
        <f t="shared" si="0"/>
        <v>1.33</v>
      </c>
      <c r="Z14" s="1">
        <f t="shared" si="1"/>
        <v>23.4</v>
      </c>
      <c r="AA14" s="4">
        <f t="shared" si="2"/>
        <v>24.3</v>
      </c>
    </row>
    <row r="15" spans="1:29" x14ac:dyDescent="0.25">
      <c r="A15">
        <v>148</v>
      </c>
      <c r="B15" t="s">
        <v>12</v>
      </c>
      <c r="C15">
        <v>28.6</v>
      </c>
      <c r="D15" s="7">
        <f>C15-C14</f>
        <v>8.0000000000001847E-2</v>
      </c>
      <c r="E15" s="2">
        <v>1.33</v>
      </c>
      <c r="F15" s="9">
        <f t="shared" si="3"/>
        <v>0.52000000000001201</v>
      </c>
      <c r="G15">
        <v>23.4</v>
      </c>
      <c r="H15" s="5">
        <f t="shared" si="4"/>
        <v>0.19739122418879057</v>
      </c>
      <c r="J15" s="109" t="s">
        <v>66</v>
      </c>
      <c r="K15" s="109"/>
      <c r="X15" s="1">
        <f t="shared" si="0"/>
        <v>1.7199999999999989</v>
      </c>
      <c r="Y15" s="1">
        <f t="shared" si="0"/>
        <v>9.07</v>
      </c>
      <c r="Z15" s="1">
        <f t="shared" si="1"/>
        <v>21.4</v>
      </c>
      <c r="AA15" s="4">
        <f t="shared" si="2"/>
        <v>23.4</v>
      </c>
    </row>
    <row r="16" spans="1:29" x14ac:dyDescent="0.25">
      <c r="A16">
        <v>153</v>
      </c>
      <c r="B16" t="s">
        <v>10</v>
      </c>
      <c r="C16">
        <v>30.32</v>
      </c>
      <c r="D16" s="7">
        <f t="shared" si="5"/>
        <v>1.7199999999999989</v>
      </c>
      <c r="E16" s="2">
        <v>9.07</v>
      </c>
      <c r="F16" s="9">
        <f t="shared" si="3"/>
        <v>10.224444444444437</v>
      </c>
      <c r="G16">
        <v>21.4</v>
      </c>
      <c r="H16" s="5">
        <f t="shared" si="4"/>
        <v>1.3800434727822581</v>
      </c>
      <c r="J16" s="63" t="s">
        <v>10</v>
      </c>
      <c r="K16" s="64">
        <f>AVERAGEIFS($G$3:$G$30, $B$3:$B$30, J16, $G$3:$G$30, "&lt;&gt;0")</f>
        <v>22.50714285714286</v>
      </c>
      <c r="X16" s="1">
        <f t="shared" si="0"/>
        <v>0.48000000000000043</v>
      </c>
      <c r="Y16" s="1">
        <f t="shared" si="0"/>
        <v>3.02</v>
      </c>
      <c r="Z16" s="1">
        <f t="shared" si="1"/>
        <v>19.2</v>
      </c>
      <c r="AA16" s="4">
        <f t="shared" si="2"/>
        <v>21.4</v>
      </c>
    </row>
    <row r="17" spans="1:33" x14ac:dyDescent="0.25">
      <c r="A17">
        <v>188</v>
      </c>
      <c r="B17" t="s">
        <v>11</v>
      </c>
      <c r="C17">
        <v>30.8</v>
      </c>
      <c r="D17" s="7">
        <f t="shared" si="5"/>
        <v>0.48000000000000043</v>
      </c>
      <c r="E17" s="2">
        <v>3.02</v>
      </c>
      <c r="F17" s="9">
        <f t="shared" si="3"/>
        <v>2.5600000000000023</v>
      </c>
      <c r="G17">
        <v>19.2</v>
      </c>
      <c r="H17" s="5">
        <f t="shared" si="4"/>
        <v>0.47260886469673413</v>
      </c>
      <c r="J17" s="63" t="s">
        <v>11</v>
      </c>
      <c r="K17" s="64">
        <f t="shared" ref="K17:K18" si="7">AVERAGEIFS($G$3:$G$30, $B$3:$B$30, J17, $G$3:$G$30, "&lt;&gt;0")</f>
        <v>22.1</v>
      </c>
      <c r="X17" s="1">
        <f t="shared" si="0"/>
        <v>2.3199999999999967</v>
      </c>
      <c r="Y17" s="1">
        <f t="shared" si="0"/>
        <v>11.95</v>
      </c>
      <c r="Z17" s="1">
        <f t="shared" si="1"/>
        <v>27.3</v>
      </c>
      <c r="AA17" s="4">
        <f t="shared" si="2"/>
        <v>19.2</v>
      </c>
    </row>
    <row r="18" spans="1:33" x14ac:dyDescent="0.25">
      <c r="A18">
        <v>179</v>
      </c>
      <c r="B18" t="s">
        <v>10</v>
      </c>
      <c r="C18">
        <v>33.119999999999997</v>
      </c>
      <c r="D18" s="7">
        <f t="shared" si="5"/>
        <v>2.3199999999999967</v>
      </c>
      <c r="E18" s="2">
        <v>11.95</v>
      </c>
      <c r="F18" s="9">
        <f t="shared" si="3"/>
        <v>17.593333333333309</v>
      </c>
      <c r="G18">
        <v>27.3</v>
      </c>
      <c r="H18" s="5">
        <f t="shared" si="4"/>
        <v>1.6924261083743843</v>
      </c>
      <c r="J18" s="63" t="s">
        <v>12</v>
      </c>
      <c r="K18" s="64">
        <f t="shared" si="7"/>
        <v>22.75</v>
      </c>
      <c r="X18" s="1">
        <f t="shared" si="0"/>
        <v>2.1200000000000045</v>
      </c>
      <c r="Y18" s="1">
        <f t="shared" si="0"/>
        <v>15.89</v>
      </c>
      <c r="Z18" s="1">
        <f t="shared" si="1"/>
        <v>15.7</v>
      </c>
      <c r="AA18" s="4">
        <f t="shared" si="2"/>
        <v>27.3</v>
      </c>
    </row>
    <row r="19" spans="1:33" x14ac:dyDescent="0.25">
      <c r="A19">
        <v>175</v>
      </c>
      <c r="B19" t="s">
        <v>10</v>
      </c>
      <c r="C19">
        <v>35.24</v>
      </c>
      <c r="D19" s="7">
        <f t="shared" si="5"/>
        <v>2.1200000000000045</v>
      </c>
      <c r="E19" s="2">
        <v>15.89</v>
      </c>
      <c r="F19" s="9">
        <f t="shared" si="3"/>
        <v>9.2455555555555744</v>
      </c>
      <c r="G19">
        <v>15.7</v>
      </c>
      <c r="H19" s="5">
        <f t="shared" si="4"/>
        <v>2.6048296225902798</v>
      </c>
      <c r="J19" s="6"/>
      <c r="K19" s="17"/>
      <c r="X19" s="1">
        <f t="shared" si="0"/>
        <v>1.8799999999999955</v>
      </c>
      <c r="Y19" s="1">
        <f t="shared" si="0"/>
        <v>7.41</v>
      </c>
      <c r="Z19" s="1">
        <f t="shared" si="1"/>
        <v>15.6</v>
      </c>
      <c r="AA19" s="4">
        <f t="shared" si="2"/>
        <v>15.7</v>
      </c>
    </row>
    <row r="20" spans="1:33" x14ac:dyDescent="0.25">
      <c r="A20">
        <v>201</v>
      </c>
      <c r="B20" t="s">
        <v>10</v>
      </c>
      <c r="C20">
        <v>37.119999999999997</v>
      </c>
      <c r="D20" s="7">
        <f t="shared" si="5"/>
        <v>1.8799999999999955</v>
      </c>
      <c r="E20" s="2">
        <v>7.41</v>
      </c>
      <c r="F20" s="9">
        <f t="shared" si="3"/>
        <v>8.146666666666647</v>
      </c>
      <c r="G20">
        <v>15.6</v>
      </c>
      <c r="H20" s="5">
        <f t="shared" si="4"/>
        <v>1.2163641924959219</v>
      </c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15.6</v>
      </c>
    </row>
    <row r="21" spans="1:33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1:33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8">E4/G4</f>
        <v>0.55720000000000003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7</v>
      </c>
      <c r="B35" t="s">
        <v>12</v>
      </c>
      <c r="C35">
        <v>3.72</v>
      </c>
      <c r="D35" s="7">
        <v>0</v>
      </c>
      <c r="E35" s="1">
        <v>0</v>
      </c>
      <c r="F35" s="7">
        <v>0</v>
      </c>
      <c r="G35">
        <v>15.3</v>
      </c>
      <c r="J35" s="11">
        <v>0.2</v>
      </c>
      <c r="K35" s="12">
        <f t="shared" ref="K35:K44" si="9">SLOPE($E$35:$E$58, $D$35:$D$58) * J35 + INTERCEPT($E$35:$E$58, $D$35:$D$58)</f>
        <v>2.5671191693934561</v>
      </c>
      <c r="X35" s="6"/>
      <c r="Y35" s="22">
        <f t="shared" si="8"/>
        <v>0.57860262008733632</v>
      </c>
      <c r="Z35" s="1">
        <v>1.04</v>
      </c>
      <c r="AB35" s="11">
        <v>0.4</v>
      </c>
      <c r="AC35" s="23" t="e">
        <f t="shared" ref="AC35:AC43" si="10">SLOPE($Y$33:$Y$57, $Z$33:$Z$57) * AB35 + INTERCEPT($Y$33:$Y$57, $Z$33:$Z$57)</f>
        <v>#DIV/0!</v>
      </c>
      <c r="AD35" s="23" t="e">
        <f t="shared" ref="AD35:AD43" si="11">$AD$32*AC35</f>
        <v>#DIV/0!</v>
      </c>
      <c r="AE35" s="23" t="e">
        <f t="shared" ref="AE35:AE43" si="12">$AE$32*AC35</f>
        <v>#DIV/0!</v>
      </c>
      <c r="AF35" s="23" t="e">
        <f t="shared" ref="AF35:AF43" si="13">$AF$32*AC35</f>
        <v>#DIV/0!</v>
      </c>
      <c r="AG35" s="23" t="e">
        <f t="shared" ref="AG35:AG43" si="14">$AG$32*AC35</f>
        <v>#DIV/0!</v>
      </c>
    </row>
    <row r="36" spans="1:33" x14ac:dyDescent="0.25">
      <c r="A36">
        <v>3</v>
      </c>
      <c r="B36" t="s">
        <v>10</v>
      </c>
      <c r="C36">
        <v>5.44</v>
      </c>
      <c r="D36" s="7">
        <f>C36-C35</f>
        <v>1.7200000000000002</v>
      </c>
      <c r="E36" s="2">
        <v>3.93</v>
      </c>
      <c r="F36" s="9">
        <f t="shared" ref="F36:F55" si="15">D36*G36/3.6</f>
        <v>8.8388888888888903</v>
      </c>
      <c r="G36">
        <v>18.5</v>
      </c>
      <c r="H36" s="5"/>
      <c r="J36" s="11">
        <v>0.4</v>
      </c>
      <c r="K36" s="12">
        <f t="shared" si="9"/>
        <v>3.4023383838868488</v>
      </c>
      <c r="X36" s="6"/>
      <c r="Y36" s="22">
        <f t="shared" si="8"/>
        <v>0.45652173913043476</v>
      </c>
      <c r="Z36" s="1">
        <v>1.1600000000000001</v>
      </c>
      <c r="AB36" s="11">
        <v>0.6</v>
      </c>
      <c r="AC36" s="23" t="e">
        <f t="shared" si="10"/>
        <v>#DIV/0!</v>
      </c>
      <c r="AD36" s="23" t="e">
        <f t="shared" si="11"/>
        <v>#DIV/0!</v>
      </c>
      <c r="AE36" s="23" t="e">
        <f t="shared" si="12"/>
        <v>#DIV/0!</v>
      </c>
      <c r="AF36" s="23" t="e">
        <f t="shared" si="13"/>
        <v>#DIV/0!</v>
      </c>
      <c r="AG36" s="23" t="e">
        <f t="shared" si="14"/>
        <v>#DIV/0!</v>
      </c>
    </row>
    <row r="37" spans="1:33" x14ac:dyDescent="0.25">
      <c r="A37">
        <v>33</v>
      </c>
      <c r="B37" t="s">
        <v>11</v>
      </c>
      <c r="C37">
        <v>7.44</v>
      </c>
      <c r="D37" s="7">
        <f t="shared" ref="D37:D53" si="16">C37-C36</f>
        <v>2</v>
      </c>
      <c r="E37" s="2">
        <v>13.48</v>
      </c>
      <c r="F37" s="9">
        <f t="shared" si="15"/>
        <v>14.722222222222221</v>
      </c>
      <c r="G37">
        <v>26.5</v>
      </c>
      <c r="H37" s="5"/>
      <c r="J37" s="11">
        <v>0.6</v>
      </c>
      <c r="K37" s="12">
        <f t="shared" si="9"/>
        <v>4.237557598380242</v>
      </c>
      <c r="Y37" s="22">
        <f t="shared" si="8"/>
        <v>0.75287356321839083</v>
      </c>
      <c r="Z37" s="1">
        <v>1.2400000000000002</v>
      </c>
      <c r="AB37" s="11">
        <v>0.8</v>
      </c>
      <c r="AC37" s="23" t="e">
        <f t="shared" si="10"/>
        <v>#DIV/0!</v>
      </c>
      <c r="AD37" s="23" t="e">
        <f t="shared" si="11"/>
        <v>#DIV/0!</v>
      </c>
      <c r="AE37" s="23" t="e">
        <f t="shared" si="12"/>
        <v>#DIV/0!</v>
      </c>
      <c r="AF37" s="23" t="e">
        <f t="shared" si="13"/>
        <v>#DIV/0!</v>
      </c>
      <c r="AG37" s="23" t="e">
        <f t="shared" si="14"/>
        <v>#DIV/0!</v>
      </c>
    </row>
    <row r="38" spans="1:33" x14ac:dyDescent="0.25">
      <c r="A38">
        <v>9</v>
      </c>
      <c r="B38" t="s">
        <v>12</v>
      </c>
      <c r="C38">
        <v>7.52</v>
      </c>
      <c r="D38" s="7">
        <f t="shared" si="16"/>
        <v>7.9999999999999183E-2</v>
      </c>
      <c r="E38" s="2">
        <v>1.58</v>
      </c>
      <c r="F38" s="9">
        <f t="shared" si="15"/>
        <v>0.36888888888888516</v>
      </c>
      <c r="G38">
        <v>16.600000000000001</v>
      </c>
      <c r="H38" s="5"/>
      <c r="J38" s="11">
        <v>0.8</v>
      </c>
      <c r="K38" s="12">
        <f t="shared" si="9"/>
        <v>5.0727768128736344</v>
      </c>
      <c r="Y38" s="22">
        <f t="shared" si="8"/>
        <v>0.44253393665158364</v>
      </c>
      <c r="Z38" s="1">
        <v>2.16</v>
      </c>
      <c r="AB38" s="11">
        <v>1</v>
      </c>
      <c r="AC38" s="23" t="e">
        <f t="shared" si="10"/>
        <v>#DIV/0!</v>
      </c>
      <c r="AD38" s="23" t="e">
        <f t="shared" si="11"/>
        <v>#DIV/0!</v>
      </c>
      <c r="AE38" s="23" t="e">
        <f t="shared" si="12"/>
        <v>#DIV/0!</v>
      </c>
      <c r="AF38" s="23" t="e">
        <f t="shared" si="13"/>
        <v>#DIV/0!</v>
      </c>
      <c r="AG38" s="23" t="e">
        <f t="shared" si="14"/>
        <v>#DIV/0!</v>
      </c>
    </row>
    <row r="39" spans="1:33" x14ac:dyDescent="0.25">
      <c r="A39">
        <v>30</v>
      </c>
      <c r="B39" t="s">
        <v>10</v>
      </c>
      <c r="C39">
        <v>9.92</v>
      </c>
      <c r="D39" s="7">
        <f t="shared" si="16"/>
        <v>2.4000000000000004</v>
      </c>
      <c r="E39" s="2">
        <v>10.51</v>
      </c>
      <c r="F39" s="9">
        <f t="shared" si="15"/>
        <v>14.200000000000003</v>
      </c>
      <c r="G39">
        <v>21.3</v>
      </c>
      <c r="H39" s="5"/>
      <c r="J39" s="11">
        <v>1</v>
      </c>
      <c r="K39" s="12">
        <f t="shared" si="9"/>
        <v>5.9079960273670276</v>
      </c>
      <c r="Y39" s="22">
        <f t="shared" si="8"/>
        <v>0.53950617283950619</v>
      </c>
      <c r="Z39" s="1">
        <v>2.6399999999999988</v>
      </c>
      <c r="AB39" s="11">
        <v>1.2</v>
      </c>
      <c r="AC39" s="23" t="e">
        <f t="shared" si="10"/>
        <v>#DIV/0!</v>
      </c>
      <c r="AD39" s="23" t="e">
        <f t="shared" si="11"/>
        <v>#DIV/0!</v>
      </c>
      <c r="AE39" s="23" t="e">
        <f t="shared" si="12"/>
        <v>#DIV/0!</v>
      </c>
      <c r="AF39" s="23" t="e">
        <f t="shared" si="13"/>
        <v>#DIV/0!</v>
      </c>
      <c r="AG39" s="23" t="e">
        <f t="shared" si="14"/>
        <v>#DIV/0!</v>
      </c>
    </row>
    <row r="40" spans="1:33" x14ac:dyDescent="0.25">
      <c r="A40">
        <v>56</v>
      </c>
      <c r="B40" t="s">
        <v>10</v>
      </c>
      <c r="C40">
        <v>11.4</v>
      </c>
      <c r="D40" s="7">
        <f t="shared" si="16"/>
        <v>1.4800000000000004</v>
      </c>
      <c r="E40" s="2">
        <v>9.99</v>
      </c>
      <c r="F40" s="9">
        <f t="shared" si="15"/>
        <v>9.7844444444444481</v>
      </c>
      <c r="G40">
        <v>23.8</v>
      </c>
      <c r="H40" s="5"/>
      <c r="J40" s="11">
        <v>1.2</v>
      </c>
      <c r="K40" s="12">
        <f t="shared" si="9"/>
        <v>6.7432152418604199</v>
      </c>
      <c r="Y40" s="22">
        <f t="shared" si="8"/>
        <v>0.69608695652173924</v>
      </c>
      <c r="Z40" s="1">
        <v>2.2000000000000011</v>
      </c>
      <c r="AB40" s="11">
        <v>1.4</v>
      </c>
      <c r="AC40" s="23" t="e">
        <f t="shared" si="10"/>
        <v>#DIV/0!</v>
      </c>
      <c r="AD40" s="23" t="e">
        <f t="shared" si="11"/>
        <v>#DIV/0!</v>
      </c>
      <c r="AE40" s="23" t="e">
        <f t="shared" si="12"/>
        <v>#DIV/0!</v>
      </c>
      <c r="AF40" s="23" t="e">
        <f t="shared" si="13"/>
        <v>#DIV/0!</v>
      </c>
      <c r="AG40" s="23" t="e">
        <f t="shared" si="14"/>
        <v>#DIV/0!</v>
      </c>
    </row>
    <row r="41" spans="1:33" x14ac:dyDescent="0.25">
      <c r="A41">
        <v>68</v>
      </c>
      <c r="B41" t="s">
        <v>10</v>
      </c>
      <c r="C41">
        <v>13.44</v>
      </c>
      <c r="D41" s="7">
        <f t="shared" si="16"/>
        <v>2.0399999999999991</v>
      </c>
      <c r="E41" s="2">
        <v>12.84</v>
      </c>
      <c r="F41" s="9">
        <f t="shared" si="15"/>
        <v>13.939999999999994</v>
      </c>
      <c r="G41">
        <v>24.6</v>
      </c>
      <c r="H41" s="5"/>
      <c r="J41" s="11">
        <v>1.4</v>
      </c>
      <c r="K41" s="12">
        <f t="shared" si="9"/>
        <v>7.5784344563538131</v>
      </c>
      <c r="Y41" s="22">
        <f t="shared" si="8"/>
        <v>0.20152284263959391</v>
      </c>
      <c r="Z41" s="1">
        <v>2.6799999999999997</v>
      </c>
      <c r="AB41" s="11">
        <v>1.6</v>
      </c>
      <c r="AC41" s="23" t="e">
        <f t="shared" si="10"/>
        <v>#DIV/0!</v>
      </c>
      <c r="AD41" s="23" t="e">
        <f t="shared" si="11"/>
        <v>#DIV/0!</v>
      </c>
      <c r="AE41" s="23" t="e">
        <f t="shared" si="12"/>
        <v>#DIV/0!</v>
      </c>
      <c r="AF41" s="23" t="e">
        <f t="shared" si="13"/>
        <v>#DIV/0!</v>
      </c>
      <c r="AG41" s="23" t="e">
        <f t="shared" si="14"/>
        <v>#DIV/0!</v>
      </c>
    </row>
    <row r="42" spans="1:33" x14ac:dyDescent="0.25">
      <c r="A42">
        <v>77</v>
      </c>
      <c r="B42" t="s">
        <v>12</v>
      </c>
      <c r="C42">
        <v>14.64</v>
      </c>
      <c r="D42" s="7">
        <f t="shared" si="16"/>
        <v>1.2000000000000011</v>
      </c>
      <c r="E42" s="2">
        <v>8.3699999999999992</v>
      </c>
      <c r="F42" s="9">
        <f t="shared" si="15"/>
        <v>10.366666666666676</v>
      </c>
      <c r="G42">
        <v>31.1</v>
      </c>
      <c r="H42" s="5"/>
      <c r="J42" s="11">
        <v>1.6</v>
      </c>
      <c r="K42" s="12">
        <f t="shared" si="9"/>
        <v>8.4136536708472072</v>
      </c>
      <c r="Y42" s="22">
        <f t="shared" si="8"/>
        <v>0.34761904761904761</v>
      </c>
      <c r="Z42" s="1">
        <v>1.4800000000000004</v>
      </c>
      <c r="AB42" s="11">
        <v>1.8</v>
      </c>
      <c r="AC42" s="23" t="e">
        <f t="shared" si="10"/>
        <v>#DIV/0!</v>
      </c>
      <c r="AD42" s="23" t="e">
        <f t="shared" si="11"/>
        <v>#DIV/0!</v>
      </c>
      <c r="AE42" s="23" t="e">
        <f t="shared" si="12"/>
        <v>#DIV/0!</v>
      </c>
      <c r="AF42" s="23" t="e">
        <f t="shared" si="13"/>
        <v>#DIV/0!</v>
      </c>
      <c r="AG42" s="23" t="e">
        <f t="shared" si="14"/>
        <v>#DIV/0!</v>
      </c>
    </row>
    <row r="43" spans="1:33" x14ac:dyDescent="0.25">
      <c r="A43">
        <v>65</v>
      </c>
      <c r="B43" t="s">
        <v>11</v>
      </c>
      <c r="C43">
        <v>14.92</v>
      </c>
      <c r="D43" s="7">
        <f t="shared" si="16"/>
        <v>0.27999999999999936</v>
      </c>
      <c r="E43" s="2">
        <v>1.08</v>
      </c>
      <c r="F43" s="9">
        <f t="shared" si="15"/>
        <v>2.8077777777777713</v>
      </c>
      <c r="G43">
        <v>36.1</v>
      </c>
      <c r="H43" s="5"/>
      <c r="J43" s="11">
        <v>1.8</v>
      </c>
      <c r="K43" s="12">
        <f t="shared" si="9"/>
        <v>9.2488728853405995</v>
      </c>
      <c r="Y43" s="22">
        <f t="shared" si="8"/>
        <v>0.34416961130742052</v>
      </c>
      <c r="Z43" s="1">
        <v>1.6400000000000006</v>
      </c>
      <c r="AB43" s="11">
        <v>2</v>
      </c>
      <c r="AC43" s="23" t="e">
        <f t="shared" si="10"/>
        <v>#DIV/0!</v>
      </c>
      <c r="AD43" s="23" t="e">
        <f t="shared" si="11"/>
        <v>#DIV/0!</v>
      </c>
      <c r="AE43" s="23" t="e">
        <f t="shared" si="12"/>
        <v>#DIV/0!</v>
      </c>
      <c r="AF43" s="23" t="e">
        <f t="shared" si="13"/>
        <v>#DIV/0!</v>
      </c>
      <c r="AG43" s="23" t="e">
        <f t="shared" si="14"/>
        <v>#DIV/0!</v>
      </c>
    </row>
    <row r="44" spans="1:33" x14ac:dyDescent="0.25">
      <c r="A44">
        <v>62</v>
      </c>
      <c r="B44" t="s">
        <v>10</v>
      </c>
      <c r="C44">
        <v>16.04</v>
      </c>
      <c r="D44" s="7">
        <f t="shared" si="16"/>
        <v>1.1199999999999992</v>
      </c>
      <c r="E44" s="2">
        <v>9.02</v>
      </c>
      <c r="F44" s="9">
        <f t="shared" si="15"/>
        <v>7.0622222222222168</v>
      </c>
      <c r="G44">
        <v>22.7</v>
      </c>
      <c r="H44" s="5"/>
      <c r="J44" s="11">
        <v>2</v>
      </c>
      <c r="K44" s="12">
        <f t="shared" si="9"/>
        <v>10.084092099833992</v>
      </c>
      <c r="Y44" s="22">
        <f t="shared" si="8"/>
        <v>0.52633744855967068</v>
      </c>
      <c r="Z44" s="1">
        <v>1.6799999999999997</v>
      </c>
    </row>
    <row r="45" spans="1:33" x14ac:dyDescent="0.25">
      <c r="A45">
        <v>89</v>
      </c>
      <c r="B45" t="s">
        <v>11</v>
      </c>
      <c r="C45">
        <v>17.32</v>
      </c>
      <c r="D45" s="7">
        <f t="shared" si="16"/>
        <v>1.2800000000000011</v>
      </c>
      <c r="E45" s="2">
        <v>7.91</v>
      </c>
      <c r="F45" s="9">
        <f t="shared" si="15"/>
        <v>11.626666666666679</v>
      </c>
      <c r="G45">
        <v>32.700000000000003</v>
      </c>
      <c r="H45" s="5"/>
      <c r="Y45" s="22">
        <f t="shared" si="8"/>
        <v>5.6837606837606844E-2</v>
      </c>
      <c r="Z45" s="1">
        <v>1.6799999999999997</v>
      </c>
    </row>
    <row r="46" spans="1:33" x14ac:dyDescent="0.25">
      <c r="A46">
        <v>79</v>
      </c>
      <c r="B46" t="s">
        <v>12</v>
      </c>
      <c r="C46">
        <v>18.600000000000001</v>
      </c>
      <c r="D46" s="7">
        <f t="shared" si="16"/>
        <v>1.2800000000000011</v>
      </c>
      <c r="E46" s="2">
        <v>7.66</v>
      </c>
      <c r="F46" s="9">
        <f t="shared" si="15"/>
        <v>7.4311111111111163</v>
      </c>
      <c r="G46">
        <v>20.9</v>
      </c>
      <c r="H46" s="5"/>
      <c r="J46" s="109" t="s">
        <v>66</v>
      </c>
      <c r="K46" s="109"/>
      <c r="Y46" s="22">
        <f t="shared" si="8"/>
        <v>0.42383177570093461</v>
      </c>
      <c r="Z46" s="1">
        <v>1</v>
      </c>
    </row>
    <row r="47" spans="1:33" x14ac:dyDescent="0.25">
      <c r="A47">
        <v>95</v>
      </c>
      <c r="B47" t="s">
        <v>11</v>
      </c>
      <c r="C47">
        <v>20.12</v>
      </c>
      <c r="D47" s="7">
        <f t="shared" si="16"/>
        <v>1.5199999999999996</v>
      </c>
      <c r="E47" s="2">
        <v>10.08</v>
      </c>
      <c r="F47" s="9">
        <f t="shared" si="15"/>
        <v>8.9933333333333305</v>
      </c>
      <c r="G47">
        <v>21.3</v>
      </c>
      <c r="H47" s="5"/>
      <c r="J47" s="63" t="s">
        <v>10</v>
      </c>
      <c r="K47" s="64">
        <f>AVERAGEIFS($G$35:$G$80, $B$35:$B$80, J47, $G$35:$G$80, "&lt;&gt;0")</f>
        <v>20.774999999999995</v>
      </c>
      <c r="Y47" s="22">
        <f t="shared" si="8"/>
        <v>0.15729166666666666</v>
      </c>
      <c r="Z47" s="1">
        <v>3.4400000000000013</v>
      </c>
    </row>
    <row r="48" spans="1:33" x14ac:dyDescent="0.25">
      <c r="A48">
        <v>115</v>
      </c>
      <c r="B48" t="s">
        <v>11</v>
      </c>
      <c r="C48">
        <v>21.12</v>
      </c>
      <c r="D48" s="7">
        <f t="shared" si="16"/>
        <v>1</v>
      </c>
      <c r="E48" s="2">
        <v>5.8</v>
      </c>
      <c r="F48" s="9">
        <f t="shared" si="15"/>
        <v>7.333333333333333</v>
      </c>
      <c r="G48">
        <v>26.4</v>
      </c>
      <c r="H48" s="5"/>
      <c r="J48" s="63" t="s">
        <v>11</v>
      </c>
      <c r="K48" s="64">
        <f t="shared" ref="K48:K49" si="17">AVERAGEIFS($G$35:$G$80, $B$35:$B$80, J48, $G$35:$G$80, "&lt;&gt;0")</f>
        <v>25.911111111111111</v>
      </c>
      <c r="Y48" s="22">
        <f t="shared" si="8"/>
        <v>0.43772893772893767</v>
      </c>
      <c r="Z48" s="1">
        <v>1.1999999999999993</v>
      </c>
    </row>
    <row r="49" spans="1:26" x14ac:dyDescent="0.25">
      <c r="A49">
        <v>102</v>
      </c>
      <c r="B49" t="s">
        <v>10</v>
      </c>
      <c r="C49">
        <v>24.44</v>
      </c>
      <c r="D49" s="7">
        <f t="shared" si="16"/>
        <v>3.3200000000000003</v>
      </c>
      <c r="E49" s="2">
        <v>12.88</v>
      </c>
      <c r="F49" s="9">
        <f t="shared" si="15"/>
        <v>21.580000000000002</v>
      </c>
      <c r="G49">
        <v>23.4</v>
      </c>
      <c r="H49" s="5"/>
      <c r="J49" s="63" t="s">
        <v>12</v>
      </c>
      <c r="K49" s="64">
        <f t="shared" si="17"/>
        <v>19.600000000000001</v>
      </c>
      <c r="Y49" s="22">
        <f t="shared" si="8"/>
        <v>1.0121019108280256</v>
      </c>
      <c r="Z49" s="1">
        <v>2.6799999999999997</v>
      </c>
    </row>
    <row r="50" spans="1:26" x14ac:dyDescent="0.25">
      <c r="A50">
        <v>136</v>
      </c>
      <c r="B50" t="s">
        <v>10</v>
      </c>
      <c r="C50">
        <v>26.72</v>
      </c>
      <c r="D50" s="7">
        <f t="shared" si="16"/>
        <v>2.2799999999999976</v>
      </c>
      <c r="E50" s="2">
        <v>11.84</v>
      </c>
      <c r="F50" s="9">
        <f t="shared" si="15"/>
        <v>17.543333333333315</v>
      </c>
      <c r="G50">
        <v>27.7</v>
      </c>
      <c r="H50" s="5"/>
      <c r="Y50" s="22">
        <f t="shared" si="8"/>
        <v>0.47500000000000003</v>
      </c>
      <c r="Z50" s="1">
        <v>1.5999999999999979</v>
      </c>
    </row>
    <row r="51" spans="1:26" x14ac:dyDescent="0.25">
      <c r="A51">
        <v>157</v>
      </c>
      <c r="B51" t="s">
        <v>11</v>
      </c>
      <c r="C51">
        <v>30.12</v>
      </c>
      <c r="D51" s="7">
        <f t="shared" si="16"/>
        <v>3.4000000000000021</v>
      </c>
      <c r="E51" s="2">
        <v>14.54</v>
      </c>
      <c r="F51" s="9">
        <f t="shared" si="15"/>
        <v>20.494444444444458</v>
      </c>
      <c r="G51">
        <v>21.7</v>
      </c>
      <c r="H51" s="5"/>
      <c r="Y51" s="22" t="e">
        <f t="shared" si="8"/>
        <v>#DIV/0!</v>
      </c>
      <c r="Z51" s="1">
        <v>1.6000000000000014</v>
      </c>
    </row>
    <row r="52" spans="1:26" x14ac:dyDescent="0.25">
      <c r="A52">
        <v>169</v>
      </c>
      <c r="B52" t="s">
        <v>12</v>
      </c>
      <c r="C52">
        <v>30.8</v>
      </c>
      <c r="D52" s="7">
        <f t="shared" si="16"/>
        <v>0.67999999999999972</v>
      </c>
      <c r="E52" s="2">
        <v>4.8099999999999996</v>
      </c>
      <c r="F52" s="9">
        <f t="shared" si="15"/>
        <v>3.0222222222222208</v>
      </c>
      <c r="G52">
        <v>16</v>
      </c>
      <c r="H52" s="5"/>
      <c r="Y52" s="22" t="e">
        <f t="shared" si="8"/>
        <v>#DIV/0!</v>
      </c>
      <c r="Z52" s="1">
        <v>1.2000000000000028</v>
      </c>
    </row>
    <row r="53" spans="1:26" x14ac:dyDescent="0.25">
      <c r="A53">
        <v>188</v>
      </c>
      <c r="B53" t="s">
        <v>11</v>
      </c>
      <c r="C53">
        <v>31</v>
      </c>
      <c r="D53" s="7">
        <f t="shared" si="16"/>
        <v>0.19999999999999929</v>
      </c>
      <c r="E53" s="2">
        <v>0.51</v>
      </c>
      <c r="F53" s="9">
        <f t="shared" si="15"/>
        <v>1.2277777777777736</v>
      </c>
      <c r="G53">
        <v>22.1</v>
      </c>
      <c r="H53" s="5"/>
      <c r="Y53" s="22" t="e">
        <f t="shared" si="8"/>
        <v>#DIV/0!</v>
      </c>
      <c r="Z53" s="1">
        <v>0.79999999999999716</v>
      </c>
    </row>
    <row r="54" spans="1:26" x14ac:dyDescent="0.25">
      <c r="D54" s="7"/>
      <c r="E54" s="2"/>
      <c r="F54" s="9">
        <f t="shared" si="15"/>
        <v>0</v>
      </c>
      <c r="H54" s="5"/>
      <c r="Y54" s="22" t="e">
        <f t="shared" si="8"/>
        <v>#DIV/0!</v>
      </c>
      <c r="Z54" s="1">
        <v>1.4799999999999969</v>
      </c>
    </row>
    <row r="55" spans="1:26" x14ac:dyDescent="0.25">
      <c r="A55">
        <v>199</v>
      </c>
      <c r="B55" t="s">
        <v>11</v>
      </c>
      <c r="C55">
        <v>31.92</v>
      </c>
      <c r="D55" s="7"/>
      <c r="E55" s="2">
        <v>-1.88</v>
      </c>
      <c r="F55" s="9">
        <f t="shared" si="15"/>
        <v>0</v>
      </c>
      <c r="G55">
        <v>16.399999999999999</v>
      </c>
      <c r="H55" s="5"/>
      <c r="Y55" s="22" t="e">
        <f t="shared" si="8"/>
        <v>#DIV/0!</v>
      </c>
      <c r="Z55" s="1">
        <v>0.80000000000000426</v>
      </c>
    </row>
    <row r="56" spans="1:26" x14ac:dyDescent="0.25">
      <c r="A56">
        <v>178</v>
      </c>
      <c r="B56" t="s">
        <v>12</v>
      </c>
      <c r="C56">
        <v>32.840000000000003</v>
      </c>
      <c r="D56" s="7"/>
      <c r="E56">
        <v>4.17</v>
      </c>
      <c r="F56" s="9"/>
      <c r="G56">
        <v>17.7</v>
      </c>
      <c r="H56" s="5"/>
      <c r="Y56" s="22" t="e">
        <f t="shared" si="8"/>
        <v>#DIV/0!</v>
      </c>
      <c r="Z56" s="1">
        <v>6</v>
      </c>
    </row>
    <row r="57" spans="1:26" x14ac:dyDescent="0.25">
      <c r="A57">
        <v>155</v>
      </c>
      <c r="B57" t="s">
        <v>10</v>
      </c>
      <c r="C57">
        <v>34.200000000000003</v>
      </c>
      <c r="E57" s="2">
        <v>7.45</v>
      </c>
      <c r="F57" s="9"/>
      <c r="G57">
        <v>4.2</v>
      </c>
      <c r="H57" s="5"/>
      <c r="Y57" s="22"/>
    </row>
    <row r="58" spans="1:26" x14ac:dyDescent="0.25">
      <c r="A58">
        <v>233</v>
      </c>
      <c r="B58" t="s">
        <v>11</v>
      </c>
      <c r="C58">
        <v>34.72</v>
      </c>
      <c r="E58" s="2">
        <v>2.5499999999999998</v>
      </c>
      <c r="F58" s="7"/>
      <c r="G58">
        <v>0</v>
      </c>
      <c r="H58" s="5"/>
    </row>
    <row r="59" spans="1:26" x14ac:dyDescent="0.25">
      <c r="A59">
        <v>237</v>
      </c>
      <c r="B59" t="s">
        <v>11</v>
      </c>
      <c r="C59">
        <v>37.119999999999997</v>
      </c>
      <c r="E59">
        <v>2.2599999999999998</v>
      </c>
      <c r="G59">
        <v>30</v>
      </c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{29EF86F8-4B42-4D0A-9726-2613C0DBA73A}</x14:id>
        </ext>
      </extLst>
    </cfRule>
  </conditionalFormatting>
  <conditionalFormatting sqref="G57:G58 F35 G35:G5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{83787E10-A71C-47C9-8C61-5D827DAE3A63}</x14:id>
        </ext>
      </extLst>
    </cfRule>
  </conditionalFormatting>
  <conditionalFormatting sqref="K3:K13">
    <cfRule type="cellIs" dxfId="44" priority="11" operator="between">
      <formula>4</formula>
      <formula>5</formula>
    </cfRule>
    <cfRule type="cellIs" dxfId="43" priority="12" operator="lessThan">
      <formula>3.99</formula>
    </cfRule>
    <cfRule type="cellIs" dxfId="42" priority="13" operator="greaterThan">
      <formula>5</formula>
    </cfRule>
  </conditionalFormatting>
  <conditionalFormatting sqref="K34:K44">
    <cfRule type="cellIs" dxfId="41" priority="7" operator="between">
      <formula>4</formula>
      <formula>5</formula>
    </cfRule>
    <cfRule type="cellIs" dxfId="40" priority="8" operator="lessThan">
      <formula>3.99</formula>
    </cfRule>
    <cfRule type="cellIs" dxfId="39" priority="9" operator="greaterThan">
      <formula>5</formula>
    </cfRule>
  </conditionalFormatting>
  <conditionalFormatting sqref="AC33:AG43">
    <cfRule type="cellIs" dxfId="38" priority="1" operator="between">
      <formula>4</formula>
      <formula>5</formula>
    </cfRule>
    <cfRule type="cellIs" dxfId="37" priority="2" operator="lessThan">
      <formula>3.99</formula>
    </cfRule>
    <cfRule type="cellIs" dxfId="36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EF86F8-4B42-4D0A-9726-2613C0DBA7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83787E10-A71C-47C9-8C61-5D827DAE3A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6E75-8DED-46EA-A2CB-76E692FFF3E0}">
  <sheetPr codeName="Sheet11"/>
  <dimension ref="A1:AG83"/>
  <sheetViews>
    <sheetView workbookViewId="0">
      <selection activeCell="D47" sqref="D47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3</v>
      </c>
      <c r="B3" t="s">
        <v>10</v>
      </c>
      <c r="C3">
        <v>0.52</v>
      </c>
      <c r="D3" s="7">
        <v>0</v>
      </c>
      <c r="E3" s="1">
        <v>0</v>
      </c>
      <c r="F3" s="7">
        <v>0</v>
      </c>
      <c r="G3">
        <v>0</v>
      </c>
      <c r="J3" s="11">
        <v>0</v>
      </c>
      <c r="K3" s="11">
        <v>0</v>
      </c>
      <c r="X3" s="1">
        <f t="shared" ref="X3:Y27" si="0">D4</f>
        <v>2.3199999999999998</v>
      </c>
      <c r="Y3" s="1">
        <f t="shared" si="0"/>
        <v>13.52</v>
      </c>
      <c r="Z3" s="1">
        <f t="shared" ref="Z3:Z27" si="1">G4</f>
        <v>21.3</v>
      </c>
      <c r="AA3" s="4">
        <f t="shared" ref="AA3:AA27" si="2">G3</f>
        <v>0</v>
      </c>
      <c r="AB3" s="1" t="s">
        <v>10</v>
      </c>
      <c r="AC3" s="1" t="s">
        <v>10</v>
      </c>
    </row>
    <row r="4" spans="1:29" x14ac:dyDescent="0.25">
      <c r="A4">
        <v>5</v>
      </c>
      <c r="B4" t="s">
        <v>10</v>
      </c>
      <c r="C4">
        <v>2.84</v>
      </c>
      <c r="D4" s="7">
        <f>C4-C3</f>
        <v>2.3199999999999998</v>
      </c>
      <c r="E4" s="2">
        <v>13.52</v>
      </c>
      <c r="F4" s="9">
        <f t="shared" ref="F4:F16" si="3">D4*G4/3.6</f>
        <v>13.726666666666665</v>
      </c>
      <c r="G4">
        <v>21.3</v>
      </c>
      <c r="H4" s="5"/>
      <c r="J4" s="11">
        <v>0.2</v>
      </c>
      <c r="K4" s="12">
        <f>SLOPE($E$3:$E$27, $D$3:$D$27) * J4 + INTERCEPT($E$3:$E$27, $D$3:$D$27)</f>
        <v>1.9032697019773197</v>
      </c>
      <c r="X4" s="1">
        <f t="shared" si="0"/>
        <v>2</v>
      </c>
      <c r="Y4" s="1">
        <f t="shared" si="0"/>
        <v>11.45</v>
      </c>
      <c r="Z4" s="1">
        <f t="shared" si="1"/>
        <v>17.2</v>
      </c>
      <c r="AA4" s="4">
        <f t="shared" si="2"/>
        <v>21.3</v>
      </c>
      <c r="AB4" s="1" t="s">
        <v>10</v>
      </c>
      <c r="AC4" s="1" t="s">
        <v>10</v>
      </c>
    </row>
    <row r="5" spans="1:29" x14ac:dyDescent="0.25">
      <c r="A5">
        <v>11</v>
      </c>
      <c r="B5" t="s">
        <v>10</v>
      </c>
      <c r="C5">
        <v>4.84</v>
      </c>
      <c r="D5" s="7">
        <f t="shared" ref="D5:D16" si="4">C5-C4</f>
        <v>2</v>
      </c>
      <c r="E5" s="2">
        <v>11.45</v>
      </c>
      <c r="F5" s="9">
        <f t="shared" si="3"/>
        <v>9.5555555555555554</v>
      </c>
      <c r="G5">
        <v>17.2</v>
      </c>
      <c r="H5" s="5"/>
      <c r="J5" s="11">
        <v>0.4</v>
      </c>
      <c r="K5" s="12">
        <f t="shared" ref="K5:K13" si="5">SLOPE($E$3:$E$27, $D$3:$D$27) * J5 + INTERCEPT($E$3:$E$27, $D$3:$D$27)</f>
        <v>2.8584312496438535</v>
      </c>
      <c r="X5" s="1">
        <f t="shared" si="0"/>
        <v>1.2800000000000002</v>
      </c>
      <c r="Y5" s="1">
        <f t="shared" si="0"/>
        <v>7.14</v>
      </c>
      <c r="Z5" s="1">
        <f t="shared" si="1"/>
        <v>24.9</v>
      </c>
      <c r="AA5" s="4">
        <f t="shared" si="2"/>
        <v>17.2</v>
      </c>
      <c r="AB5" s="1" t="s">
        <v>10</v>
      </c>
      <c r="AC5" s="1" t="s">
        <v>10</v>
      </c>
    </row>
    <row r="6" spans="1:29" x14ac:dyDescent="0.25">
      <c r="A6">
        <v>31</v>
      </c>
      <c r="B6" t="s">
        <v>10</v>
      </c>
      <c r="C6">
        <v>6.12</v>
      </c>
      <c r="D6" s="7">
        <f t="shared" si="4"/>
        <v>1.2800000000000002</v>
      </c>
      <c r="E6" s="2">
        <v>7.14</v>
      </c>
      <c r="F6" s="9">
        <f t="shared" si="3"/>
        <v>8.8533333333333335</v>
      </c>
      <c r="G6">
        <v>24.9</v>
      </c>
      <c r="H6" s="5"/>
      <c r="J6" s="11">
        <v>0.6</v>
      </c>
      <c r="K6" s="12">
        <f t="shared" si="5"/>
        <v>3.8135927973103869</v>
      </c>
      <c r="X6" s="1">
        <f t="shared" si="0"/>
        <v>3.6000000000000005</v>
      </c>
      <c r="Y6" s="1">
        <f t="shared" si="0"/>
        <v>17.43</v>
      </c>
      <c r="Z6" s="1">
        <f t="shared" si="1"/>
        <v>17.899999999999999</v>
      </c>
      <c r="AA6" s="4">
        <f t="shared" si="2"/>
        <v>24.9</v>
      </c>
    </row>
    <row r="7" spans="1:29" x14ac:dyDescent="0.25">
      <c r="A7">
        <v>32</v>
      </c>
      <c r="B7" t="s">
        <v>10</v>
      </c>
      <c r="C7">
        <v>9.7200000000000006</v>
      </c>
      <c r="D7" s="7">
        <f t="shared" si="4"/>
        <v>3.6000000000000005</v>
      </c>
      <c r="E7" s="2">
        <v>17.43</v>
      </c>
      <c r="F7" s="9">
        <f t="shared" si="3"/>
        <v>17.899999999999999</v>
      </c>
      <c r="G7">
        <v>17.899999999999999</v>
      </c>
      <c r="H7" s="5"/>
      <c r="J7" s="11">
        <v>0.8</v>
      </c>
      <c r="K7" s="12">
        <f t="shared" si="5"/>
        <v>4.7687543449769212</v>
      </c>
      <c r="X7" s="1">
        <f t="shared" si="0"/>
        <v>2.08</v>
      </c>
      <c r="Y7" s="1">
        <f t="shared" si="0"/>
        <v>10.81</v>
      </c>
      <c r="Z7" s="1">
        <f t="shared" si="1"/>
        <v>20.2</v>
      </c>
      <c r="AA7" s="4">
        <f t="shared" si="2"/>
        <v>17.899999999999999</v>
      </c>
    </row>
    <row r="8" spans="1:29" x14ac:dyDescent="0.25">
      <c r="A8">
        <v>48</v>
      </c>
      <c r="B8" t="s">
        <v>10</v>
      </c>
      <c r="C8">
        <v>11.8</v>
      </c>
      <c r="D8" s="7">
        <f>C8-C7</f>
        <v>2.08</v>
      </c>
      <c r="E8" s="2">
        <v>10.81</v>
      </c>
      <c r="F8" s="9">
        <f t="shared" si="3"/>
        <v>11.671111111111111</v>
      </c>
      <c r="G8">
        <v>20.2</v>
      </c>
      <c r="H8" s="5"/>
      <c r="J8" s="11">
        <v>1</v>
      </c>
      <c r="K8" s="12">
        <f t="shared" si="5"/>
        <v>5.7239158926434541</v>
      </c>
      <c r="X8" s="1">
        <f t="shared" si="0"/>
        <v>2.1199999999999992</v>
      </c>
      <c r="Y8" s="1">
        <f t="shared" si="0"/>
        <v>9.74</v>
      </c>
      <c r="Z8" s="1">
        <f t="shared" si="1"/>
        <v>15</v>
      </c>
      <c r="AA8" s="4">
        <f t="shared" si="2"/>
        <v>20.2</v>
      </c>
    </row>
    <row r="9" spans="1:29" x14ac:dyDescent="0.25">
      <c r="A9">
        <v>52</v>
      </c>
      <c r="B9" t="s">
        <v>36</v>
      </c>
      <c r="C9">
        <v>13.92</v>
      </c>
      <c r="D9" s="7">
        <f t="shared" si="4"/>
        <v>2.1199999999999992</v>
      </c>
      <c r="E9" s="2">
        <v>9.74</v>
      </c>
      <c r="F9" s="9">
        <f t="shared" si="3"/>
        <v>8.8333333333333304</v>
      </c>
      <c r="G9">
        <v>15</v>
      </c>
      <c r="H9" s="5"/>
      <c r="J9" s="11">
        <v>1.2</v>
      </c>
      <c r="K9" s="12">
        <f t="shared" si="5"/>
        <v>6.679077440309988</v>
      </c>
      <c r="X9" s="1">
        <f t="shared" si="0"/>
        <v>1.08</v>
      </c>
      <c r="Y9" s="1">
        <f t="shared" si="0"/>
        <v>3.23</v>
      </c>
      <c r="Z9" s="1">
        <f t="shared" si="1"/>
        <v>14.2</v>
      </c>
      <c r="AA9" s="4">
        <f t="shared" si="2"/>
        <v>15</v>
      </c>
    </row>
    <row r="10" spans="1:29" x14ac:dyDescent="0.25">
      <c r="A10">
        <v>62</v>
      </c>
      <c r="B10" t="s">
        <v>10</v>
      </c>
      <c r="C10">
        <v>15</v>
      </c>
      <c r="D10" s="7">
        <f t="shared" si="4"/>
        <v>1.08</v>
      </c>
      <c r="E10" s="2">
        <v>3.23</v>
      </c>
      <c r="F10" s="9">
        <f t="shared" si="3"/>
        <v>4.26</v>
      </c>
      <c r="G10">
        <v>14.2</v>
      </c>
      <c r="H10" s="5"/>
      <c r="J10" s="11">
        <v>1.4</v>
      </c>
      <c r="K10" s="12">
        <f t="shared" si="5"/>
        <v>7.6342389879765209</v>
      </c>
      <c r="X10" s="1">
        <f t="shared" si="0"/>
        <v>3.1999999999999993</v>
      </c>
      <c r="Y10" s="1">
        <f t="shared" si="0"/>
        <v>15.32</v>
      </c>
      <c r="Z10" s="1">
        <f t="shared" si="1"/>
        <v>20.5</v>
      </c>
      <c r="AA10" s="4">
        <f t="shared" si="2"/>
        <v>14.2</v>
      </c>
    </row>
    <row r="11" spans="1:29" x14ac:dyDescent="0.25">
      <c r="A11">
        <v>76</v>
      </c>
      <c r="B11" t="s">
        <v>10</v>
      </c>
      <c r="C11">
        <v>18.2</v>
      </c>
      <c r="D11" s="7">
        <f t="shared" si="4"/>
        <v>3.1999999999999993</v>
      </c>
      <c r="E11" s="2">
        <v>15.32</v>
      </c>
      <c r="F11" s="9">
        <f t="shared" si="3"/>
        <v>18.222222222222218</v>
      </c>
      <c r="G11">
        <v>20.5</v>
      </c>
      <c r="H11" s="5"/>
      <c r="J11" s="11">
        <v>1.6</v>
      </c>
      <c r="K11" s="12">
        <f t="shared" si="5"/>
        <v>8.5894005356430547</v>
      </c>
      <c r="X11" s="1">
        <f t="shared" si="0"/>
        <v>2.240000000000002</v>
      </c>
      <c r="Y11" s="1">
        <f t="shared" si="0"/>
        <v>10.55</v>
      </c>
      <c r="Z11" s="1">
        <f t="shared" si="1"/>
        <v>19.3</v>
      </c>
      <c r="AA11" s="4">
        <f t="shared" si="2"/>
        <v>20.5</v>
      </c>
    </row>
    <row r="12" spans="1:29" x14ac:dyDescent="0.25">
      <c r="A12">
        <v>107</v>
      </c>
      <c r="B12" t="s">
        <v>10</v>
      </c>
      <c r="C12">
        <v>20.440000000000001</v>
      </c>
      <c r="D12" s="7">
        <f t="shared" si="4"/>
        <v>2.240000000000002</v>
      </c>
      <c r="E12" s="2">
        <v>10.55</v>
      </c>
      <c r="F12" s="9">
        <f t="shared" si="3"/>
        <v>12.008888888888901</v>
      </c>
      <c r="G12">
        <v>19.3</v>
      </c>
      <c r="H12" s="5"/>
      <c r="J12" s="11">
        <v>1.8</v>
      </c>
      <c r="K12" s="12">
        <f t="shared" si="5"/>
        <v>9.5445620833095894</v>
      </c>
      <c r="X12" s="1">
        <f t="shared" si="0"/>
        <v>1.5999999999999979</v>
      </c>
      <c r="Y12" s="1">
        <f t="shared" si="0"/>
        <v>8.68</v>
      </c>
      <c r="Z12" s="1">
        <f t="shared" si="1"/>
        <v>22.2</v>
      </c>
      <c r="AA12" s="4">
        <f t="shared" si="2"/>
        <v>19.3</v>
      </c>
    </row>
    <row r="13" spans="1:29" x14ac:dyDescent="0.25">
      <c r="A13">
        <v>105</v>
      </c>
      <c r="B13" t="s">
        <v>10</v>
      </c>
      <c r="C13">
        <v>22.04</v>
      </c>
      <c r="D13" s="7">
        <f t="shared" si="4"/>
        <v>1.5999999999999979</v>
      </c>
      <c r="E13" s="2">
        <v>8.68</v>
      </c>
      <c r="F13" s="9">
        <f t="shared" si="3"/>
        <v>9.8666666666666529</v>
      </c>
      <c r="G13">
        <v>22.2</v>
      </c>
      <c r="H13" s="5"/>
      <c r="J13" s="11">
        <v>2</v>
      </c>
      <c r="K13" s="12">
        <f t="shared" si="5"/>
        <v>10.499723630976122</v>
      </c>
      <c r="X13" s="1">
        <f t="shared" si="0"/>
        <v>1.6799999999999997</v>
      </c>
      <c r="Y13" s="1">
        <f t="shared" si="0"/>
        <v>10.74</v>
      </c>
      <c r="Z13" s="1">
        <f t="shared" si="1"/>
        <v>22.9</v>
      </c>
      <c r="AA13" s="4">
        <f t="shared" si="2"/>
        <v>22.2</v>
      </c>
    </row>
    <row r="14" spans="1:29" x14ac:dyDescent="0.25">
      <c r="A14">
        <v>116</v>
      </c>
      <c r="B14" t="s">
        <v>10</v>
      </c>
      <c r="C14">
        <v>23.72</v>
      </c>
      <c r="D14" s="7">
        <f t="shared" si="4"/>
        <v>1.6799999999999997</v>
      </c>
      <c r="E14" s="2">
        <v>10.74</v>
      </c>
      <c r="F14" s="9">
        <f t="shared" si="3"/>
        <v>10.686666666666666</v>
      </c>
      <c r="G14">
        <v>22.9</v>
      </c>
      <c r="H14" s="5"/>
      <c r="X14" s="1">
        <f t="shared" si="0"/>
        <v>2</v>
      </c>
      <c r="Y14" s="1">
        <f t="shared" si="0"/>
        <v>11.23</v>
      </c>
      <c r="Z14" s="1">
        <f t="shared" si="1"/>
        <v>20.2</v>
      </c>
      <c r="AA14" s="4">
        <f t="shared" si="2"/>
        <v>22.9</v>
      </c>
    </row>
    <row r="15" spans="1:29" x14ac:dyDescent="0.25">
      <c r="A15">
        <v>123</v>
      </c>
      <c r="B15" t="s">
        <v>10</v>
      </c>
      <c r="C15">
        <v>25.72</v>
      </c>
      <c r="D15" s="7">
        <f>C15-C14</f>
        <v>2</v>
      </c>
      <c r="E15" s="2">
        <v>11.23</v>
      </c>
      <c r="F15" s="9">
        <f t="shared" si="3"/>
        <v>11.222222222222221</v>
      </c>
      <c r="G15">
        <v>20.2</v>
      </c>
      <c r="H15" s="5"/>
      <c r="J15" s="109" t="s">
        <v>66</v>
      </c>
      <c r="K15" s="109"/>
      <c r="X15" s="1">
        <f t="shared" si="0"/>
        <v>1.4000000000000021</v>
      </c>
      <c r="Y15" s="1">
        <f t="shared" si="0"/>
        <v>10.47</v>
      </c>
      <c r="Z15" s="1">
        <f t="shared" si="1"/>
        <v>20.8</v>
      </c>
      <c r="AA15" s="4">
        <f t="shared" si="2"/>
        <v>20.2</v>
      </c>
    </row>
    <row r="16" spans="1:29" x14ac:dyDescent="0.25">
      <c r="A16">
        <v>169</v>
      </c>
      <c r="B16" t="s">
        <v>10</v>
      </c>
      <c r="C16">
        <v>27.12</v>
      </c>
      <c r="D16" s="7">
        <f t="shared" si="4"/>
        <v>1.4000000000000021</v>
      </c>
      <c r="E16" s="2">
        <v>10.47</v>
      </c>
      <c r="F16" s="9">
        <f t="shared" si="3"/>
        <v>8.088888888888901</v>
      </c>
      <c r="G16">
        <v>20.8</v>
      </c>
      <c r="H16" s="5"/>
      <c r="J16" s="63" t="s">
        <v>10</v>
      </c>
      <c r="K16" s="64">
        <f>AVERAGEIFS($G$3:$G$30, $B$3:$B$30, J16, $G$3:$G$30, "&lt;&gt;0")</f>
        <v>20.133333333333333</v>
      </c>
      <c r="X16" s="1">
        <f t="shared" si="0"/>
        <v>0</v>
      </c>
      <c r="Y16" s="1">
        <f t="shared" si="0"/>
        <v>0</v>
      </c>
      <c r="Z16" s="1">
        <f t="shared" si="1"/>
        <v>0</v>
      </c>
      <c r="AA16" s="4">
        <f t="shared" si="2"/>
        <v>20.8</v>
      </c>
    </row>
    <row r="17" spans="4:33" x14ac:dyDescent="0.25">
      <c r="D17" s="7"/>
      <c r="E17" s="2"/>
      <c r="F17" s="9"/>
      <c r="H17" s="5"/>
      <c r="J17" s="63" t="s">
        <v>11</v>
      </c>
      <c r="K17" s="64" t="e">
        <f t="shared" ref="K17:K18" si="6">AVERAGEIFS($G$3:$G$30, $B$3:$B$30, J17, $G$3:$G$30, "&lt;&gt;0")</f>
        <v>#DIV/0!</v>
      </c>
      <c r="X17" s="1">
        <f t="shared" si="0"/>
        <v>0</v>
      </c>
      <c r="Y17" s="1">
        <f t="shared" si="0"/>
        <v>0</v>
      </c>
      <c r="Z17" s="1">
        <f t="shared" si="1"/>
        <v>0</v>
      </c>
      <c r="AA17" s="4">
        <f t="shared" si="2"/>
        <v>0</v>
      </c>
    </row>
    <row r="18" spans="4:33" x14ac:dyDescent="0.25">
      <c r="D18" s="7"/>
      <c r="E18" s="2"/>
      <c r="F18" s="9"/>
      <c r="H18" s="5"/>
      <c r="J18" s="63" t="s">
        <v>12</v>
      </c>
      <c r="K18" s="64" t="e">
        <f t="shared" si="6"/>
        <v>#DIV/0!</v>
      </c>
      <c r="X18" s="1">
        <f t="shared" si="0"/>
        <v>0</v>
      </c>
      <c r="Y18" s="1">
        <f t="shared" si="0"/>
        <v>0</v>
      </c>
      <c r="Z18" s="1">
        <f t="shared" si="1"/>
        <v>0</v>
      </c>
      <c r="AA18" s="4">
        <f t="shared" si="2"/>
        <v>0</v>
      </c>
    </row>
    <row r="19" spans="4:33" x14ac:dyDescent="0.25">
      <c r="D19" s="7"/>
      <c r="E19" s="2"/>
      <c r="F19" s="9"/>
      <c r="H19" s="5"/>
      <c r="J19" s="6"/>
      <c r="K19" s="17"/>
      <c r="X19" s="1">
        <f t="shared" si="0"/>
        <v>0</v>
      </c>
      <c r="Y19" s="1">
        <f t="shared" si="0"/>
        <v>0</v>
      </c>
      <c r="Z19" s="1">
        <f t="shared" si="1"/>
        <v>0</v>
      </c>
      <c r="AA19" s="4">
        <f t="shared" si="2"/>
        <v>0</v>
      </c>
    </row>
    <row r="20" spans="4:33" x14ac:dyDescent="0.25">
      <c r="D20" s="7"/>
      <c r="E20" s="2"/>
      <c r="F20" s="9"/>
      <c r="H20" s="5"/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0</v>
      </c>
    </row>
    <row r="21" spans="4:33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4:33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4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4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4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4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4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4:33" x14ac:dyDescent="0.25">
      <c r="S28" s="3"/>
    </row>
    <row r="30" spans="4:33" x14ac:dyDescent="0.25">
      <c r="X30" s="6"/>
      <c r="Y30" s="18"/>
    </row>
    <row r="31" spans="4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4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0.63474178403755865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3</v>
      </c>
      <c r="B35" t="s">
        <v>10</v>
      </c>
      <c r="C35">
        <v>0.72</v>
      </c>
      <c r="D35" s="7">
        <v>0</v>
      </c>
      <c r="E35" s="1">
        <v>0</v>
      </c>
      <c r="F35" s="7">
        <v>0</v>
      </c>
      <c r="G35">
        <v>18.8</v>
      </c>
      <c r="J35" s="11">
        <v>0.2</v>
      </c>
      <c r="K35" s="12">
        <f t="shared" ref="K35:K44" si="8">SLOPE($E$35:$E$58, $D$35:$D$58) * J35 + INTERCEPT($E$35:$E$58, $D$35:$D$58)</f>
        <v>7.0408738266314712</v>
      </c>
      <c r="X35" s="6"/>
      <c r="Y35" s="22">
        <f t="shared" si="7"/>
        <v>0.66569767441860461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>
        <v>5</v>
      </c>
      <c r="B36" t="s">
        <v>10</v>
      </c>
      <c r="C36">
        <v>3.04</v>
      </c>
      <c r="D36" s="7">
        <f>C36-C35</f>
        <v>2.3200000000000003</v>
      </c>
      <c r="E36" s="2">
        <v>13.53</v>
      </c>
      <c r="F36" s="9">
        <f t="shared" ref="F36:F50" si="14">D36*G36/3.6</f>
        <v>12.695555555555556</v>
      </c>
      <c r="G36">
        <v>19.7</v>
      </c>
      <c r="H36" s="5"/>
      <c r="J36" s="11">
        <v>0.4</v>
      </c>
      <c r="K36" s="12">
        <f t="shared" si="8"/>
        <v>7.2692705287704644</v>
      </c>
      <c r="X36" s="6"/>
      <c r="Y36" s="22">
        <f t="shared" si="7"/>
        <v>0.28674698795180725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>
        <v>12</v>
      </c>
      <c r="B37" t="s">
        <v>11</v>
      </c>
      <c r="C37">
        <v>4.2</v>
      </c>
      <c r="D37" s="7">
        <f t="shared" ref="D37:D50" si="15">C37-C36</f>
        <v>1.1600000000000001</v>
      </c>
      <c r="E37" s="2">
        <v>9.92</v>
      </c>
      <c r="F37" s="9">
        <f t="shared" si="14"/>
        <v>6.5733333333333333</v>
      </c>
      <c r="G37">
        <v>20.399999999999999</v>
      </c>
      <c r="H37" s="5"/>
      <c r="J37" s="11">
        <v>0.6</v>
      </c>
      <c r="K37" s="12">
        <f t="shared" si="8"/>
        <v>7.4976672309094567</v>
      </c>
      <c r="Y37" s="22">
        <f t="shared" si="7"/>
        <v>0.97374301675977659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>
        <v>11</v>
      </c>
      <c r="B38" t="s">
        <v>10</v>
      </c>
      <c r="C38">
        <v>5.2</v>
      </c>
      <c r="D38" s="7">
        <f t="shared" si="15"/>
        <v>1</v>
      </c>
      <c r="E38" s="2">
        <v>2.99</v>
      </c>
      <c r="F38" s="9">
        <f t="shared" si="14"/>
        <v>4.9444444444444446</v>
      </c>
      <c r="G38">
        <v>17.8</v>
      </c>
      <c r="H38" s="5"/>
      <c r="J38" s="11">
        <v>0.8</v>
      </c>
      <c r="K38" s="12">
        <f t="shared" si="8"/>
        <v>7.7260639330484508</v>
      </c>
      <c r="Y38" s="22">
        <f t="shared" si="7"/>
        <v>0.53514851485148518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A39">
        <v>38</v>
      </c>
      <c r="B39" t="s">
        <v>10</v>
      </c>
      <c r="C39">
        <v>7.2</v>
      </c>
      <c r="D39" s="7">
        <f t="shared" si="15"/>
        <v>2</v>
      </c>
      <c r="E39" s="2">
        <v>11.8</v>
      </c>
      <c r="F39" s="9">
        <f t="shared" si="14"/>
        <v>10.722222222222223</v>
      </c>
      <c r="G39">
        <v>19.3</v>
      </c>
      <c r="H39" s="5"/>
      <c r="J39" s="11">
        <v>1</v>
      </c>
      <c r="K39" s="12">
        <f t="shared" si="8"/>
        <v>7.9544606351874432</v>
      </c>
      <c r="Y39" s="22">
        <f t="shared" si="7"/>
        <v>0.64933333333333332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43</v>
      </c>
      <c r="B40" t="s">
        <v>10</v>
      </c>
      <c r="C40">
        <v>9</v>
      </c>
      <c r="D40" s="7">
        <f t="shared" si="15"/>
        <v>1.7999999999999998</v>
      </c>
      <c r="E40" s="2">
        <v>10.47</v>
      </c>
      <c r="F40" s="9">
        <f t="shared" si="14"/>
        <v>8.7999999999999989</v>
      </c>
      <c r="G40">
        <v>17.600000000000001</v>
      </c>
      <c r="H40" s="5"/>
      <c r="J40" s="11">
        <v>1.2</v>
      </c>
      <c r="K40" s="12">
        <f t="shared" si="8"/>
        <v>8.1828573373264355</v>
      </c>
      <c r="Y40" s="22">
        <f t="shared" si="7"/>
        <v>0.22746478873239437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>
        <v>60</v>
      </c>
      <c r="B41" t="s">
        <v>10</v>
      </c>
      <c r="C41">
        <v>10.8</v>
      </c>
      <c r="D41" s="7">
        <f t="shared" si="15"/>
        <v>1.8000000000000007</v>
      </c>
      <c r="E41" s="2">
        <v>9.3000000000000007</v>
      </c>
      <c r="F41" s="9">
        <f t="shared" si="14"/>
        <v>8.8000000000000043</v>
      </c>
      <c r="G41">
        <v>17.600000000000001</v>
      </c>
      <c r="H41" s="5"/>
      <c r="J41" s="11">
        <v>1.4</v>
      </c>
      <c r="K41" s="12">
        <f t="shared" si="8"/>
        <v>8.4112540394654296</v>
      </c>
      <c r="Y41" s="22">
        <f t="shared" si="7"/>
        <v>0.7473170731707317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>
        <v>61</v>
      </c>
      <c r="B42" t="s">
        <v>10</v>
      </c>
      <c r="C42">
        <v>12.84</v>
      </c>
      <c r="D42" s="7">
        <f t="shared" si="15"/>
        <v>2.0399999999999991</v>
      </c>
      <c r="E42" s="2">
        <v>11.75</v>
      </c>
      <c r="F42" s="9">
        <f t="shared" si="14"/>
        <v>8.5566666666666631</v>
      </c>
      <c r="G42">
        <v>15.1</v>
      </c>
      <c r="H42" s="5"/>
      <c r="J42" s="11">
        <v>1.6</v>
      </c>
      <c r="K42" s="12">
        <f t="shared" si="8"/>
        <v>8.6396507416044237</v>
      </c>
      <c r="Y42" s="22">
        <f t="shared" si="7"/>
        <v>0.54663212435233166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>
        <v>71</v>
      </c>
      <c r="B43" t="s">
        <v>10</v>
      </c>
      <c r="C43">
        <v>16.52</v>
      </c>
      <c r="D43" s="7">
        <f t="shared" si="15"/>
        <v>3.6799999999999997</v>
      </c>
      <c r="E43" s="2">
        <v>15.47</v>
      </c>
      <c r="F43" s="9">
        <f t="shared" si="14"/>
        <v>23.715555555555554</v>
      </c>
      <c r="G43">
        <v>23.2</v>
      </c>
      <c r="H43" s="5"/>
      <c r="J43" s="11">
        <v>1.8</v>
      </c>
      <c r="K43" s="12">
        <f t="shared" si="8"/>
        <v>8.868047443743416</v>
      </c>
      <c r="Y43" s="22">
        <f t="shared" si="7"/>
        <v>0.39099099099099099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A44">
        <v>89</v>
      </c>
      <c r="B44" t="s">
        <v>12</v>
      </c>
      <c r="C44">
        <v>18.2</v>
      </c>
      <c r="D44" s="7">
        <f t="shared" si="15"/>
        <v>1.6799999999999997</v>
      </c>
      <c r="E44" s="2">
        <v>8.01</v>
      </c>
      <c r="F44" s="9">
        <f t="shared" si="14"/>
        <v>7.839999999999999</v>
      </c>
      <c r="G44">
        <v>16.8</v>
      </c>
      <c r="H44" s="5"/>
      <c r="J44" s="11">
        <v>2</v>
      </c>
      <c r="K44" s="12">
        <f t="shared" si="8"/>
        <v>9.0964441458824083</v>
      </c>
      <c r="Y44" s="22">
        <f t="shared" si="7"/>
        <v>0.46899563318777299</v>
      </c>
      <c r="Z44" s="1">
        <v>1.6799999999999997</v>
      </c>
    </row>
    <row r="45" spans="1:33" x14ac:dyDescent="0.25">
      <c r="A45">
        <v>113</v>
      </c>
      <c r="B45" t="s">
        <v>10</v>
      </c>
      <c r="C45">
        <v>22.12</v>
      </c>
      <c r="D45" s="7">
        <f t="shared" si="15"/>
        <v>3.9200000000000017</v>
      </c>
      <c r="E45" s="2">
        <v>13.97</v>
      </c>
      <c r="F45" s="9">
        <f t="shared" si="14"/>
        <v>20.362222222222229</v>
      </c>
      <c r="G45">
        <v>18.7</v>
      </c>
      <c r="H45" s="5"/>
      <c r="Y45" s="22">
        <f t="shared" si="7"/>
        <v>0.55594059405940599</v>
      </c>
      <c r="Z45" s="1">
        <v>1.6799999999999997</v>
      </c>
    </row>
    <row r="46" spans="1:33" x14ac:dyDescent="0.25">
      <c r="D46" s="7"/>
      <c r="E46" s="2"/>
      <c r="F46" s="9"/>
      <c r="H46" s="5"/>
      <c r="J46" s="109" t="s">
        <v>66</v>
      </c>
      <c r="K46" s="109"/>
      <c r="Y46" s="22">
        <f t="shared" si="7"/>
        <v>0.5033653846153846</v>
      </c>
      <c r="Z46" s="1">
        <v>1</v>
      </c>
    </row>
    <row r="47" spans="1:33" x14ac:dyDescent="0.25">
      <c r="A47">
        <v>130</v>
      </c>
      <c r="B47" t="s">
        <v>10</v>
      </c>
      <c r="C47">
        <v>24.52</v>
      </c>
      <c r="D47" s="7"/>
      <c r="E47" s="2">
        <v>4.9000000000000004</v>
      </c>
      <c r="F47" s="9">
        <f t="shared" si="14"/>
        <v>0</v>
      </c>
      <c r="G47">
        <v>12.6</v>
      </c>
      <c r="H47" s="5"/>
      <c r="J47" s="63" t="s">
        <v>10</v>
      </c>
      <c r="K47" s="64">
        <f>AVERAGEIFS($G$35:$G$80, $B$35:$B$80, J47, $G$35:$G$80, "&lt;&gt;0")</f>
        <v>17.209090909090904</v>
      </c>
      <c r="Y47" s="22" t="e">
        <f t="shared" si="7"/>
        <v>#DIV/0!</v>
      </c>
      <c r="Z47" s="1">
        <v>3.4400000000000013</v>
      </c>
    </row>
    <row r="48" spans="1:33" x14ac:dyDescent="0.25">
      <c r="A48">
        <v>145</v>
      </c>
      <c r="B48" t="s">
        <v>12</v>
      </c>
      <c r="C48">
        <v>26.4</v>
      </c>
      <c r="D48" s="7">
        <f t="shared" si="15"/>
        <v>1.879999999999999</v>
      </c>
      <c r="E48" s="2">
        <v>9.16</v>
      </c>
      <c r="F48" s="9">
        <f t="shared" si="14"/>
        <v>9.6088888888888828</v>
      </c>
      <c r="G48">
        <v>18.399999999999999</v>
      </c>
      <c r="H48" s="5"/>
      <c r="J48" s="63" t="s">
        <v>11</v>
      </c>
      <c r="K48" s="64">
        <f t="shared" ref="K48:K49" si="16">AVERAGEIFS($G$35:$G$80, $B$35:$B$80, J48, $G$35:$G$80, "&lt;&gt;0")</f>
        <v>20.399999999999999</v>
      </c>
      <c r="Y48" s="22" t="e">
        <f t="shared" si="7"/>
        <v>#DIV/0!</v>
      </c>
      <c r="Z48" s="1">
        <v>1.1999999999999993</v>
      </c>
    </row>
    <row r="49" spans="1:26" x14ac:dyDescent="0.25">
      <c r="A49">
        <v>156</v>
      </c>
      <c r="B49" t="s">
        <v>12</v>
      </c>
      <c r="C49">
        <v>27.52</v>
      </c>
      <c r="D49" s="7">
        <f t="shared" si="15"/>
        <v>1.120000000000001</v>
      </c>
      <c r="E49" s="2">
        <v>6.39</v>
      </c>
      <c r="F49" s="9">
        <f t="shared" si="14"/>
        <v>6.2222222222222276</v>
      </c>
      <c r="G49">
        <v>20</v>
      </c>
      <c r="H49" s="5"/>
      <c r="J49" s="63" t="s">
        <v>12</v>
      </c>
      <c r="K49" s="64">
        <f t="shared" si="16"/>
        <v>18.400000000000002</v>
      </c>
      <c r="Y49" s="22" t="e">
        <f t="shared" si="7"/>
        <v>#DIV/0!</v>
      </c>
      <c r="Z49" s="1">
        <v>2.6799999999999997</v>
      </c>
    </row>
    <row r="50" spans="1:26" x14ac:dyDescent="0.25">
      <c r="A50">
        <v>157</v>
      </c>
      <c r="B50" t="s">
        <v>10</v>
      </c>
      <c r="C50">
        <v>34.64</v>
      </c>
      <c r="D50" s="7">
        <f t="shared" si="15"/>
        <v>7.120000000000001</v>
      </c>
      <c r="E50" s="2">
        <v>8.61</v>
      </c>
      <c r="F50" s="9">
        <f t="shared" si="14"/>
        <v>17.602222222222224</v>
      </c>
      <c r="G50">
        <v>8.9</v>
      </c>
      <c r="H50" s="5"/>
      <c r="Y50" s="22" t="e">
        <f t="shared" si="7"/>
        <v>#DIV/0!</v>
      </c>
      <c r="Z50" s="1">
        <v>1.5999999999999979</v>
      </c>
    </row>
    <row r="51" spans="1:26" x14ac:dyDescent="0.25">
      <c r="D51" s="7"/>
      <c r="E51" s="2"/>
      <c r="F51" s="9"/>
      <c r="H51" s="5"/>
      <c r="Y51" s="22" t="e">
        <f t="shared" si="7"/>
        <v>#DIV/0!</v>
      </c>
      <c r="Z51" s="1">
        <v>1.6000000000000014</v>
      </c>
    </row>
    <row r="52" spans="1:26" x14ac:dyDescent="0.25">
      <c r="D52" s="7"/>
      <c r="E52" s="2"/>
      <c r="F52" s="9"/>
      <c r="H52" s="5"/>
      <c r="Y52" s="22" t="e">
        <f t="shared" si="7"/>
        <v>#DIV/0!</v>
      </c>
      <c r="Z52" s="1">
        <v>1.2000000000000028</v>
      </c>
    </row>
    <row r="53" spans="1:26" x14ac:dyDescent="0.25">
      <c r="D53" s="7"/>
      <c r="E53" s="2"/>
      <c r="F53" s="9"/>
      <c r="H53" s="5"/>
      <c r="Y53" s="22" t="e">
        <f t="shared" si="7"/>
        <v>#DIV/0!</v>
      </c>
      <c r="Z53" s="1">
        <v>0.79999999999999716</v>
      </c>
    </row>
    <row r="54" spans="1:26" x14ac:dyDescent="0.25">
      <c r="D54" s="7"/>
      <c r="E54" s="2"/>
      <c r="F54" s="9"/>
      <c r="H54" s="5"/>
      <c r="Y54" s="22" t="e">
        <f t="shared" si="7"/>
        <v>#DIV/0!</v>
      </c>
      <c r="Z54" s="1">
        <v>1.4799999999999969</v>
      </c>
    </row>
    <row r="55" spans="1:26" x14ac:dyDescent="0.25">
      <c r="D55" s="7"/>
      <c r="E55" s="2"/>
      <c r="F55" s="9"/>
      <c r="H55" s="5"/>
      <c r="Y55" s="22" t="e">
        <f t="shared" si="7"/>
        <v>#DIV/0!</v>
      </c>
      <c r="Z55" s="1">
        <v>0.80000000000000426</v>
      </c>
    </row>
    <row r="56" spans="1:26" x14ac:dyDescent="0.25">
      <c r="D56" s="7"/>
      <c r="F56" s="9"/>
      <c r="H56" s="5"/>
      <c r="Y56" s="22" t="e">
        <f t="shared" si="7"/>
        <v>#DIV/0!</v>
      </c>
      <c r="Z56" s="1">
        <v>6</v>
      </c>
    </row>
    <row r="57" spans="1:26" x14ac:dyDescent="0.25">
      <c r="E57" s="2"/>
      <c r="F57" s="9"/>
      <c r="H57" s="5"/>
      <c r="Y57" s="22"/>
    </row>
    <row r="58" spans="1:26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{66691BA3-6C04-463E-893E-695380988056}</x14:id>
        </ext>
      </extLst>
    </cfRule>
  </conditionalFormatting>
  <conditionalFormatting sqref="G57:G58 F35 G35:G5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{FDD32CF8-AB10-484E-9F28-06717A523BED}</x14:id>
        </ext>
      </extLst>
    </cfRule>
  </conditionalFormatting>
  <conditionalFormatting sqref="K3:K13">
    <cfRule type="cellIs" dxfId="35" priority="11" operator="between">
      <formula>4</formula>
      <formula>5</formula>
    </cfRule>
    <cfRule type="cellIs" dxfId="34" priority="12" operator="lessThan">
      <formula>3.99</formula>
    </cfRule>
    <cfRule type="cellIs" dxfId="33" priority="13" operator="greaterThan">
      <formula>5</formula>
    </cfRule>
  </conditionalFormatting>
  <conditionalFormatting sqref="K34:K44">
    <cfRule type="cellIs" dxfId="32" priority="7" operator="between">
      <formula>4</formula>
      <formula>5</formula>
    </cfRule>
    <cfRule type="cellIs" dxfId="31" priority="8" operator="lessThan">
      <formula>3.99</formula>
    </cfRule>
    <cfRule type="cellIs" dxfId="30" priority="9" operator="greaterThan">
      <formula>5</formula>
    </cfRule>
  </conditionalFormatting>
  <conditionalFormatting sqref="AC33:AG43">
    <cfRule type="cellIs" dxfId="29" priority="1" operator="between">
      <formula>4</formula>
      <formula>5</formula>
    </cfRule>
    <cfRule type="cellIs" dxfId="28" priority="2" operator="lessThan">
      <formula>3.99</formula>
    </cfRule>
    <cfRule type="cellIs" dxfId="27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691BA3-6C04-463E-893E-6953809880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FDD32CF8-AB10-484E-9F28-06717A523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8057-B6D6-4623-8118-9E00223EF3E3}">
  <sheetPr codeName="Sheet12"/>
  <dimension ref="A1:AG83"/>
  <sheetViews>
    <sheetView workbookViewId="0">
      <selection activeCell="I59" sqref="I59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2</v>
      </c>
      <c r="B3" t="s">
        <v>10</v>
      </c>
      <c r="C3">
        <v>1.28</v>
      </c>
      <c r="D3" s="7">
        <v>0</v>
      </c>
      <c r="E3" s="1">
        <v>0</v>
      </c>
      <c r="F3" s="7">
        <v>0</v>
      </c>
      <c r="G3">
        <v>23.4</v>
      </c>
      <c r="J3" s="11">
        <v>0</v>
      </c>
      <c r="K3" s="11">
        <v>0</v>
      </c>
      <c r="X3" s="1">
        <f t="shared" ref="X3:Y27" si="0">D4</f>
        <v>1.72</v>
      </c>
      <c r="Y3" s="1">
        <f t="shared" si="0"/>
        <v>11.84</v>
      </c>
      <c r="Z3" s="1">
        <f t="shared" ref="Z3:Z27" si="1">G4</f>
        <v>24.9</v>
      </c>
      <c r="AA3" s="4">
        <f t="shared" ref="AA3:AA27" si="2">G3</f>
        <v>23.4</v>
      </c>
      <c r="AB3" s="1" t="s">
        <v>10</v>
      </c>
      <c r="AC3" s="1" t="s">
        <v>10</v>
      </c>
    </row>
    <row r="4" spans="1:29" x14ac:dyDescent="0.25">
      <c r="A4">
        <v>3</v>
      </c>
      <c r="B4" t="s">
        <v>10</v>
      </c>
      <c r="C4">
        <v>3</v>
      </c>
      <c r="D4" s="7">
        <f>C4-C3</f>
        <v>1.72</v>
      </c>
      <c r="E4" s="2">
        <v>11.84</v>
      </c>
      <c r="F4" s="9">
        <f t="shared" ref="F4:F17" si="3">D4*G4/3.6</f>
        <v>11.896666666666665</v>
      </c>
      <c r="G4">
        <v>24.9</v>
      </c>
      <c r="H4" s="5"/>
      <c r="J4" s="11">
        <v>0.2</v>
      </c>
      <c r="K4" s="12">
        <f>SLOPE($E$3:$E$17, $D$3:$D$17) * J4 + INTERCEPT($E$3:$E$17, $D$3:$D$17)</f>
        <v>4.627407230152758</v>
      </c>
      <c r="X4" s="1">
        <f t="shared" si="0"/>
        <v>1.7199999999999998</v>
      </c>
      <c r="Y4" s="1">
        <f t="shared" si="0"/>
        <v>10.9</v>
      </c>
      <c r="Z4" s="1">
        <f t="shared" si="1"/>
        <v>18.5</v>
      </c>
      <c r="AA4" s="4">
        <f t="shared" si="2"/>
        <v>24.9</v>
      </c>
      <c r="AB4" s="1" t="s">
        <v>10</v>
      </c>
      <c r="AC4" s="1" t="s">
        <v>10</v>
      </c>
    </row>
    <row r="5" spans="1:29" x14ac:dyDescent="0.25">
      <c r="A5">
        <v>14</v>
      </c>
      <c r="B5" t="s">
        <v>10</v>
      </c>
      <c r="C5">
        <v>4.72</v>
      </c>
      <c r="D5" s="7">
        <f t="shared" ref="D5:D17" si="4">C5-C4</f>
        <v>1.7199999999999998</v>
      </c>
      <c r="E5" s="2">
        <v>10.9</v>
      </c>
      <c r="F5" s="9">
        <f t="shared" si="3"/>
        <v>8.8388888888888886</v>
      </c>
      <c r="G5">
        <v>18.5</v>
      </c>
      <c r="H5" s="5"/>
      <c r="J5" s="11">
        <v>0.4</v>
      </c>
      <c r="K5" s="12">
        <f t="shared" ref="K5:K13" si="5">SLOPE($E$3:$E$17, $D$3:$D$17) * J5 + INTERCEPT($E$3:$E$17, $D$3:$D$17)</f>
        <v>5.1491359754267059</v>
      </c>
      <c r="X5" s="1">
        <f t="shared" si="0"/>
        <v>1.96</v>
      </c>
      <c r="Y5" s="1">
        <f t="shared" si="0"/>
        <v>7.47</v>
      </c>
      <c r="Z5" s="1">
        <f t="shared" si="1"/>
        <v>15</v>
      </c>
      <c r="AA5" s="4">
        <f t="shared" si="2"/>
        <v>18.5</v>
      </c>
      <c r="AB5" s="1" t="s">
        <v>10</v>
      </c>
      <c r="AC5" s="1" t="s">
        <v>10</v>
      </c>
    </row>
    <row r="6" spans="1:29" x14ac:dyDescent="0.25">
      <c r="A6">
        <v>10</v>
      </c>
      <c r="B6" t="s">
        <v>10</v>
      </c>
      <c r="C6">
        <v>6.68</v>
      </c>
      <c r="D6" s="7">
        <f t="shared" si="4"/>
        <v>1.96</v>
      </c>
      <c r="E6" s="2">
        <v>7.47</v>
      </c>
      <c r="F6" s="9">
        <f t="shared" si="3"/>
        <v>8.1666666666666661</v>
      </c>
      <c r="G6">
        <v>15</v>
      </c>
      <c r="H6" s="5"/>
      <c r="J6" s="11">
        <v>0.6</v>
      </c>
      <c r="K6" s="12">
        <f t="shared" si="5"/>
        <v>5.6708647207006528</v>
      </c>
      <c r="X6" s="1">
        <f t="shared" si="0"/>
        <v>1.2400000000000002</v>
      </c>
      <c r="Y6" s="1">
        <f t="shared" si="0"/>
        <v>8.75</v>
      </c>
      <c r="Z6" s="1">
        <f t="shared" si="1"/>
        <v>19.399999999999999</v>
      </c>
      <c r="AA6" s="4">
        <f t="shared" si="2"/>
        <v>15</v>
      </c>
    </row>
    <row r="7" spans="1:29" x14ac:dyDescent="0.25">
      <c r="A7">
        <v>11</v>
      </c>
      <c r="B7" t="s">
        <v>10</v>
      </c>
      <c r="C7">
        <v>7.92</v>
      </c>
      <c r="D7" s="7">
        <f t="shared" si="4"/>
        <v>1.2400000000000002</v>
      </c>
      <c r="E7" s="2">
        <v>8.75</v>
      </c>
      <c r="F7" s="9">
        <f t="shared" si="3"/>
        <v>6.6822222222222223</v>
      </c>
      <c r="G7">
        <v>19.399999999999999</v>
      </c>
      <c r="H7" s="5"/>
      <c r="J7" s="11">
        <v>0.8</v>
      </c>
      <c r="K7" s="12">
        <f t="shared" si="5"/>
        <v>6.1925934659746016</v>
      </c>
      <c r="X7" s="1">
        <f t="shared" si="0"/>
        <v>1.1999999999999993</v>
      </c>
      <c r="Y7" s="1">
        <f t="shared" si="0"/>
        <v>4.05</v>
      </c>
      <c r="Z7" s="1">
        <f t="shared" si="1"/>
        <v>18</v>
      </c>
      <c r="AA7" s="4">
        <f t="shared" si="2"/>
        <v>19.399999999999999</v>
      </c>
    </row>
    <row r="8" spans="1:29" x14ac:dyDescent="0.25">
      <c r="A8">
        <v>18</v>
      </c>
      <c r="B8" t="s">
        <v>10</v>
      </c>
      <c r="C8">
        <v>9.1199999999999992</v>
      </c>
      <c r="D8" s="7">
        <f>C8-C7</f>
        <v>1.1999999999999993</v>
      </c>
      <c r="E8" s="2">
        <v>4.05</v>
      </c>
      <c r="F8" s="9">
        <f t="shared" si="3"/>
        <v>5.9999999999999964</v>
      </c>
      <c r="G8">
        <v>18</v>
      </c>
      <c r="H8" s="5"/>
      <c r="J8" s="11">
        <v>1</v>
      </c>
      <c r="K8" s="12">
        <f t="shared" si="5"/>
        <v>6.7143222112485486</v>
      </c>
      <c r="X8" s="1">
        <f t="shared" si="0"/>
        <v>4.5600000000000005</v>
      </c>
      <c r="Y8" s="1">
        <f t="shared" si="0"/>
        <v>16.53</v>
      </c>
      <c r="Z8" s="1">
        <f t="shared" si="1"/>
        <v>25.4</v>
      </c>
      <c r="AA8" s="4">
        <f t="shared" si="2"/>
        <v>18</v>
      </c>
    </row>
    <row r="9" spans="1:29" x14ac:dyDescent="0.25">
      <c r="A9">
        <v>45</v>
      </c>
      <c r="B9" t="s">
        <v>10</v>
      </c>
      <c r="C9">
        <v>13.68</v>
      </c>
      <c r="D9" s="7">
        <f t="shared" si="4"/>
        <v>4.5600000000000005</v>
      </c>
      <c r="E9" s="2">
        <v>16.53</v>
      </c>
      <c r="F9" s="9">
        <f t="shared" si="3"/>
        <v>32.173333333333339</v>
      </c>
      <c r="G9">
        <v>25.4</v>
      </c>
      <c r="H9" s="5"/>
      <c r="J9" s="11">
        <v>1.2</v>
      </c>
      <c r="K9" s="12">
        <f t="shared" si="5"/>
        <v>7.2360509565224955</v>
      </c>
      <c r="X9" s="1">
        <f t="shared" si="0"/>
        <v>0.80000000000000071</v>
      </c>
      <c r="Y9" s="1">
        <f t="shared" si="0"/>
        <v>7.41</v>
      </c>
      <c r="Z9" s="1">
        <f t="shared" si="1"/>
        <v>20.100000000000001</v>
      </c>
      <c r="AA9" s="4">
        <f t="shared" si="2"/>
        <v>25.4</v>
      </c>
    </row>
    <row r="10" spans="1:29" x14ac:dyDescent="0.25">
      <c r="A10">
        <v>19</v>
      </c>
      <c r="B10" t="s">
        <v>10</v>
      </c>
      <c r="C10">
        <v>14.48</v>
      </c>
      <c r="D10" s="7">
        <f t="shared" si="4"/>
        <v>0.80000000000000071</v>
      </c>
      <c r="E10" s="2">
        <v>7.41</v>
      </c>
      <c r="F10" s="9">
        <f t="shared" si="3"/>
        <v>4.4666666666666712</v>
      </c>
      <c r="G10">
        <v>20.100000000000001</v>
      </c>
      <c r="H10" s="5"/>
      <c r="J10" s="11">
        <v>1.4</v>
      </c>
      <c r="K10" s="12">
        <f t="shared" si="5"/>
        <v>7.7577797017964443</v>
      </c>
      <c r="X10" s="1">
        <f t="shared" si="0"/>
        <v>0.24000000000000021</v>
      </c>
      <c r="Y10" s="1">
        <f t="shared" si="0"/>
        <v>1.05</v>
      </c>
      <c r="Z10" s="1">
        <f t="shared" si="1"/>
        <v>27.5</v>
      </c>
      <c r="AA10" s="4">
        <f t="shared" si="2"/>
        <v>20.100000000000001</v>
      </c>
    </row>
    <row r="11" spans="1:29" x14ac:dyDescent="0.25">
      <c r="A11">
        <v>79</v>
      </c>
      <c r="B11" t="s">
        <v>10</v>
      </c>
      <c r="C11">
        <v>14.72</v>
      </c>
      <c r="D11" s="7">
        <f t="shared" si="4"/>
        <v>0.24000000000000021</v>
      </c>
      <c r="E11" s="2">
        <v>1.05</v>
      </c>
      <c r="F11" s="9">
        <f t="shared" si="3"/>
        <v>1.8333333333333348</v>
      </c>
      <c r="G11">
        <v>27.5</v>
      </c>
      <c r="H11" s="5"/>
      <c r="J11" s="11">
        <v>1.6</v>
      </c>
      <c r="K11" s="12">
        <f t="shared" si="5"/>
        <v>8.2795084470703912</v>
      </c>
      <c r="X11" s="1">
        <f t="shared" si="0"/>
        <v>1.1999999999999993</v>
      </c>
      <c r="Y11" s="1">
        <f t="shared" si="0"/>
        <v>9.8800000000000008</v>
      </c>
      <c r="Z11" s="1">
        <f t="shared" si="1"/>
        <v>21.4</v>
      </c>
      <c r="AA11" s="4">
        <f t="shared" si="2"/>
        <v>27.5</v>
      </c>
    </row>
    <row r="12" spans="1:29" x14ac:dyDescent="0.25">
      <c r="A12">
        <v>90</v>
      </c>
      <c r="B12" t="s">
        <v>10</v>
      </c>
      <c r="C12">
        <v>15.92</v>
      </c>
      <c r="D12" s="7">
        <f t="shared" si="4"/>
        <v>1.1999999999999993</v>
      </c>
      <c r="E12" s="2">
        <v>9.8800000000000008</v>
      </c>
      <c r="F12" s="9">
        <f t="shared" si="3"/>
        <v>7.1333333333333284</v>
      </c>
      <c r="G12">
        <v>21.4</v>
      </c>
      <c r="H12" s="5"/>
      <c r="J12" s="11">
        <v>1.8</v>
      </c>
      <c r="K12" s="12">
        <f t="shared" si="5"/>
        <v>8.8012371923443382</v>
      </c>
      <c r="X12" s="1">
        <f t="shared" si="0"/>
        <v>6.8800000000000008</v>
      </c>
      <c r="Y12" s="1">
        <f t="shared" si="0"/>
        <v>18.8</v>
      </c>
      <c r="Z12" s="1">
        <f t="shared" si="1"/>
        <v>22.6</v>
      </c>
      <c r="AA12" s="4">
        <f t="shared" si="2"/>
        <v>21.4</v>
      </c>
    </row>
    <row r="13" spans="1:29" x14ac:dyDescent="0.25">
      <c r="A13">
        <v>72</v>
      </c>
      <c r="B13" t="s">
        <v>10</v>
      </c>
      <c r="C13">
        <v>22.8</v>
      </c>
      <c r="D13" s="7">
        <f t="shared" si="4"/>
        <v>6.8800000000000008</v>
      </c>
      <c r="E13" s="2">
        <v>18.8</v>
      </c>
      <c r="F13" s="9">
        <f t="shared" si="3"/>
        <v>43.19111111111112</v>
      </c>
      <c r="G13">
        <v>22.6</v>
      </c>
      <c r="H13" s="5"/>
      <c r="J13" s="11">
        <v>2</v>
      </c>
      <c r="K13" s="12">
        <f t="shared" si="5"/>
        <v>9.322965937618287</v>
      </c>
      <c r="X13" s="1">
        <f t="shared" si="0"/>
        <v>4.32</v>
      </c>
      <c r="Y13" s="1">
        <f t="shared" si="0"/>
        <v>16.350000000000001</v>
      </c>
      <c r="Z13" s="1">
        <f t="shared" si="1"/>
        <v>21.6</v>
      </c>
      <c r="AA13" s="4">
        <f t="shared" si="2"/>
        <v>22.6</v>
      </c>
    </row>
    <row r="14" spans="1:29" x14ac:dyDescent="0.25">
      <c r="A14">
        <v>129</v>
      </c>
      <c r="B14" t="s">
        <v>10</v>
      </c>
      <c r="C14">
        <v>27.12</v>
      </c>
      <c r="D14" s="7">
        <f t="shared" si="4"/>
        <v>4.32</v>
      </c>
      <c r="E14" s="2">
        <v>16.350000000000001</v>
      </c>
      <c r="F14" s="9">
        <f t="shared" si="3"/>
        <v>25.92</v>
      </c>
      <c r="G14">
        <v>21.6</v>
      </c>
      <c r="H14" s="5"/>
      <c r="X14" s="1">
        <f t="shared" si="0"/>
        <v>1.3999999999999986</v>
      </c>
      <c r="Y14" s="1">
        <f t="shared" si="0"/>
        <v>9.75</v>
      </c>
      <c r="Z14" s="1">
        <f t="shared" si="1"/>
        <v>23.4</v>
      </c>
      <c r="AA14" s="4">
        <f t="shared" si="2"/>
        <v>21.6</v>
      </c>
    </row>
    <row r="15" spans="1:29" x14ac:dyDescent="0.25">
      <c r="A15">
        <v>159</v>
      </c>
      <c r="B15" t="s">
        <v>10</v>
      </c>
      <c r="C15">
        <v>28.52</v>
      </c>
      <c r="D15" s="7">
        <f>C15-C14</f>
        <v>1.3999999999999986</v>
      </c>
      <c r="E15" s="2">
        <v>9.75</v>
      </c>
      <c r="F15" s="9">
        <f t="shared" si="3"/>
        <v>9.099999999999989</v>
      </c>
      <c r="G15">
        <v>23.4</v>
      </c>
      <c r="H15" s="5"/>
      <c r="J15" s="109" t="s">
        <v>66</v>
      </c>
      <c r="K15" s="109"/>
      <c r="X15" s="1">
        <f t="shared" si="0"/>
        <v>1.8000000000000007</v>
      </c>
      <c r="Y15" s="1">
        <f t="shared" si="0"/>
        <v>9.0299999999999994</v>
      </c>
      <c r="Z15" s="1">
        <f t="shared" si="1"/>
        <v>20.399999999999999</v>
      </c>
      <c r="AA15" s="4">
        <f t="shared" si="2"/>
        <v>23.4</v>
      </c>
    </row>
    <row r="16" spans="1:29" x14ac:dyDescent="0.25">
      <c r="A16">
        <v>148</v>
      </c>
      <c r="B16" t="s">
        <v>10</v>
      </c>
      <c r="C16">
        <v>30.32</v>
      </c>
      <c r="D16" s="7">
        <f t="shared" si="4"/>
        <v>1.8000000000000007</v>
      </c>
      <c r="E16" s="2">
        <v>9.0299999999999994</v>
      </c>
      <c r="F16" s="9">
        <f t="shared" si="3"/>
        <v>10.200000000000003</v>
      </c>
      <c r="G16">
        <v>20.399999999999999</v>
      </c>
      <c r="H16" s="5"/>
      <c r="J16" s="63" t="s">
        <v>10</v>
      </c>
      <c r="K16" s="64">
        <f>AVERAGEIFS($G$3:$G$30, $B$3:$B$30, J16, $G$3:$G$30, "&lt;&gt;0")</f>
        <v>21.519999999999996</v>
      </c>
      <c r="X16" s="1">
        <f t="shared" si="0"/>
        <v>3.6799999999999997</v>
      </c>
      <c r="Y16" s="1">
        <f t="shared" si="0"/>
        <v>15.13</v>
      </c>
      <c r="Z16" s="1">
        <f t="shared" si="1"/>
        <v>21.2</v>
      </c>
      <c r="AA16" s="4">
        <f t="shared" si="2"/>
        <v>20.399999999999999</v>
      </c>
    </row>
    <row r="17" spans="1:33" x14ac:dyDescent="0.25">
      <c r="A17">
        <v>166</v>
      </c>
      <c r="B17" t="s">
        <v>10</v>
      </c>
      <c r="C17">
        <v>34</v>
      </c>
      <c r="D17" s="7">
        <f t="shared" si="4"/>
        <v>3.6799999999999997</v>
      </c>
      <c r="E17" s="2">
        <v>15.13</v>
      </c>
      <c r="F17" s="9">
        <f t="shared" si="3"/>
        <v>21.671111111111109</v>
      </c>
      <c r="G17">
        <v>21.2</v>
      </c>
      <c r="H17" s="5"/>
      <c r="J17" s="63" t="s">
        <v>11</v>
      </c>
      <c r="K17" s="64" t="e">
        <f t="shared" ref="K17:K18" si="6">AVERAGEIFS($G$3:$G$30, $B$3:$B$30, J17, $G$3:$G$30, "&lt;&gt;0")</f>
        <v>#DIV/0!</v>
      </c>
      <c r="X17" s="1">
        <f t="shared" si="0"/>
        <v>0</v>
      </c>
      <c r="Y17" s="1">
        <f t="shared" si="0"/>
        <v>0</v>
      </c>
      <c r="Z17" s="1">
        <f t="shared" si="1"/>
        <v>0</v>
      </c>
      <c r="AA17" s="4">
        <f t="shared" si="2"/>
        <v>21.2</v>
      </c>
    </row>
    <row r="18" spans="1:33" x14ac:dyDescent="0.25">
      <c r="D18" s="7"/>
      <c r="E18" s="2"/>
      <c r="F18" s="9"/>
      <c r="H18" s="5"/>
      <c r="J18" s="63" t="s">
        <v>12</v>
      </c>
      <c r="K18" s="64" t="e">
        <f t="shared" si="6"/>
        <v>#DIV/0!</v>
      </c>
      <c r="X18" s="1">
        <f t="shared" si="0"/>
        <v>0</v>
      </c>
      <c r="Y18" s="1">
        <f t="shared" si="0"/>
        <v>0</v>
      </c>
      <c r="Z18" s="1">
        <f t="shared" si="1"/>
        <v>0</v>
      </c>
      <c r="AA18" s="4">
        <f t="shared" si="2"/>
        <v>0</v>
      </c>
    </row>
    <row r="19" spans="1:33" x14ac:dyDescent="0.25">
      <c r="D19" s="7"/>
      <c r="E19" s="2"/>
      <c r="F19" s="9"/>
      <c r="H19" s="5"/>
      <c r="J19" s="6"/>
      <c r="K19" s="17"/>
      <c r="X19" s="1">
        <f t="shared" si="0"/>
        <v>0</v>
      </c>
      <c r="Y19" s="1">
        <f t="shared" si="0"/>
        <v>0</v>
      </c>
      <c r="Z19" s="1">
        <f t="shared" si="1"/>
        <v>0</v>
      </c>
      <c r="AA19" s="4">
        <f t="shared" si="2"/>
        <v>0</v>
      </c>
    </row>
    <row r="20" spans="1:33" x14ac:dyDescent="0.25">
      <c r="D20" s="7"/>
      <c r="E20" s="2"/>
      <c r="F20" s="9"/>
      <c r="H20" s="5"/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0</v>
      </c>
    </row>
    <row r="21" spans="1:33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1:33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0.47550200803212855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7</v>
      </c>
      <c r="B35" t="s">
        <v>11</v>
      </c>
      <c r="C35">
        <v>3.12</v>
      </c>
      <c r="D35" s="7">
        <v>0</v>
      </c>
      <c r="E35" s="1">
        <v>0</v>
      </c>
      <c r="F35" s="7">
        <v>0</v>
      </c>
      <c r="G35">
        <v>12.8</v>
      </c>
      <c r="J35" s="11">
        <v>0.2</v>
      </c>
      <c r="K35" s="12">
        <f t="shared" ref="K35:K44" si="8">SLOPE($E$35:$E$58, $D$35:$D$58) * J35 + INTERCEPT($E$35:$E$58, $D$35:$D$58)</f>
        <v>3.9781076630315422</v>
      </c>
      <c r="X35" s="6"/>
      <c r="Y35" s="22">
        <f t="shared" si="7"/>
        <v>0.58918918918918917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>
        <v>13</v>
      </c>
      <c r="B36" t="s">
        <v>11</v>
      </c>
      <c r="C36">
        <v>3.12</v>
      </c>
      <c r="D36" s="7">
        <f>C36-C35</f>
        <v>0</v>
      </c>
      <c r="E36" s="2">
        <v>0.24</v>
      </c>
      <c r="F36" s="9">
        <f t="shared" ref="F36:F50" si="14">D36*G36/3.6</f>
        <v>0</v>
      </c>
      <c r="G36">
        <v>12.7</v>
      </c>
      <c r="H36" s="5"/>
      <c r="J36" s="11">
        <v>0.4</v>
      </c>
      <c r="K36" s="12">
        <f t="shared" si="8"/>
        <v>4.5310791919783329</v>
      </c>
      <c r="X36" s="6"/>
      <c r="Y36" s="22">
        <f t="shared" si="7"/>
        <v>0.498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>
        <v>4</v>
      </c>
      <c r="B37" t="s">
        <v>12</v>
      </c>
      <c r="C37">
        <v>4.92</v>
      </c>
      <c r="D37" s="7">
        <f t="shared" ref="D37:D50" si="15">C37-C36</f>
        <v>1.7999999999999998</v>
      </c>
      <c r="E37" s="2">
        <v>8.6999999999999993</v>
      </c>
      <c r="F37" s="9">
        <f t="shared" si="14"/>
        <v>8.3499999999999979</v>
      </c>
      <c r="G37">
        <v>16.7</v>
      </c>
      <c r="H37" s="5"/>
      <c r="J37" s="11">
        <v>0.6</v>
      </c>
      <c r="K37" s="12">
        <f t="shared" si="8"/>
        <v>5.0840507209251236</v>
      </c>
      <c r="Y37" s="22">
        <f t="shared" si="7"/>
        <v>0.45103092783505155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>
        <v>29</v>
      </c>
      <c r="B38" t="s">
        <v>12</v>
      </c>
      <c r="C38">
        <v>6.8</v>
      </c>
      <c r="D38" s="7">
        <f t="shared" si="15"/>
        <v>1.88</v>
      </c>
      <c r="E38" s="2">
        <v>9.8000000000000007</v>
      </c>
      <c r="F38" s="9">
        <f t="shared" si="14"/>
        <v>9.8699999999999992</v>
      </c>
      <c r="G38">
        <v>18.899999999999999</v>
      </c>
      <c r="H38" s="5"/>
      <c r="J38" s="11">
        <v>0.8</v>
      </c>
      <c r="K38" s="12">
        <f t="shared" si="8"/>
        <v>5.6370222498719142</v>
      </c>
      <c r="Y38" s="22">
        <f t="shared" si="7"/>
        <v>0.22499999999999998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A39">
        <v>8</v>
      </c>
      <c r="B39" t="s">
        <v>10</v>
      </c>
      <c r="C39">
        <v>8.2799999999999994</v>
      </c>
      <c r="D39" s="7">
        <f t="shared" si="15"/>
        <v>1.4799999999999995</v>
      </c>
      <c r="E39" s="2">
        <v>7.88</v>
      </c>
      <c r="F39" s="9">
        <f t="shared" si="14"/>
        <v>9.1266666666666634</v>
      </c>
      <c r="G39">
        <v>22.2</v>
      </c>
      <c r="H39" s="5"/>
      <c r="J39" s="11">
        <v>1</v>
      </c>
      <c r="K39" s="12">
        <f t="shared" si="8"/>
        <v>6.1899937788187049</v>
      </c>
      <c r="Y39" s="22">
        <f t="shared" si="7"/>
        <v>0.65078740157480319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47</v>
      </c>
      <c r="B40" t="s">
        <v>12</v>
      </c>
      <c r="C40">
        <v>10.199999999999999</v>
      </c>
      <c r="D40" s="7">
        <f t="shared" si="15"/>
        <v>1.92</v>
      </c>
      <c r="E40" s="2">
        <v>10.58</v>
      </c>
      <c r="F40" s="9">
        <f t="shared" si="14"/>
        <v>11.306666666666667</v>
      </c>
      <c r="G40">
        <v>21.2</v>
      </c>
      <c r="H40" s="5"/>
      <c r="J40" s="11">
        <v>1.2</v>
      </c>
      <c r="K40" s="12">
        <f t="shared" si="8"/>
        <v>6.7429653077654956</v>
      </c>
      <c r="Y40" s="22">
        <f t="shared" si="7"/>
        <v>0.36865671641791042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>
        <v>54</v>
      </c>
      <c r="B41" t="s">
        <v>12</v>
      </c>
      <c r="C41">
        <v>12.12</v>
      </c>
      <c r="D41" s="7">
        <f t="shared" si="15"/>
        <v>1.92</v>
      </c>
      <c r="E41" s="2">
        <v>9.0500000000000007</v>
      </c>
      <c r="F41" s="9">
        <f t="shared" si="14"/>
        <v>10.719999999999999</v>
      </c>
      <c r="G41">
        <v>20.100000000000001</v>
      </c>
      <c r="H41" s="5"/>
      <c r="J41" s="11">
        <v>1.4</v>
      </c>
      <c r="K41" s="12">
        <f t="shared" si="8"/>
        <v>7.2959368367122863</v>
      </c>
      <c r="Y41" s="22">
        <f t="shared" si="7"/>
        <v>3.8181818181818185E-2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>
        <v>70</v>
      </c>
      <c r="B42" t="s">
        <v>12</v>
      </c>
      <c r="C42">
        <v>14.92</v>
      </c>
      <c r="D42" s="7">
        <f t="shared" si="15"/>
        <v>2.8000000000000007</v>
      </c>
      <c r="E42" s="2">
        <v>9.83</v>
      </c>
      <c r="F42" s="9">
        <f t="shared" si="14"/>
        <v>16.177777777777781</v>
      </c>
      <c r="G42">
        <v>20.8</v>
      </c>
      <c r="H42" s="5"/>
      <c r="J42" s="11">
        <v>1.6</v>
      </c>
      <c r="K42" s="12">
        <f t="shared" si="8"/>
        <v>7.848908365659077</v>
      </c>
      <c r="Y42" s="22">
        <f t="shared" si="7"/>
        <v>0.46168224299065425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>
        <v>86</v>
      </c>
      <c r="B43" t="s">
        <v>10</v>
      </c>
      <c r="C43">
        <v>17.88</v>
      </c>
      <c r="D43" s="7">
        <f t="shared" si="15"/>
        <v>2.9599999999999991</v>
      </c>
      <c r="E43" s="2">
        <v>9.5299999999999994</v>
      </c>
      <c r="F43" s="9">
        <f t="shared" si="14"/>
        <v>19.322222222222216</v>
      </c>
      <c r="G43">
        <v>23.5</v>
      </c>
      <c r="H43" s="5"/>
      <c r="J43" s="11">
        <v>1.8</v>
      </c>
      <c r="K43" s="12">
        <f t="shared" si="8"/>
        <v>8.4018798946058677</v>
      </c>
      <c r="Y43" s="22">
        <f t="shared" si="7"/>
        <v>0.83185840707964598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A44">
        <v>92</v>
      </c>
      <c r="B44" t="s">
        <v>10</v>
      </c>
      <c r="C44">
        <v>22.72</v>
      </c>
      <c r="D44" s="7">
        <f t="shared" si="15"/>
        <v>4.84</v>
      </c>
      <c r="E44" s="2">
        <v>12.48</v>
      </c>
      <c r="F44" s="9">
        <f t="shared" si="14"/>
        <v>28.367777777777778</v>
      </c>
      <c r="G44">
        <v>21.1</v>
      </c>
      <c r="H44" s="5"/>
      <c r="J44" s="11">
        <v>2</v>
      </c>
      <c r="K44" s="12">
        <f t="shared" si="8"/>
        <v>8.9548514235526575</v>
      </c>
      <c r="Y44" s="22">
        <f t="shared" si="7"/>
        <v>0.75694444444444442</v>
      </c>
      <c r="Z44" s="1">
        <v>1.6799999999999997</v>
      </c>
    </row>
    <row r="45" spans="1:33" x14ac:dyDescent="0.25">
      <c r="A45">
        <v>136</v>
      </c>
      <c r="B45" t="s">
        <v>10</v>
      </c>
      <c r="C45">
        <v>26.32</v>
      </c>
      <c r="D45" s="7">
        <f t="shared" si="15"/>
        <v>3.6000000000000014</v>
      </c>
      <c r="E45" s="2">
        <v>15.29</v>
      </c>
      <c r="F45" s="9">
        <f t="shared" si="14"/>
        <v>20.300000000000008</v>
      </c>
      <c r="G45">
        <v>20.3</v>
      </c>
      <c r="H45" s="5"/>
      <c r="Y45" s="22">
        <f t="shared" si="7"/>
        <v>0.41666666666666669</v>
      </c>
      <c r="Z45" s="1">
        <v>1.6799999999999997</v>
      </c>
    </row>
    <row r="46" spans="1:33" x14ac:dyDescent="0.25">
      <c r="A46">
        <v>146</v>
      </c>
      <c r="B46" t="s">
        <v>10</v>
      </c>
      <c r="C46">
        <v>28.68</v>
      </c>
      <c r="D46" s="7">
        <f t="shared" si="15"/>
        <v>2.3599999999999994</v>
      </c>
      <c r="E46" s="2">
        <v>12.61</v>
      </c>
      <c r="F46" s="9">
        <f t="shared" si="14"/>
        <v>14.618888888888884</v>
      </c>
      <c r="G46">
        <v>22.3</v>
      </c>
      <c r="H46" s="5"/>
      <c r="J46" s="109" t="s">
        <v>66</v>
      </c>
      <c r="K46" s="109"/>
      <c r="Y46" s="22">
        <f t="shared" si="7"/>
        <v>0.44264705882352939</v>
      </c>
      <c r="Z46" s="1">
        <v>1</v>
      </c>
    </row>
    <row r="47" spans="1:33" x14ac:dyDescent="0.25">
      <c r="A47">
        <v>145</v>
      </c>
      <c r="B47" t="s">
        <v>10</v>
      </c>
      <c r="C47">
        <v>31</v>
      </c>
      <c r="D47" s="7">
        <f t="shared" si="15"/>
        <v>2.3200000000000003</v>
      </c>
      <c r="E47" s="2">
        <v>12.22</v>
      </c>
      <c r="F47" s="9">
        <f t="shared" si="14"/>
        <v>13.72666666666667</v>
      </c>
      <c r="G47">
        <v>21.3</v>
      </c>
      <c r="H47" s="5"/>
      <c r="J47" s="63" t="s">
        <v>10</v>
      </c>
      <c r="K47" s="64">
        <f>AVERAGEIFS($G$35:$G$80, $B$35:$B$80, J47, $G$35:$G$80, "&lt;&gt;0")</f>
        <v>21.975000000000005</v>
      </c>
      <c r="Y47" s="22">
        <f t="shared" si="7"/>
        <v>0.71367924528301896</v>
      </c>
      <c r="Z47" s="1">
        <v>3.4400000000000013</v>
      </c>
    </row>
    <row r="48" spans="1:33" x14ac:dyDescent="0.25">
      <c r="A48">
        <v>181</v>
      </c>
      <c r="B48" t="s">
        <v>10</v>
      </c>
      <c r="C48">
        <v>32.479999999999997</v>
      </c>
      <c r="D48" s="7">
        <f t="shared" si="15"/>
        <v>1.4799999999999969</v>
      </c>
      <c r="E48" s="2">
        <v>9.58</v>
      </c>
      <c r="F48" s="9">
        <f t="shared" si="14"/>
        <v>8.9622222222222039</v>
      </c>
      <c r="G48">
        <v>21.8</v>
      </c>
      <c r="H48" s="5"/>
      <c r="J48" s="63" t="s">
        <v>11</v>
      </c>
      <c r="K48" s="64">
        <f t="shared" ref="K48:K49" si="16">AVERAGEIFS($G$35:$G$80, $B$35:$B$80, J48, $G$35:$G$80, "&lt;&gt;0")</f>
        <v>12.75</v>
      </c>
      <c r="Y48" s="22" t="e">
        <f t="shared" si="7"/>
        <v>#DIV/0!</v>
      </c>
      <c r="Z48" s="1">
        <v>1.1999999999999993</v>
      </c>
    </row>
    <row r="49" spans="1:26" x14ac:dyDescent="0.25">
      <c r="A49">
        <v>199</v>
      </c>
      <c r="B49" t="s">
        <v>11</v>
      </c>
      <c r="C49">
        <v>34.119999999999997</v>
      </c>
      <c r="D49" s="7">
        <f t="shared" si="15"/>
        <v>1.6400000000000006</v>
      </c>
      <c r="E49" s="2">
        <v>8.1999999999999993</v>
      </c>
      <c r="F49" s="9">
        <f t="shared" si="14"/>
        <v>0</v>
      </c>
      <c r="G49">
        <v>0</v>
      </c>
      <c r="H49" s="5"/>
      <c r="J49" s="63" t="s">
        <v>12</v>
      </c>
      <c r="K49" s="64">
        <f t="shared" si="16"/>
        <v>19.54</v>
      </c>
      <c r="Y49" s="22" t="e">
        <f t="shared" si="7"/>
        <v>#DIV/0!</v>
      </c>
      <c r="Z49" s="1">
        <v>2.6799999999999997</v>
      </c>
    </row>
    <row r="50" spans="1:26" x14ac:dyDescent="0.25">
      <c r="A50">
        <v>179</v>
      </c>
      <c r="B50" t="s">
        <v>10</v>
      </c>
      <c r="C50">
        <v>35.28</v>
      </c>
      <c r="D50" s="7">
        <f t="shared" si="15"/>
        <v>1.1600000000000037</v>
      </c>
      <c r="E50" s="2">
        <v>7.73</v>
      </c>
      <c r="F50" s="9">
        <f t="shared" si="14"/>
        <v>7.5077777777778021</v>
      </c>
      <c r="G50">
        <v>23.3</v>
      </c>
      <c r="H50" s="5"/>
      <c r="Y50" s="22" t="e">
        <f t="shared" si="7"/>
        <v>#DIV/0!</v>
      </c>
      <c r="Z50" s="1">
        <v>1.5999999999999979</v>
      </c>
    </row>
    <row r="51" spans="1:26" x14ac:dyDescent="0.25">
      <c r="D51" s="7"/>
      <c r="E51" s="2"/>
      <c r="F51" s="9"/>
      <c r="H51" s="5"/>
      <c r="Y51" s="22" t="e">
        <f t="shared" si="7"/>
        <v>#DIV/0!</v>
      </c>
      <c r="Z51" s="1">
        <v>1.6000000000000014</v>
      </c>
    </row>
    <row r="52" spans="1:26" x14ac:dyDescent="0.25">
      <c r="D52" s="7"/>
      <c r="E52" s="2"/>
      <c r="F52" s="9"/>
      <c r="H52" s="5"/>
      <c r="Y52" s="22" t="e">
        <f t="shared" si="7"/>
        <v>#DIV/0!</v>
      </c>
      <c r="Z52" s="1">
        <v>1.2000000000000028</v>
      </c>
    </row>
    <row r="53" spans="1:26" x14ac:dyDescent="0.25">
      <c r="D53" s="7"/>
      <c r="E53" s="2"/>
      <c r="F53" s="9"/>
      <c r="H53" s="5"/>
      <c r="Y53" s="22" t="e">
        <f t="shared" si="7"/>
        <v>#DIV/0!</v>
      </c>
      <c r="Z53" s="1">
        <v>0.79999999999999716</v>
      </c>
    </row>
    <row r="54" spans="1:26" x14ac:dyDescent="0.25">
      <c r="D54" s="7"/>
      <c r="E54" s="2"/>
      <c r="F54" s="9"/>
      <c r="H54" s="5"/>
      <c r="Y54" s="22" t="e">
        <f t="shared" si="7"/>
        <v>#DIV/0!</v>
      </c>
      <c r="Z54" s="1">
        <v>1.4799999999999969</v>
      </c>
    </row>
    <row r="55" spans="1:26" x14ac:dyDescent="0.25">
      <c r="D55" s="7"/>
      <c r="E55" s="2"/>
      <c r="F55" s="9"/>
      <c r="H55" s="5"/>
      <c r="Y55" s="22" t="e">
        <f t="shared" si="7"/>
        <v>#DIV/0!</v>
      </c>
      <c r="Z55" s="1">
        <v>0.80000000000000426</v>
      </c>
    </row>
    <row r="56" spans="1:26" x14ac:dyDescent="0.25">
      <c r="D56" s="7"/>
      <c r="F56" s="9"/>
      <c r="H56" s="5"/>
      <c r="Y56" s="22" t="e">
        <f t="shared" si="7"/>
        <v>#DIV/0!</v>
      </c>
      <c r="Z56" s="1">
        <v>6</v>
      </c>
    </row>
    <row r="57" spans="1:26" x14ac:dyDescent="0.25">
      <c r="E57" s="2"/>
      <c r="F57" s="9"/>
      <c r="H57" s="5"/>
      <c r="Y57" s="22"/>
    </row>
    <row r="58" spans="1:26" x14ac:dyDescent="0.25">
      <c r="E58" s="2"/>
      <c r="F58" s="7"/>
      <c r="H58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AD31:AG31"/>
    <mergeCell ref="A33:E33"/>
    <mergeCell ref="A1:E1"/>
    <mergeCell ref="X1:Y1"/>
    <mergeCell ref="Z1:AA1"/>
    <mergeCell ref="AB1:AC1"/>
    <mergeCell ref="J15:K15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{3AEA6E40-039F-469C-8B19-7FDF5F5FFE9C}</x14:id>
        </ext>
      </extLst>
    </cfRule>
  </conditionalFormatting>
  <conditionalFormatting sqref="G57:G58 F35 G35:G5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{18F2C0F9-7ABC-461F-89CF-B9AB918C067D}</x14:id>
        </ext>
      </extLst>
    </cfRule>
  </conditionalFormatting>
  <conditionalFormatting sqref="K3:K13">
    <cfRule type="cellIs" dxfId="26" priority="11" operator="between">
      <formula>4</formula>
      <formula>5</formula>
    </cfRule>
    <cfRule type="cellIs" dxfId="25" priority="12" operator="lessThan">
      <formula>3.99</formula>
    </cfRule>
    <cfRule type="cellIs" dxfId="24" priority="13" operator="greaterThan">
      <formula>5</formula>
    </cfRule>
  </conditionalFormatting>
  <conditionalFormatting sqref="K34:K44">
    <cfRule type="cellIs" dxfId="23" priority="7" operator="between">
      <formula>4</formula>
      <formula>5</formula>
    </cfRule>
    <cfRule type="cellIs" dxfId="22" priority="8" operator="lessThan">
      <formula>3.99</formula>
    </cfRule>
    <cfRule type="cellIs" dxfId="21" priority="9" operator="greaterThan">
      <formula>5</formula>
    </cfRule>
  </conditionalFormatting>
  <conditionalFormatting sqref="AC33:AG43">
    <cfRule type="cellIs" dxfId="20" priority="1" operator="between">
      <formula>4</formula>
      <formula>5</formula>
    </cfRule>
    <cfRule type="cellIs" dxfId="19" priority="2" operator="lessThan">
      <formula>3.99</formula>
    </cfRule>
    <cfRule type="cellIs" dxfId="18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EA6E40-039F-469C-8B19-7FDF5F5FF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18F2C0F9-7ABC-461F-89CF-B9AB918C0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G57:G58 F35 G35:G55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7497-8A26-4395-B9B9-439A2112E81F}">
  <sheetPr codeName="Sheet13"/>
  <dimension ref="A1:AG83"/>
  <sheetViews>
    <sheetView workbookViewId="0">
      <selection activeCell="G63" sqref="G63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4</v>
      </c>
      <c r="B3" t="s">
        <v>12</v>
      </c>
      <c r="C3">
        <v>2.4</v>
      </c>
      <c r="D3" s="7">
        <v>0</v>
      </c>
      <c r="E3" s="1">
        <v>0</v>
      </c>
      <c r="F3" s="7">
        <v>0</v>
      </c>
      <c r="G3">
        <v>19.8</v>
      </c>
      <c r="J3" s="11">
        <v>0</v>
      </c>
      <c r="K3" s="11">
        <v>0</v>
      </c>
      <c r="X3" s="1">
        <f t="shared" ref="X3:Y27" si="0">D4</f>
        <v>0.48</v>
      </c>
      <c r="Y3" s="1">
        <f t="shared" si="0"/>
        <v>2.75</v>
      </c>
      <c r="Z3" s="1">
        <f t="shared" ref="Z3:Z27" si="1">G4</f>
        <v>18.7</v>
      </c>
      <c r="AA3" s="4">
        <f t="shared" ref="AA3:AA27" si="2">G3</f>
        <v>19.8</v>
      </c>
      <c r="AB3" s="1" t="s">
        <v>10</v>
      </c>
      <c r="AC3" s="1" t="s">
        <v>10</v>
      </c>
    </row>
    <row r="4" spans="1:29" x14ac:dyDescent="0.25">
      <c r="A4">
        <v>3</v>
      </c>
      <c r="B4" t="s">
        <v>10</v>
      </c>
      <c r="C4">
        <v>2.88</v>
      </c>
      <c r="D4" s="7">
        <f>C4-C3</f>
        <v>0.48</v>
      </c>
      <c r="E4" s="2">
        <v>2.75</v>
      </c>
      <c r="F4" s="9">
        <f t="shared" ref="F4:F25" si="3">D4*G4/3.6</f>
        <v>2.4933333333333332</v>
      </c>
      <c r="G4">
        <v>18.7</v>
      </c>
      <c r="H4" s="5"/>
      <c r="J4" s="11">
        <v>0.2</v>
      </c>
      <c r="K4" s="12">
        <f>SLOPE($E$3:$E$27, $D$3:$D$27) * J4 + INTERCEPT($E$3:$E$27, $D$3:$D$27)</f>
        <v>3.5652385284870558</v>
      </c>
      <c r="X4" s="1">
        <f t="shared" si="0"/>
        <v>1</v>
      </c>
      <c r="Y4" s="1">
        <f t="shared" si="0"/>
        <v>5.13</v>
      </c>
      <c r="Z4" s="1">
        <f t="shared" si="1"/>
        <v>20.5</v>
      </c>
      <c r="AA4" s="4">
        <f t="shared" si="2"/>
        <v>18.7</v>
      </c>
      <c r="AB4" s="1" t="s">
        <v>10</v>
      </c>
      <c r="AC4" s="1" t="s">
        <v>10</v>
      </c>
    </row>
    <row r="5" spans="1:29" x14ac:dyDescent="0.25">
      <c r="A5">
        <v>5</v>
      </c>
      <c r="B5" t="s">
        <v>10</v>
      </c>
      <c r="C5">
        <v>3.88</v>
      </c>
      <c r="D5" s="7">
        <f t="shared" ref="D5:D25" si="4">C5-C4</f>
        <v>1</v>
      </c>
      <c r="E5" s="2">
        <v>5.13</v>
      </c>
      <c r="F5" s="9">
        <f t="shared" si="3"/>
        <v>5.6944444444444446</v>
      </c>
      <c r="G5">
        <v>20.5</v>
      </c>
      <c r="H5" s="5"/>
      <c r="J5" s="11">
        <v>0.4</v>
      </c>
      <c r="K5" s="12">
        <f t="shared" ref="K5:K13" si="5">SLOPE($E$3:$E$27, $D$3:$D$27) * J5 + INTERCEPT($E$3:$E$27, $D$3:$D$27)</f>
        <v>4.095404336603897</v>
      </c>
      <c r="X5" s="1">
        <f t="shared" si="0"/>
        <v>0.40000000000000036</v>
      </c>
      <c r="Y5" s="1">
        <f t="shared" si="0"/>
        <v>2.31</v>
      </c>
      <c r="Z5" s="1">
        <f t="shared" si="1"/>
        <v>24.6</v>
      </c>
      <c r="AA5" s="4">
        <f t="shared" si="2"/>
        <v>20.5</v>
      </c>
      <c r="AB5" s="1" t="s">
        <v>10</v>
      </c>
      <c r="AC5" s="1" t="s">
        <v>10</v>
      </c>
    </row>
    <row r="6" spans="1:29" x14ac:dyDescent="0.25">
      <c r="A6">
        <v>42</v>
      </c>
      <c r="B6" t="s">
        <v>11</v>
      </c>
      <c r="C6">
        <v>4.28</v>
      </c>
      <c r="D6" s="7">
        <f t="shared" si="4"/>
        <v>0.40000000000000036</v>
      </c>
      <c r="E6" s="2">
        <v>2.31</v>
      </c>
      <c r="F6" s="9">
        <f t="shared" si="3"/>
        <v>2.7333333333333356</v>
      </c>
      <c r="G6">
        <v>24.6</v>
      </c>
      <c r="H6" s="5"/>
      <c r="J6" s="11">
        <v>0.6</v>
      </c>
      <c r="K6" s="12">
        <f t="shared" si="5"/>
        <v>4.6255701447207382</v>
      </c>
      <c r="X6" s="1">
        <f t="shared" si="0"/>
        <v>1.3199999999999994</v>
      </c>
      <c r="Y6" s="1">
        <f t="shared" si="0"/>
        <v>7.61</v>
      </c>
      <c r="Z6" s="1">
        <f t="shared" si="1"/>
        <v>20.9</v>
      </c>
      <c r="AA6" s="4">
        <f t="shared" si="2"/>
        <v>24.6</v>
      </c>
    </row>
    <row r="7" spans="1:29" x14ac:dyDescent="0.25">
      <c r="A7">
        <v>7</v>
      </c>
      <c r="B7" t="s">
        <v>10</v>
      </c>
      <c r="C7">
        <v>5.6</v>
      </c>
      <c r="D7" s="7">
        <f t="shared" si="4"/>
        <v>1.3199999999999994</v>
      </c>
      <c r="E7" s="2">
        <v>7.61</v>
      </c>
      <c r="F7" s="9">
        <f t="shared" si="3"/>
        <v>7.6633333333333296</v>
      </c>
      <c r="G7">
        <v>20.9</v>
      </c>
      <c r="H7" s="5"/>
      <c r="J7" s="11">
        <v>0.8</v>
      </c>
      <c r="K7" s="12">
        <f t="shared" si="5"/>
        <v>5.1557359528375795</v>
      </c>
      <c r="X7" s="1">
        <f t="shared" si="0"/>
        <v>1.8000000000000007</v>
      </c>
      <c r="Y7" s="1">
        <f t="shared" si="0"/>
        <v>9.4499999999999993</v>
      </c>
      <c r="Z7" s="1">
        <f t="shared" si="1"/>
        <v>22.7</v>
      </c>
      <c r="AA7" s="4">
        <f t="shared" si="2"/>
        <v>20.9</v>
      </c>
    </row>
    <row r="8" spans="1:29" x14ac:dyDescent="0.25">
      <c r="A8">
        <v>12</v>
      </c>
      <c r="B8" t="s">
        <v>10</v>
      </c>
      <c r="C8">
        <v>7.4</v>
      </c>
      <c r="D8" s="7">
        <f>C8-C7</f>
        <v>1.8000000000000007</v>
      </c>
      <c r="E8" s="2">
        <v>9.4499999999999993</v>
      </c>
      <c r="F8" s="9">
        <f t="shared" si="3"/>
        <v>11.350000000000003</v>
      </c>
      <c r="G8">
        <v>22.7</v>
      </c>
      <c r="H8" s="5"/>
      <c r="J8" s="11">
        <v>1</v>
      </c>
      <c r="K8" s="12">
        <f t="shared" si="5"/>
        <v>5.6859017609544207</v>
      </c>
      <c r="X8" s="1">
        <f t="shared" si="0"/>
        <v>1.4000000000000004</v>
      </c>
      <c r="Y8" s="1">
        <f t="shared" si="0"/>
        <v>6.32</v>
      </c>
      <c r="Z8" s="1">
        <f t="shared" si="1"/>
        <v>14.2</v>
      </c>
      <c r="AA8" s="4">
        <f t="shared" si="2"/>
        <v>22.7</v>
      </c>
    </row>
    <row r="9" spans="1:29" x14ac:dyDescent="0.25">
      <c r="A9">
        <v>36</v>
      </c>
      <c r="B9" t="s">
        <v>10</v>
      </c>
      <c r="C9">
        <v>8.8000000000000007</v>
      </c>
      <c r="D9" s="7">
        <f t="shared" si="4"/>
        <v>1.4000000000000004</v>
      </c>
      <c r="E9" s="2">
        <v>6.32</v>
      </c>
      <c r="F9" s="9">
        <f t="shared" si="3"/>
        <v>5.522222222222223</v>
      </c>
      <c r="G9">
        <v>14.2</v>
      </c>
      <c r="H9" s="5"/>
      <c r="J9" s="11">
        <v>1.2</v>
      </c>
      <c r="K9" s="12">
        <f t="shared" si="5"/>
        <v>6.2160675690712619</v>
      </c>
      <c r="X9" s="1">
        <f t="shared" si="0"/>
        <v>1.6799999999999997</v>
      </c>
      <c r="Y9" s="1">
        <f t="shared" si="0"/>
        <v>9.7200000000000006</v>
      </c>
      <c r="Z9" s="1">
        <f t="shared" si="1"/>
        <v>16.7</v>
      </c>
      <c r="AA9" s="4">
        <f t="shared" si="2"/>
        <v>14.2</v>
      </c>
    </row>
    <row r="10" spans="1:29" x14ac:dyDescent="0.25">
      <c r="A10">
        <v>37</v>
      </c>
      <c r="B10" t="s">
        <v>10</v>
      </c>
      <c r="C10">
        <v>10.48</v>
      </c>
      <c r="D10" s="7">
        <f t="shared" si="4"/>
        <v>1.6799999999999997</v>
      </c>
      <c r="E10" s="2">
        <v>9.7200000000000006</v>
      </c>
      <c r="F10" s="9">
        <f t="shared" si="3"/>
        <v>7.7933333333333312</v>
      </c>
      <c r="G10">
        <v>16.7</v>
      </c>
      <c r="H10" s="5"/>
      <c r="J10" s="11">
        <v>1.4</v>
      </c>
      <c r="K10" s="12">
        <f t="shared" si="5"/>
        <v>6.7462333771881031</v>
      </c>
      <c r="X10" s="1">
        <f t="shared" si="0"/>
        <v>0.40000000000000036</v>
      </c>
      <c r="Y10" s="1">
        <f t="shared" si="0"/>
        <v>1.93</v>
      </c>
      <c r="Z10" s="1">
        <f t="shared" si="1"/>
        <v>0</v>
      </c>
      <c r="AA10" s="4">
        <f t="shared" si="2"/>
        <v>16.7</v>
      </c>
    </row>
    <row r="11" spans="1:29" x14ac:dyDescent="0.25">
      <c r="A11">
        <v>95</v>
      </c>
      <c r="B11" t="s">
        <v>11</v>
      </c>
      <c r="C11">
        <v>10.88</v>
      </c>
      <c r="D11" s="7">
        <f t="shared" si="4"/>
        <v>0.40000000000000036</v>
      </c>
      <c r="E11" s="2">
        <v>1.93</v>
      </c>
      <c r="F11" s="9">
        <f t="shared" si="3"/>
        <v>0</v>
      </c>
      <c r="G11">
        <v>0</v>
      </c>
      <c r="H11" s="5"/>
      <c r="J11" s="11">
        <v>1.6</v>
      </c>
      <c r="K11" s="12">
        <f t="shared" si="5"/>
        <v>7.2763991853049443</v>
      </c>
      <c r="X11" s="1">
        <f t="shared" si="0"/>
        <v>2.1999999999999993</v>
      </c>
      <c r="Y11" s="1">
        <f t="shared" si="0"/>
        <v>2.0499999999999998</v>
      </c>
      <c r="Z11" s="1">
        <f t="shared" si="1"/>
        <v>11.8</v>
      </c>
      <c r="AA11" s="4">
        <f t="shared" si="2"/>
        <v>0</v>
      </c>
    </row>
    <row r="12" spans="1:29" x14ac:dyDescent="0.25">
      <c r="A12">
        <v>49</v>
      </c>
      <c r="B12" t="s">
        <v>10</v>
      </c>
      <c r="C12">
        <v>13.08</v>
      </c>
      <c r="D12" s="7">
        <f t="shared" si="4"/>
        <v>2.1999999999999993</v>
      </c>
      <c r="E12" s="2">
        <v>2.0499999999999998</v>
      </c>
      <c r="F12" s="9">
        <f t="shared" si="3"/>
        <v>7.2111111111111095</v>
      </c>
      <c r="G12">
        <v>11.8</v>
      </c>
      <c r="H12" s="5"/>
      <c r="J12" s="11">
        <v>1.8</v>
      </c>
      <c r="K12" s="12">
        <f t="shared" si="5"/>
        <v>7.8065649934217856</v>
      </c>
      <c r="X12" s="1">
        <f t="shared" si="0"/>
        <v>0.24000000000000021</v>
      </c>
      <c r="Y12" s="1">
        <f t="shared" si="0"/>
        <v>0.56000000000000005</v>
      </c>
      <c r="Z12" s="1">
        <f t="shared" si="1"/>
        <v>12.3</v>
      </c>
      <c r="AA12" s="4">
        <f t="shared" si="2"/>
        <v>11.8</v>
      </c>
    </row>
    <row r="13" spans="1:29" x14ac:dyDescent="0.25">
      <c r="A13">
        <v>68</v>
      </c>
      <c r="B13" t="s">
        <v>10</v>
      </c>
      <c r="C13">
        <v>13.32</v>
      </c>
      <c r="D13" s="7">
        <f t="shared" si="4"/>
        <v>0.24000000000000021</v>
      </c>
      <c r="E13" s="2">
        <v>0.56000000000000005</v>
      </c>
      <c r="F13" s="9">
        <f t="shared" si="3"/>
        <v>0.82000000000000073</v>
      </c>
      <c r="G13">
        <v>12.3</v>
      </c>
      <c r="H13" s="5"/>
      <c r="J13" s="11">
        <v>2</v>
      </c>
      <c r="K13" s="12">
        <f t="shared" si="5"/>
        <v>8.3367308015386268</v>
      </c>
      <c r="X13" s="1">
        <f t="shared" si="0"/>
        <v>4.879999999999999</v>
      </c>
      <c r="Y13" s="1">
        <f t="shared" si="0"/>
        <v>17.2</v>
      </c>
      <c r="Z13" s="1">
        <f t="shared" si="1"/>
        <v>15.1</v>
      </c>
      <c r="AA13" s="4">
        <f t="shared" si="2"/>
        <v>12.3</v>
      </c>
    </row>
    <row r="14" spans="1:29" x14ac:dyDescent="0.25">
      <c r="A14">
        <v>92</v>
      </c>
      <c r="B14" t="s">
        <v>10</v>
      </c>
      <c r="C14">
        <v>18.2</v>
      </c>
      <c r="D14" s="7">
        <f t="shared" si="4"/>
        <v>4.879999999999999</v>
      </c>
      <c r="E14" s="2">
        <v>17.2</v>
      </c>
      <c r="F14" s="9">
        <f t="shared" si="3"/>
        <v>20.468888888888884</v>
      </c>
      <c r="G14">
        <v>15.1</v>
      </c>
      <c r="H14" s="5"/>
      <c r="X14" s="1">
        <f t="shared" si="0"/>
        <v>7.4000000000000021</v>
      </c>
      <c r="Y14" s="1">
        <f t="shared" si="0"/>
        <v>16.670000000000002</v>
      </c>
      <c r="Z14" s="1">
        <f t="shared" si="1"/>
        <v>16.399999999999999</v>
      </c>
      <c r="AA14" s="4">
        <f t="shared" si="2"/>
        <v>15.1</v>
      </c>
    </row>
    <row r="15" spans="1:29" x14ac:dyDescent="0.25">
      <c r="A15">
        <v>124</v>
      </c>
      <c r="B15" t="s">
        <v>10</v>
      </c>
      <c r="C15">
        <v>25.6</v>
      </c>
      <c r="D15" s="7">
        <f>C15-C14</f>
        <v>7.4000000000000021</v>
      </c>
      <c r="E15" s="2">
        <v>16.670000000000002</v>
      </c>
      <c r="F15" s="9">
        <f t="shared" si="3"/>
        <v>33.711111111111116</v>
      </c>
      <c r="G15">
        <v>16.399999999999999</v>
      </c>
      <c r="H15" s="5"/>
      <c r="J15" s="109" t="s">
        <v>66</v>
      </c>
      <c r="K15" s="109"/>
      <c r="X15" s="1">
        <f t="shared" si="0"/>
        <v>3.4799999999999969</v>
      </c>
      <c r="Y15" s="1">
        <f t="shared" si="0"/>
        <v>17.04</v>
      </c>
      <c r="Z15" s="1">
        <f t="shared" si="1"/>
        <v>19.7</v>
      </c>
      <c r="AA15" s="4">
        <f t="shared" si="2"/>
        <v>16.399999999999999</v>
      </c>
    </row>
    <row r="16" spans="1:29" x14ac:dyDescent="0.25">
      <c r="A16">
        <v>189</v>
      </c>
      <c r="B16" t="s">
        <v>10</v>
      </c>
      <c r="C16">
        <v>29.08</v>
      </c>
      <c r="D16" s="7">
        <f t="shared" si="4"/>
        <v>3.4799999999999969</v>
      </c>
      <c r="E16" s="2">
        <v>17.04</v>
      </c>
      <c r="F16" s="9">
        <f t="shared" si="3"/>
        <v>19.043333333333315</v>
      </c>
      <c r="G16">
        <v>19.7</v>
      </c>
      <c r="H16" s="5"/>
      <c r="J16" s="63" t="s">
        <v>10</v>
      </c>
      <c r="K16" s="64">
        <f>AVERAGEIFS($G$3:$G$30, $B$3:$B$30, J16, $G$3:$G$30, "&lt;&gt;0")</f>
        <v>20.877777777777776</v>
      </c>
      <c r="X16" s="1">
        <f t="shared" si="0"/>
        <v>0.20000000000000284</v>
      </c>
      <c r="Y16" s="1">
        <f t="shared" si="0"/>
        <v>0.23</v>
      </c>
      <c r="Z16" s="1">
        <f t="shared" si="1"/>
        <v>23.2</v>
      </c>
      <c r="AA16" s="4">
        <f t="shared" si="2"/>
        <v>19.7</v>
      </c>
    </row>
    <row r="17" spans="1:33" x14ac:dyDescent="0.25">
      <c r="A17">
        <v>144</v>
      </c>
      <c r="B17" t="s">
        <v>10</v>
      </c>
      <c r="C17">
        <v>29.28</v>
      </c>
      <c r="D17" s="7">
        <f t="shared" si="4"/>
        <v>0.20000000000000284</v>
      </c>
      <c r="E17" s="2">
        <v>0.23</v>
      </c>
      <c r="F17" s="9">
        <f t="shared" si="3"/>
        <v>1.288888888888907</v>
      </c>
      <c r="G17">
        <v>23.2</v>
      </c>
      <c r="H17" s="5"/>
      <c r="J17" s="63" t="s">
        <v>11</v>
      </c>
      <c r="K17" s="64">
        <f t="shared" ref="K17:K18" si="6">AVERAGEIFS($G$3:$G$30, $B$3:$B$30, J17, $G$3:$G$30, "&lt;&gt;0")</f>
        <v>24.6</v>
      </c>
      <c r="X17" s="1">
        <f t="shared" si="0"/>
        <v>1.3999999999999986</v>
      </c>
      <c r="Y17" s="1">
        <f t="shared" si="0"/>
        <v>9.6999999999999993</v>
      </c>
      <c r="Z17" s="1">
        <f t="shared" si="1"/>
        <v>28.7</v>
      </c>
      <c r="AA17" s="4">
        <f t="shared" si="2"/>
        <v>23.2</v>
      </c>
    </row>
    <row r="18" spans="1:33" x14ac:dyDescent="0.25">
      <c r="A18">
        <v>210</v>
      </c>
      <c r="B18" t="s">
        <v>10</v>
      </c>
      <c r="C18">
        <v>30.68</v>
      </c>
      <c r="D18" s="7">
        <f t="shared" si="4"/>
        <v>1.3999999999999986</v>
      </c>
      <c r="E18" s="2">
        <v>9.6999999999999993</v>
      </c>
      <c r="F18" s="9">
        <f t="shared" si="3"/>
        <v>11.161111111111099</v>
      </c>
      <c r="G18">
        <v>28.7</v>
      </c>
      <c r="H18" s="5"/>
      <c r="J18" s="63" t="s">
        <v>12</v>
      </c>
      <c r="K18" s="64">
        <f t="shared" si="6"/>
        <v>19.8</v>
      </c>
      <c r="X18" s="1">
        <f t="shared" si="0"/>
        <v>1.6400000000000006</v>
      </c>
      <c r="Y18" s="1">
        <f t="shared" si="0"/>
        <v>11.11</v>
      </c>
      <c r="Z18" s="1">
        <f t="shared" si="1"/>
        <v>25.6</v>
      </c>
      <c r="AA18" s="4">
        <f t="shared" si="2"/>
        <v>28.7</v>
      </c>
    </row>
    <row r="19" spans="1:33" x14ac:dyDescent="0.25">
      <c r="A19">
        <v>213</v>
      </c>
      <c r="B19" t="s">
        <v>10</v>
      </c>
      <c r="C19">
        <v>32.32</v>
      </c>
      <c r="D19" s="7">
        <f t="shared" si="4"/>
        <v>1.6400000000000006</v>
      </c>
      <c r="E19" s="2">
        <v>11.11</v>
      </c>
      <c r="F19" s="9">
        <f t="shared" si="3"/>
        <v>11.662222222222226</v>
      </c>
      <c r="G19">
        <v>25.6</v>
      </c>
      <c r="H19" s="5"/>
      <c r="J19" s="6"/>
      <c r="K19" s="17"/>
      <c r="X19" s="1">
        <f t="shared" si="0"/>
        <v>2.4799999999999969</v>
      </c>
      <c r="Y19" s="1">
        <f t="shared" si="0"/>
        <v>17.23</v>
      </c>
      <c r="Z19" s="1">
        <f t="shared" si="1"/>
        <v>24.2</v>
      </c>
      <c r="AA19" s="4">
        <f t="shared" si="2"/>
        <v>25.6</v>
      </c>
    </row>
    <row r="20" spans="1:33" x14ac:dyDescent="0.25">
      <c r="A20">
        <v>229</v>
      </c>
      <c r="B20" t="s">
        <v>10</v>
      </c>
      <c r="C20">
        <v>34.799999999999997</v>
      </c>
      <c r="D20" s="7">
        <f t="shared" si="4"/>
        <v>2.4799999999999969</v>
      </c>
      <c r="E20" s="2">
        <v>17.23</v>
      </c>
      <c r="F20" s="9">
        <f t="shared" si="3"/>
        <v>16.671111111111088</v>
      </c>
      <c r="G20">
        <v>24.2</v>
      </c>
      <c r="H20" s="5"/>
      <c r="J20" s="6"/>
      <c r="K20" s="17"/>
      <c r="X20" s="1">
        <f t="shared" si="0"/>
        <v>0.40000000000000568</v>
      </c>
      <c r="Y20" s="1">
        <f t="shared" si="0"/>
        <v>1.4</v>
      </c>
      <c r="Z20" s="1">
        <f t="shared" si="1"/>
        <v>26.5</v>
      </c>
      <c r="AA20" s="4">
        <f t="shared" si="2"/>
        <v>24.2</v>
      </c>
    </row>
    <row r="21" spans="1:33" x14ac:dyDescent="0.25">
      <c r="A21">
        <v>226</v>
      </c>
      <c r="B21" t="s">
        <v>10</v>
      </c>
      <c r="C21">
        <v>35.200000000000003</v>
      </c>
      <c r="D21" s="7">
        <f t="shared" si="4"/>
        <v>0.40000000000000568</v>
      </c>
      <c r="E21" s="2">
        <v>1.4</v>
      </c>
      <c r="F21" s="9">
        <f t="shared" si="3"/>
        <v>2.9444444444444864</v>
      </c>
      <c r="G21">
        <v>26.5</v>
      </c>
      <c r="H21" s="5"/>
      <c r="J21" s="6"/>
      <c r="K21" s="17"/>
      <c r="X21" s="1">
        <f t="shared" si="0"/>
        <v>1.8799999999999955</v>
      </c>
      <c r="Y21" s="1">
        <f t="shared" si="0"/>
        <v>13.42</v>
      </c>
      <c r="Z21" s="1">
        <f t="shared" si="1"/>
        <v>25.4</v>
      </c>
      <c r="AA21" s="4">
        <f t="shared" si="2"/>
        <v>26.5</v>
      </c>
    </row>
    <row r="22" spans="1:33" x14ac:dyDescent="0.25">
      <c r="A22">
        <v>237</v>
      </c>
      <c r="B22" t="s">
        <v>10</v>
      </c>
      <c r="C22">
        <v>37.08</v>
      </c>
      <c r="D22" s="7">
        <f t="shared" si="4"/>
        <v>1.8799999999999955</v>
      </c>
      <c r="E22" s="2">
        <v>13.42</v>
      </c>
      <c r="F22" s="9">
        <f t="shared" si="3"/>
        <v>13.264444444444411</v>
      </c>
      <c r="G22">
        <v>25.4</v>
      </c>
      <c r="H22" s="5"/>
      <c r="J22" s="6"/>
      <c r="K22" s="17"/>
      <c r="X22" s="1">
        <f t="shared" si="0"/>
        <v>1.7199999999999989</v>
      </c>
      <c r="Y22" s="1">
        <f t="shared" si="0"/>
        <v>12.09</v>
      </c>
      <c r="Z22" s="1">
        <f t="shared" si="1"/>
        <v>12.2</v>
      </c>
      <c r="AA22" s="4">
        <f t="shared" si="2"/>
        <v>25.4</v>
      </c>
    </row>
    <row r="23" spans="1:33" x14ac:dyDescent="0.25">
      <c r="A23">
        <v>228</v>
      </c>
      <c r="B23" t="s">
        <v>41</v>
      </c>
      <c r="C23">
        <v>38.799999999999997</v>
      </c>
      <c r="D23" s="7">
        <f t="shared" si="4"/>
        <v>1.7199999999999989</v>
      </c>
      <c r="E23" s="2">
        <v>12.09</v>
      </c>
      <c r="F23" s="9">
        <f t="shared" si="3"/>
        <v>5.8288888888888843</v>
      </c>
      <c r="G23">
        <v>12.2</v>
      </c>
      <c r="H23" s="5"/>
      <c r="J23" s="6"/>
      <c r="K23" s="17"/>
      <c r="X23" s="1">
        <f t="shared" si="0"/>
        <v>3</v>
      </c>
      <c r="Y23" s="1">
        <f t="shared" si="0"/>
        <v>6.62</v>
      </c>
      <c r="Z23" s="1">
        <f t="shared" si="1"/>
        <v>24.7</v>
      </c>
      <c r="AA23" s="4">
        <f t="shared" si="2"/>
        <v>12.2</v>
      </c>
    </row>
    <row r="24" spans="1:33" x14ac:dyDescent="0.25">
      <c r="A24">
        <v>256</v>
      </c>
      <c r="B24" t="s">
        <v>36</v>
      </c>
      <c r="C24">
        <v>41.8</v>
      </c>
      <c r="D24" s="7">
        <f t="shared" si="4"/>
        <v>3</v>
      </c>
      <c r="E24" s="2">
        <v>6.62</v>
      </c>
      <c r="F24" s="9">
        <f t="shared" si="3"/>
        <v>20.583333333333332</v>
      </c>
      <c r="G24">
        <v>24.7</v>
      </c>
      <c r="H24" s="5"/>
      <c r="J24" s="6"/>
      <c r="K24" s="17"/>
      <c r="X24" s="1">
        <f t="shared" si="0"/>
        <v>0.80000000000000426</v>
      </c>
      <c r="Y24" s="1">
        <f t="shared" si="0"/>
        <v>5.83</v>
      </c>
      <c r="Z24" s="1">
        <f t="shared" si="1"/>
        <v>33.200000000000003</v>
      </c>
      <c r="AA24" s="4">
        <f t="shared" si="2"/>
        <v>24.7</v>
      </c>
    </row>
    <row r="25" spans="1:33" x14ac:dyDescent="0.25">
      <c r="A25">
        <v>267</v>
      </c>
      <c r="B25" t="s">
        <v>10</v>
      </c>
      <c r="C25">
        <v>42.6</v>
      </c>
      <c r="D25" s="7">
        <f t="shared" si="4"/>
        <v>0.80000000000000426</v>
      </c>
      <c r="E25" s="2">
        <v>5.83</v>
      </c>
      <c r="F25" s="9">
        <f t="shared" si="3"/>
        <v>7.3777777777778173</v>
      </c>
      <c r="G25">
        <v>33.200000000000003</v>
      </c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33.200000000000003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0.14705882352941177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10</v>
      </c>
      <c r="B35" t="s">
        <v>11</v>
      </c>
      <c r="C35">
        <v>1.4</v>
      </c>
      <c r="D35" s="7">
        <v>0</v>
      </c>
      <c r="E35" s="1">
        <v>0</v>
      </c>
      <c r="F35" s="7">
        <v>0</v>
      </c>
      <c r="G35">
        <v>23</v>
      </c>
      <c r="J35" s="11">
        <v>0.2</v>
      </c>
      <c r="K35" s="12">
        <f t="shared" ref="K35:K44" si="8">SLOPE($E$35:$E$58, $D$35:$D$58) * J35 + INTERCEPT($E$35:$E$58, $D$35:$D$58)</f>
        <v>2.4988400832909896</v>
      </c>
      <c r="X35" s="6"/>
      <c r="Y35" s="22">
        <f t="shared" si="7"/>
        <v>0.25024390243902439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>
        <v>9</v>
      </c>
      <c r="B36" t="s">
        <v>11</v>
      </c>
      <c r="C36">
        <v>2.12</v>
      </c>
      <c r="D36" s="7">
        <f>C36-C35</f>
        <v>0.7200000000000002</v>
      </c>
      <c r="E36" s="2">
        <v>4.62</v>
      </c>
      <c r="F36" s="9">
        <f t="shared" ref="F36:F64" si="14">D36*G36/3.6</f>
        <v>3.9800000000000009</v>
      </c>
      <c r="G36">
        <v>19.899999999999999</v>
      </c>
      <c r="H36" s="5"/>
      <c r="J36" s="11">
        <v>0.4</v>
      </c>
      <c r="K36" s="12">
        <f t="shared" si="8"/>
        <v>2.9986544719092163</v>
      </c>
      <c r="X36" s="6"/>
      <c r="Y36" s="22">
        <f t="shared" si="7"/>
        <v>9.3902439024390244E-2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>
        <v>4</v>
      </c>
      <c r="B37" t="s">
        <v>12</v>
      </c>
      <c r="C37">
        <v>2.72</v>
      </c>
      <c r="D37" s="7">
        <f t="shared" ref="D37:D64" si="15">C37-C36</f>
        <v>0.60000000000000009</v>
      </c>
      <c r="E37" s="2">
        <v>0.42</v>
      </c>
      <c r="F37" s="9">
        <f t="shared" si="14"/>
        <v>3.3666666666666667</v>
      </c>
      <c r="G37">
        <v>20.2</v>
      </c>
      <c r="H37" s="5"/>
      <c r="J37" s="11">
        <v>0.6</v>
      </c>
      <c r="K37" s="12">
        <f t="shared" si="8"/>
        <v>3.4984688605274425</v>
      </c>
      <c r="Y37" s="22">
        <f t="shared" si="7"/>
        <v>0.36411483253588522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>
        <v>18</v>
      </c>
      <c r="B38" t="s">
        <v>11</v>
      </c>
      <c r="C38">
        <v>3.88</v>
      </c>
      <c r="D38" s="7">
        <f t="shared" si="15"/>
        <v>1.1599999999999997</v>
      </c>
      <c r="E38" s="2">
        <v>10.11</v>
      </c>
      <c r="F38" s="9">
        <f t="shared" si="14"/>
        <v>8.5711111111111098</v>
      </c>
      <c r="G38">
        <v>26.6</v>
      </c>
      <c r="H38" s="5"/>
      <c r="J38" s="11">
        <v>0.8</v>
      </c>
      <c r="K38" s="12">
        <f t="shared" si="8"/>
        <v>3.9982832491456692</v>
      </c>
      <c r="Y38" s="22">
        <f t="shared" si="7"/>
        <v>0.4162995594713656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A39">
        <v>17</v>
      </c>
      <c r="B39" t="s">
        <v>12</v>
      </c>
      <c r="C39">
        <v>4.5999999999999996</v>
      </c>
      <c r="D39" s="7">
        <f t="shared" si="15"/>
        <v>0.71999999999999975</v>
      </c>
      <c r="E39" s="2">
        <v>3.39</v>
      </c>
      <c r="F39" s="9">
        <f t="shared" si="14"/>
        <v>4.1799999999999979</v>
      </c>
      <c r="G39">
        <v>20.9</v>
      </c>
      <c r="H39" s="5"/>
      <c r="J39" s="11">
        <v>1</v>
      </c>
      <c r="K39" s="12">
        <f t="shared" si="8"/>
        <v>4.4980976377638955</v>
      </c>
      <c r="Y39" s="22">
        <f t="shared" si="7"/>
        <v>0.44507042253521129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38</v>
      </c>
      <c r="B40" t="s">
        <v>11</v>
      </c>
      <c r="C40">
        <v>5.72</v>
      </c>
      <c r="D40" s="7">
        <f t="shared" si="15"/>
        <v>1.1200000000000001</v>
      </c>
      <c r="E40" s="2">
        <v>6.89</v>
      </c>
      <c r="F40" s="9">
        <f t="shared" si="14"/>
        <v>6.6577777777777776</v>
      </c>
      <c r="G40">
        <v>21.4</v>
      </c>
      <c r="H40" s="5"/>
      <c r="J40" s="11">
        <v>1.2</v>
      </c>
      <c r="K40" s="12">
        <f t="shared" si="8"/>
        <v>4.9979120263821217</v>
      </c>
      <c r="Y40" s="22">
        <f t="shared" si="7"/>
        <v>0.58203592814371263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>
        <v>6</v>
      </c>
      <c r="B41" t="s">
        <v>10</v>
      </c>
      <c r="C41">
        <v>5.8</v>
      </c>
      <c r="D41" s="7">
        <f t="shared" si="15"/>
        <v>8.0000000000000071E-2</v>
      </c>
      <c r="E41" s="2">
        <v>-1.1200000000000001</v>
      </c>
      <c r="F41" s="9">
        <f t="shared" si="14"/>
        <v>0.36000000000000032</v>
      </c>
      <c r="G41">
        <v>16.2</v>
      </c>
      <c r="H41" s="5"/>
      <c r="J41" s="11">
        <v>1.4</v>
      </c>
      <c r="K41" s="12">
        <f t="shared" si="8"/>
        <v>5.497726415000348</v>
      </c>
      <c r="Y41" s="22" t="e">
        <f t="shared" si="7"/>
        <v>#DIV/0!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>
        <v>52</v>
      </c>
      <c r="B42" t="s">
        <v>11</v>
      </c>
      <c r="C42">
        <v>6.4</v>
      </c>
      <c r="D42" s="7">
        <f t="shared" si="15"/>
        <v>0.60000000000000053</v>
      </c>
      <c r="E42" s="2">
        <v>4.22</v>
      </c>
      <c r="F42" s="9">
        <f t="shared" si="14"/>
        <v>3.8666666666666698</v>
      </c>
      <c r="G42">
        <v>23.2</v>
      </c>
      <c r="H42" s="5"/>
      <c r="J42" s="11">
        <v>1.6</v>
      </c>
      <c r="K42" s="12">
        <f t="shared" si="8"/>
        <v>5.9975408036185751</v>
      </c>
      <c r="Y42" s="22">
        <f t="shared" si="7"/>
        <v>0.17372881355932202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>
        <v>40</v>
      </c>
      <c r="B43" t="s">
        <v>12</v>
      </c>
      <c r="C43">
        <v>7.28</v>
      </c>
      <c r="D43" s="7">
        <f t="shared" si="15"/>
        <v>0.87999999999999989</v>
      </c>
      <c r="E43" s="2">
        <v>1.17</v>
      </c>
      <c r="F43" s="9">
        <f t="shared" si="14"/>
        <v>5.0599999999999996</v>
      </c>
      <c r="G43">
        <v>20.7</v>
      </c>
      <c r="H43" s="5"/>
      <c r="J43" s="11">
        <v>1.8</v>
      </c>
      <c r="K43" s="12">
        <f t="shared" si="8"/>
        <v>6.4973551922368014</v>
      </c>
      <c r="Y43" s="22">
        <f t="shared" si="7"/>
        <v>4.5528455284552849E-2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A44">
        <v>39</v>
      </c>
      <c r="B44" t="s">
        <v>11</v>
      </c>
      <c r="C44">
        <v>7.32</v>
      </c>
      <c r="D44" s="7">
        <f t="shared" si="15"/>
        <v>4.0000000000000036E-2</v>
      </c>
      <c r="E44" s="2">
        <v>0.35</v>
      </c>
      <c r="F44" s="9">
        <f t="shared" si="14"/>
        <v>0.23777777777777795</v>
      </c>
      <c r="G44">
        <v>21.4</v>
      </c>
      <c r="H44" s="5"/>
      <c r="J44" s="11">
        <v>2</v>
      </c>
      <c r="K44" s="12">
        <f t="shared" si="8"/>
        <v>6.9971695808550276</v>
      </c>
      <c r="Y44" s="22">
        <f t="shared" si="7"/>
        <v>1.1390728476821192</v>
      </c>
      <c r="Z44" s="1">
        <v>1.6799999999999997</v>
      </c>
    </row>
    <row r="45" spans="1:33" x14ac:dyDescent="0.25">
      <c r="A45">
        <v>48</v>
      </c>
      <c r="B45" t="s">
        <v>10</v>
      </c>
      <c r="C45">
        <v>9.52</v>
      </c>
      <c r="D45" s="7">
        <f t="shared" si="15"/>
        <v>2.1999999999999993</v>
      </c>
      <c r="E45" s="2">
        <v>-0.1</v>
      </c>
      <c r="F45" s="9">
        <f t="shared" si="14"/>
        <v>9.777777777777775</v>
      </c>
      <c r="G45">
        <v>16</v>
      </c>
      <c r="H45" s="5"/>
      <c r="Y45" s="22">
        <f t="shared" si="7"/>
        <v>1.0164634146341465</v>
      </c>
      <c r="Z45" s="1">
        <v>1.6799999999999997</v>
      </c>
    </row>
    <row r="46" spans="1:33" x14ac:dyDescent="0.25">
      <c r="A46">
        <v>59</v>
      </c>
      <c r="B46" t="s">
        <v>11</v>
      </c>
      <c r="C46">
        <v>10.68</v>
      </c>
      <c r="D46" s="7">
        <f t="shared" si="15"/>
        <v>1.1600000000000001</v>
      </c>
      <c r="E46" s="2">
        <v>6.39</v>
      </c>
      <c r="F46" s="9">
        <f t="shared" si="14"/>
        <v>7.3144444444444447</v>
      </c>
      <c r="G46">
        <v>22.7</v>
      </c>
      <c r="H46" s="5"/>
      <c r="J46" s="109" t="s">
        <v>66</v>
      </c>
      <c r="K46" s="109"/>
      <c r="Y46" s="22">
        <f t="shared" si="7"/>
        <v>0.86497461928934005</v>
      </c>
      <c r="Z46" s="1">
        <v>1</v>
      </c>
    </row>
    <row r="47" spans="1:33" x14ac:dyDescent="0.25">
      <c r="A47">
        <v>93</v>
      </c>
      <c r="B47" t="s">
        <v>11</v>
      </c>
      <c r="C47">
        <v>10.8</v>
      </c>
      <c r="D47" s="7">
        <f t="shared" si="15"/>
        <v>0.12000000000000099</v>
      </c>
      <c r="E47" s="2">
        <v>2.82</v>
      </c>
      <c r="F47" s="9">
        <f t="shared" si="14"/>
        <v>0</v>
      </c>
      <c r="G47">
        <v>0</v>
      </c>
      <c r="H47" s="5"/>
      <c r="J47" s="63" t="s">
        <v>10</v>
      </c>
      <c r="K47" s="64">
        <f>AVERAGEIFS($G$35:$G$80, $B$35:$B$80, J47, $G$35:$G$80, "&lt;&gt;0")</f>
        <v>21.511111111111109</v>
      </c>
      <c r="Y47" s="22">
        <f t="shared" si="7"/>
        <v>9.9137931034482766E-3</v>
      </c>
      <c r="Z47" s="1">
        <v>3.4400000000000013</v>
      </c>
    </row>
    <row r="48" spans="1:33" x14ac:dyDescent="0.25">
      <c r="A48">
        <v>70</v>
      </c>
      <c r="B48" t="s">
        <v>12</v>
      </c>
      <c r="C48">
        <v>11.52</v>
      </c>
      <c r="D48" s="7">
        <f t="shared" si="15"/>
        <v>0.71999999999999886</v>
      </c>
      <c r="E48" s="2">
        <v>1.96</v>
      </c>
      <c r="F48" s="9">
        <f t="shared" si="14"/>
        <v>4.7599999999999927</v>
      </c>
      <c r="G48">
        <v>23.8</v>
      </c>
      <c r="H48" s="5"/>
      <c r="J48" s="63" t="s">
        <v>11</v>
      </c>
      <c r="K48" s="64">
        <f t="shared" ref="K48:K49" si="16">AVERAGEIFS($G$35:$G$80, $B$35:$B$80, J48, $G$35:$G$80, "&lt;&gt;0")</f>
        <v>24.764285714285712</v>
      </c>
      <c r="Y48" s="22">
        <f t="shared" si="7"/>
        <v>0.33797909407665505</v>
      </c>
      <c r="Z48" s="1">
        <v>1.1999999999999993</v>
      </c>
    </row>
    <row r="49" spans="1:26" x14ac:dyDescent="0.25">
      <c r="A49">
        <v>89</v>
      </c>
      <c r="B49" t="s">
        <v>11</v>
      </c>
      <c r="C49">
        <v>12.4</v>
      </c>
      <c r="D49" s="7">
        <f t="shared" si="15"/>
        <v>0.88000000000000078</v>
      </c>
      <c r="E49" s="2">
        <v>6.12</v>
      </c>
      <c r="F49" s="9">
        <f t="shared" si="14"/>
        <v>6.1111111111111169</v>
      </c>
      <c r="G49">
        <v>25</v>
      </c>
      <c r="H49" s="5"/>
      <c r="J49" s="63" t="s">
        <v>12</v>
      </c>
      <c r="K49" s="64">
        <f t="shared" si="16"/>
        <v>20.083333333333332</v>
      </c>
      <c r="Y49" s="22">
        <f t="shared" si="7"/>
        <v>0.43398437499999998</v>
      </c>
      <c r="Z49" s="1">
        <v>2.6799999999999997</v>
      </c>
    </row>
    <row r="50" spans="1:26" x14ac:dyDescent="0.25">
      <c r="A50">
        <v>49</v>
      </c>
      <c r="B50" t="s">
        <v>10</v>
      </c>
      <c r="C50">
        <v>13.52</v>
      </c>
      <c r="D50" s="7">
        <f t="shared" si="15"/>
        <v>1.1199999999999992</v>
      </c>
      <c r="E50" s="2">
        <v>4.97</v>
      </c>
      <c r="F50" s="9">
        <f t="shared" si="14"/>
        <v>4.0755555555555523</v>
      </c>
      <c r="G50">
        <v>13.1</v>
      </c>
      <c r="H50" s="5"/>
      <c r="Y50" s="22">
        <f t="shared" si="7"/>
        <v>0.7119834710743802</v>
      </c>
      <c r="Z50" s="1">
        <v>1.5999999999999979</v>
      </c>
    </row>
    <row r="51" spans="1:26" x14ac:dyDescent="0.25">
      <c r="A51">
        <v>103</v>
      </c>
      <c r="B51" t="s">
        <v>11</v>
      </c>
      <c r="C51">
        <v>13.6</v>
      </c>
      <c r="D51" s="7">
        <f t="shared" si="15"/>
        <v>8.0000000000000071E-2</v>
      </c>
      <c r="E51" s="2">
        <v>2.69</v>
      </c>
      <c r="F51" s="9">
        <f t="shared" si="14"/>
        <v>0.56222222222222273</v>
      </c>
      <c r="G51">
        <v>25.3</v>
      </c>
      <c r="H51" s="5"/>
      <c r="Y51" s="22">
        <f t="shared" si="7"/>
        <v>5.2830188679245278E-2</v>
      </c>
      <c r="Z51" s="1">
        <v>1.6000000000000014</v>
      </c>
    </row>
    <row r="52" spans="1:26" x14ac:dyDescent="0.25">
      <c r="A52">
        <v>118</v>
      </c>
      <c r="B52" t="s">
        <v>11</v>
      </c>
      <c r="C52">
        <v>14.72</v>
      </c>
      <c r="D52" s="7">
        <f t="shared" si="15"/>
        <v>1.120000000000001</v>
      </c>
      <c r="E52" s="2">
        <v>7.59</v>
      </c>
      <c r="F52" s="9">
        <f t="shared" si="14"/>
        <v>8.368888888888895</v>
      </c>
      <c r="G52">
        <v>26.9</v>
      </c>
      <c r="H52" s="5"/>
      <c r="Y52" s="22">
        <f t="shared" si="7"/>
        <v>0.52834645669291336</v>
      </c>
      <c r="Z52" s="1">
        <v>1.2000000000000028</v>
      </c>
    </row>
    <row r="53" spans="1:26" x14ac:dyDescent="0.25">
      <c r="A53">
        <v>110</v>
      </c>
      <c r="B53" t="s">
        <v>12</v>
      </c>
      <c r="C53">
        <v>15.12</v>
      </c>
      <c r="D53" s="7">
        <f t="shared" si="15"/>
        <v>0.39999999999999858</v>
      </c>
      <c r="E53" s="2">
        <v>2.7</v>
      </c>
      <c r="F53" s="9">
        <f t="shared" si="14"/>
        <v>1.7888888888888825</v>
      </c>
      <c r="G53">
        <v>16.100000000000001</v>
      </c>
      <c r="H53" s="5"/>
      <c r="Y53" s="22">
        <f t="shared" si="7"/>
        <v>0.99098360655737705</v>
      </c>
      <c r="Z53" s="1">
        <v>0.79999999999999716</v>
      </c>
    </row>
    <row r="54" spans="1:26" x14ac:dyDescent="0.25">
      <c r="A54">
        <v>134</v>
      </c>
      <c r="B54" t="s">
        <v>11</v>
      </c>
      <c r="C54">
        <v>16.72</v>
      </c>
      <c r="D54" s="7">
        <f t="shared" si="15"/>
        <v>1.5999999999999996</v>
      </c>
      <c r="E54" s="2">
        <v>7.24</v>
      </c>
      <c r="F54" s="9">
        <f t="shared" si="14"/>
        <v>8.8888888888888875</v>
      </c>
      <c r="G54">
        <v>20</v>
      </c>
      <c r="H54" s="5"/>
      <c r="Y54" s="22">
        <f t="shared" si="7"/>
        <v>0.26801619433198381</v>
      </c>
      <c r="Z54" s="1">
        <v>1.4799999999999969</v>
      </c>
    </row>
    <row r="55" spans="1:26" x14ac:dyDescent="0.25">
      <c r="A55">
        <v>109</v>
      </c>
      <c r="B55" t="s">
        <v>11</v>
      </c>
      <c r="C55">
        <v>18.8</v>
      </c>
      <c r="D55" s="7">
        <f t="shared" si="15"/>
        <v>2.0800000000000018</v>
      </c>
      <c r="E55" s="2">
        <v>8.0399999999999991</v>
      </c>
      <c r="F55" s="9">
        <f t="shared" si="14"/>
        <v>13.52000000000001</v>
      </c>
      <c r="G55">
        <v>23.4</v>
      </c>
      <c r="H55" s="5"/>
      <c r="Y55" s="22">
        <f t="shared" si="7"/>
        <v>0.1756024096385542</v>
      </c>
      <c r="Z55" s="1">
        <v>0.80000000000000426</v>
      </c>
    </row>
    <row r="56" spans="1:26" x14ac:dyDescent="0.25">
      <c r="A56">
        <v>148</v>
      </c>
      <c r="B56" t="s">
        <v>10</v>
      </c>
      <c r="C56">
        <v>24</v>
      </c>
      <c r="D56" s="7">
        <f t="shared" si="15"/>
        <v>5.1999999999999993</v>
      </c>
      <c r="E56" s="2">
        <v>9.43</v>
      </c>
      <c r="F56" s="9">
        <f t="shared" si="14"/>
        <v>27.011111111111106</v>
      </c>
      <c r="G56">
        <v>18.7</v>
      </c>
      <c r="H56" s="5"/>
      <c r="Y56" s="22" t="e">
        <f t="shared" si="7"/>
        <v>#DIV/0!</v>
      </c>
      <c r="Z56" s="1">
        <v>6</v>
      </c>
    </row>
    <row r="57" spans="1:26" x14ac:dyDescent="0.25">
      <c r="A57">
        <v>176</v>
      </c>
      <c r="B57" t="s">
        <v>10</v>
      </c>
      <c r="C57">
        <v>27.12</v>
      </c>
      <c r="D57" s="7">
        <f t="shared" si="15"/>
        <v>3.120000000000001</v>
      </c>
      <c r="E57" s="2">
        <v>15.94</v>
      </c>
      <c r="F57" s="9">
        <f t="shared" si="14"/>
        <v>23.573333333333338</v>
      </c>
      <c r="G57">
        <v>27.2</v>
      </c>
      <c r="H57" s="5"/>
      <c r="Y57" s="22"/>
    </row>
    <row r="58" spans="1:26" x14ac:dyDescent="0.25">
      <c r="A58">
        <v>202</v>
      </c>
      <c r="B58" t="s">
        <v>12</v>
      </c>
      <c r="C58">
        <v>30.08</v>
      </c>
      <c r="D58" s="7">
        <f t="shared" si="15"/>
        <v>2.9599999999999973</v>
      </c>
      <c r="E58" s="2">
        <v>13.81</v>
      </c>
      <c r="F58" s="9">
        <f t="shared" si="14"/>
        <v>15.457777777777764</v>
      </c>
      <c r="G58">
        <v>18.8</v>
      </c>
      <c r="H58" s="5"/>
    </row>
    <row r="59" spans="1:26" x14ac:dyDescent="0.25">
      <c r="A59">
        <v>208</v>
      </c>
      <c r="B59" t="s">
        <v>10</v>
      </c>
      <c r="C59">
        <v>31.52</v>
      </c>
      <c r="D59" s="7">
        <f t="shared" si="15"/>
        <v>1.4400000000000013</v>
      </c>
      <c r="E59" s="2">
        <v>7.79</v>
      </c>
      <c r="F59" s="9">
        <f t="shared" si="14"/>
        <v>11.280000000000008</v>
      </c>
      <c r="G59">
        <v>28.2</v>
      </c>
      <c r="H59" s="5"/>
    </row>
    <row r="60" spans="1:26" x14ac:dyDescent="0.25">
      <c r="A60">
        <v>222</v>
      </c>
      <c r="B60" t="s">
        <v>10</v>
      </c>
      <c r="C60">
        <v>33.6</v>
      </c>
      <c r="D60" s="7">
        <f t="shared" si="15"/>
        <v>2.0800000000000018</v>
      </c>
      <c r="E60" s="2">
        <v>12.81</v>
      </c>
      <c r="F60" s="9">
        <f t="shared" si="14"/>
        <v>13.693333333333344</v>
      </c>
      <c r="G60">
        <v>23.7</v>
      </c>
      <c r="H60" s="5"/>
    </row>
    <row r="61" spans="1:26" x14ac:dyDescent="0.25">
      <c r="A61">
        <v>226</v>
      </c>
      <c r="B61" t="s">
        <v>10</v>
      </c>
      <c r="C61">
        <v>35.4</v>
      </c>
      <c r="D61" s="7">
        <f t="shared" si="15"/>
        <v>1.7999999999999972</v>
      </c>
      <c r="E61" s="2">
        <v>8.8699999999999992</v>
      </c>
      <c r="F61" s="9">
        <f t="shared" si="14"/>
        <v>13.549999999999978</v>
      </c>
      <c r="G61">
        <v>27.1</v>
      </c>
      <c r="H61" s="5"/>
    </row>
    <row r="62" spans="1:26" x14ac:dyDescent="0.25">
      <c r="A62">
        <v>233</v>
      </c>
      <c r="B62" t="s">
        <v>11</v>
      </c>
      <c r="C62">
        <v>35.479999999999997</v>
      </c>
      <c r="D62" s="7">
        <f t="shared" si="15"/>
        <v>7.9999999999998295E-2</v>
      </c>
      <c r="E62" s="2">
        <v>2.37</v>
      </c>
      <c r="F62" s="9">
        <f t="shared" si="14"/>
        <v>0.60444444444443157</v>
      </c>
      <c r="G62">
        <v>27.2</v>
      </c>
      <c r="H62" s="5"/>
    </row>
    <row r="63" spans="1:26" x14ac:dyDescent="0.25">
      <c r="A63">
        <v>266</v>
      </c>
      <c r="B63" t="s">
        <v>11</v>
      </c>
      <c r="C63">
        <v>37.72</v>
      </c>
      <c r="D63" s="7">
        <f t="shared" si="15"/>
        <v>2.240000000000002</v>
      </c>
      <c r="E63" s="2">
        <v>9.49</v>
      </c>
      <c r="F63" s="9">
        <f t="shared" si="14"/>
        <v>25.32444444444447</v>
      </c>
      <c r="G63">
        <v>40.700000000000003</v>
      </c>
      <c r="H63" s="5"/>
    </row>
    <row r="64" spans="1:26" x14ac:dyDescent="0.25">
      <c r="A64">
        <v>256</v>
      </c>
      <c r="B64" t="s">
        <v>10</v>
      </c>
      <c r="C64">
        <v>42.08</v>
      </c>
      <c r="D64" s="7">
        <f t="shared" si="15"/>
        <v>4.3599999999999994</v>
      </c>
      <c r="E64" s="2">
        <v>8.8000000000000007</v>
      </c>
      <c r="F64" s="9">
        <f t="shared" si="14"/>
        <v>28.339999999999996</v>
      </c>
      <c r="G64">
        <v>23.4</v>
      </c>
      <c r="H64" s="5"/>
    </row>
    <row r="65" spans="4:8" x14ac:dyDescent="0.25">
      <c r="D65" s="7"/>
      <c r="E65" s="2"/>
      <c r="F65" s="9"/>
      <c r="H65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J15:K15"/>
    <mergeCell ref="AD31:AG31"/>
    <mergeCell ref="A33:E33"/>
    <mergeCell ref="A1:E1"/>
    <mergeCell ref="X1:Y1"/>
    <mergeCell ref="Z1:AA1"/>
    <mergeCell ref="AB1:AC1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{303AEF46-6DFF-4B93-AF42-18F32164C293}</x14:id>
        </ext>
      </extLst>
    </cfRule>
  </conditionalFormatting>
  <conditionalFormatting sqref="G35:G65 F3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{D08035C4-2A63-4F45-B5B5-DD22C9A59B96}</x14:id>
        </ext>
      </extLst>
    </cfRule>
  </conditionalFormatting>
  <conditionalFormatting sqref="K3:K13">
    <cfRule type="cellIs" dxfId="17" priority="11" operator="between">
      <formula>4</formula>
      <formula>5</formula>
    </cfRule>
    <cfRule type="cellIs" dxfId="16" priority="12" operator="lessThan">
      <formula>3.99</formula>
    </cfRule>
    <cfRule type="cellIs" dxfId="15" priority="13" operator="greaterThan">
      <formula>5</formula>
    </cfRule>
  </conditionalFormatting>
  <conditionalFormatting sqref="K34:K44">
    <cfRule type="cellIs" dxfId="14" priority="7" operator="between">
      <formula>4</formula>
      <formula>5</formula>
    </cfRule>
    <cfRule type="cellIs" dxfId="13" priority="8" operator="lessThan">
      <formula>3.99</formula>
    </cfRule>
    <cfRule type="cellIs" dxfId="12" priority="9" operator="greaterThan">
      <formula>5</formula>
    </cfRule>
  </conditionalFormatting>
  <conditionalFormatting sqref="AC33:AG43">
    <cfRule type="cellIs" dxfId="11" priority="1" operator="between">
      <formula>4</formula>
      <formula>5</formula>
    </cfRule>
    <cfRule type="cellIs" dxfId="10" priority="2" operator="lessThan">
      <formula>3.99</formula>
    </cfRule>
    <cfRule type="cellIs" dxfId="9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3AEF46-6DFF-4B93-AF42-18F32164C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D08035C4-2A63-4F45-B5B5-DD22C9A59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G35:G65 F35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E63-D4C8-40D7-AA63-8809AE3BC352}">
  <sheetPr codeName="Sheet14"/>
  <dimension ref="A1:AG83"/>
  <sheetViews>
    <sheetView workbookViewId="0">
      <selection activeCell="I57" sqref="I57"/>
    </sheetView>
  </sheetViews>
  <sheetFormatPr defaultRowHeight="15" x14ac:dyDescent="0.25"/>
  <cols>
    <col min="1" max="8" width="10.5703125" customWidth="1"/>
    <col min="14" max="14" width="9.140625" style="8"/>
    <col min="17" max="17" width="9.140625" style="8"/>
    <col min="25" max="29" width="9.140625" style="1"/>
  </cols>
  <sheetData>
    <row r="1" spans="1:29" x14ac:dyDescent="0.25">
      <c r="A1" s="112" t="s">
        <v>19</v>
      </c>
      <c r="B1" s="112"/>
      <c r="C1" s="112"/>
      <c r="D1" s="112"/>
      <c r="E1" s="112"/>
      <c r="F1" s="15"/>
      <c r="G1" s="16"/>
      <c r="H1" s="10"/>
      <c r="X1" s="111" t="s">
        <v>15</v>
      </c>
      <c r="Y1" s="111"/>
      <c r="Z1" s="111" t="s">
        <v>26</v>
      </c>
      <c r="AA1" s="111"/>
      <c r="AB1" s="111" t="s">
        <v>37</v>
      </c>
      <c r="AC1" s="111"/>
    </row>
    <row r="2" spans="1:29" x14ac:dyDescent="0.25">
      <c r="A2" s="2" t="s">
        <v>0</v>
      </c>
      <c r="B2" s="2" t="s">
        <v>1</v>
      </c>
      <c r="C2" s="2" t="s">
        <v>2</v>
      </c>
      <c r="D2" s="14" t="s">
        <v>15</v>
      </c>
      <c r="E2" s="2" t="s">
        <v>4</v>
      </c>
      <c r="F2" s="14" t="s">
        <v>20</v>
      </c>
      <c r="G2" s="2" t="s">
        <v>3</v>
      </c>
      <c r="H2" s="2"/>
      <c r="J2" s="13" t="s">
        <v>15</v>
      </c>
      <c r="K2" s="13" t="s">
        <v>16</v>
      </c>
      <c r="X2" s="19" t="s">
        <v>23</v>
      </c>
      <c r="Y2" s="19" t="s">
        <v>17</v>
      </c>
      <c r="Z2" s="19" t="s">
        <v>24</v>
      </c>
      <c r="AA2" s="19" t="s">
        <v>25</v>
      </c>
      <c r="AB2" s="19" t="s">
        <v>24</v>
      </c>
      <c r="AC2" s="19" t="s">
        <v>25</v>
      </c>
    </row>
    <row r="3" spans="1:29" x14ac:dyDescent="0.25">
      <c r="A3">
        <v>2</v>
      </c>
      <c r="B3" t="s">
        <v>10</v>
      </c>
      <c r="C3">
        <v>1.92</v>
      </c>
      <c r="D3" s="7">
        <v>0</v>
      </c>
      <c r="E3" s="1">
        <v>0</v>
      </c>
      <c r="F3" s="7">
        <v>0</v>
      </c>
      <c r="G3">
        <v>12.7</v>
      </c>
      <c r="J3" s="11">
        <v>0</v>
      </c>
      <c r="K3" s="11">
        <v>0</v>
      </c>
      <c r="X3" s="1">
        <f t="shared" ref="X3:Y27" si="0">D4</f>
        <v>2.16</v>
      </c>
      <c r="Y3" s="1">
        <f t="shared" si="0"/>
        <v>10.54</v>
      </c>
      <c r="Z3" s="1">
        <f t="shared" ref="Z3:Z27" si="1">G4</f>
        <v>17.8</v>
      </c>
      <c r="AA3" s="4">
        <f t="shared" ref="AA3:AA27" si="2">G3</f>
        <v>12.7</v>
      </c>
      <c r="AB3" s="1" t="s">
        <v>10</v>
      </c>
      <c r="AC3" s="1" t="s">
        <v>10</v>
      </c>
    </row>
    <row r="4" spans="1:29" x14ac:dyDescent="0.25">
      <c r="A4">
        <v>4</v>
      </c>
      <c r="B4" t="s">
        <v>10</v>
      </c>
      <c r="C4">
        <v>4.08</v>
      </c>
      <c r="D4" s="7">
        <f>C4-C3</f>
        <v>2.16</v>
      </c>
      <c r="E4" s="2">
        <v>10.54</v>
      </c>
      <c r="F4" s="9">
        <f t="shared" ref="F4:F18" si="3">D4*G4/3.6</f>
        <v>10.680000000000001</v>
      </c>
      <c r="G4">
        <v>17.8</v>
      </c>
      <c r="H4" s="5"/>
      <c r="J4" s="11">
        <v>0.2</v>
      </c>
      <c r="K4" s="12">
        <f>SLOPE($E$3:$E$27, $D$3:$D$27) * J4 + INTERCEPT($E$3:$E$27, $D$3:$D$27)</f>
        <v>4.5305500206033313</v>
      </c>
      <c r="X4" s="1">
        <f t="shared" si="0"/>
        <v>1.92</v>
      </c>
      <c r="Y4" s="1">
        <f t="shared" si="0"/>
        <v>11.88</v>
      </c>
      <c r="Z4" s="1">
        <f t="shared" si="1"/>
        <v>22.9</v>
      </c>
      <c r="AA4" s="4">
        <f t="shared" si="2"/>
        <v>17.8</v>
      </c>
      <c r="AB4" s="1" t="s">
        <v>10</v>
      </c>
      <c r="AC4" s="1" t="s">
        <v>10</v>
      </c>
    </row>
    <row r="5" spans="1:29" x14ac:dyDescent="0.25">
      <c r="A5">
        <v>7</v>
      </c>
      <c r="B5" t="s">
        <v>10</v>
      </c>
      <c r="C5">
        <v>6</v>
      </c>
      <c r="D5" s="7">
        <f t="shared" ref="D5:D18" si="4">C5-C4</f>
        <v>1.92</v>
      </c>
      <c r="E5" s="2">
        <v>11.88</v>
      </c>
      <c r="F5" s="9">
        <f t="shared" si="3"/>
        <v>12.213333333333331</v>
      </c>
      <c r="G5">
        <v>22.9</v>
      </c>
      <c r="H5" s="5"/>
      <c r="J5" s="11">
        <v>0.4</v>
      </c>
      <c r="K5" s="12">
        <f t="shared" ref="K5:K13" si="5">SLOPE($E$3:$E$27, $D$3:$D$27) * J5 + INTERCEPT($E$3:$E$27, $D$3:$D$27)</f>
        <v>5.0297325863886471</v>
      </c>
      <c r="X5" s="1">
        <f t="shared" si="0"/>
        <v>1.88</v>
      </c>
      <c r="Y5" s="1">
        <f t="shared" si="0"/>
        <v>10.32</v>
      </c>
      <c r="Z5" s="1">
        <f t="shared" si="1"/>
        <v>22.6</v>
      </c>
      <c r="AA5" s="4">
        <f t="shared" si="2"/>
        <v>22.9</v>
      </c>
      <c r="AB5" s="1" t="s">
        <v>10</v>
      </c>
      <c r="AC5" s="1" t="s">
        <v>10</v>
      </c>
    </row>
    <row r="6" spans="1:29" x14ac:dyDescent="0.25">
      <c r="A6">
        <v>24</v>
      </c>
      <c r="B6" t="s">
        <v>12</v>
      </c>
      <c r="C6">
        <v>7.88</v>
      </c>
      <c r="D6" s="7">
        <f t="shared" si="4"/>
        <v>1.88</v>
      </c>
      <c r="E6" s="2">
        <v>10.32</v>
      </c>
      <c r="F6" s="9">
        <f t="shared" si="3"/>
        <v>11.802222222222222</v>
      </c>
      <c r="G6">
        <v>22.6</v>
      </c>
      <c r="H6" s="5"/>
      <c r="J6" s="11">
        <v>0.6</v>
      </c>
      <c r="K6" s="12">
        <f t="shared" si="5"/>
        <v>5.5289151521739637</v>
      </c>
      <c r="X6" s="1">
        <f t="shared" si="0"/>
        <v>3.8400000000000007</v>
      </c>
      <c r="Y6" s="1">
        <f t="shared" si="0"/>
        <v>16.62</v>
      </c>
      <c r="Z6" s="1">
        <f t="shared" si="1"/>
        <v>16.899999999999999</v>
      </c>
      <c r="AA6" s="4">
        <f t="shared" si="2"/>
        <v>22.6</v>
      </c>
    </row>
    <row r="7" spans="1:29" x14ac:dyDescent="0.25">
      <c r="A7">
        <v>47</v>
      </c>
      <c r="B7" t="s">
        <v>12</v>
      </c>
      <c r="C7">
        <v>11.72</v>
      </c>
      <c r="D7" s="7">
        <f t="shared" si="4"/>
        <v>3.8400000000000007</v>
      </c>
      <c r="E7" s="2">
        <v>16.62</v>
      </c>
      <c r="F7" s="9">
        <f t="shared" si="3"/>
        <v>18.026666666666667</v>
      </c>
      <c r="G7">
        <v>16.899999999999999</v>
      </c>
      <c r="H7" s="5"/>
      <c r="J7" s="11">
        <v>0.8</v>
      </c>
      <c r="K7" s="12">
        <f t="shared" si="5"/>
        <v>6.0280977179592803</v>
      </c>
      <c r="X7" s="1">
        <f t="shared" si="0"/>
        <v>1.4799999999999986</v>
      </c>
      <c r="Y7" s="1">
        <f t="shared" si="0"/>
        <v>5.21</v>
      </c>
      <c r="Z7" s="1">
        <f t="shared" si="1"/>
        <v>15.2</v>
      </c>
      <c r="AA7" s="4">
        <f t="shared" si="2"/>
        <v>16.899999999999999</v>
      </c>
    </row>
    <row r="8" spans="1:29" x14ac:dyDescent="0.25">
      <c r="A8">
        <v>36</v>
      </c>
      <c r="B8" t="s">
        <v>10</v>
      </c>
      <c r="C8">
        <v>13.2</v>
      </c>
      <c r="D8" s="7">
        <f>C8-C7</f>
        <v>1.4799999999999986</v>
      </c>
      <c r="E8" s="2">
        <v>5.21</v>
      </c>
      <c r="F8" s="9">
        <f t="shared" si="3"/>
        <v>6.2488888888888825</v>
      </c>
      <c r="G8">
        <v>15.2</v>
      </c>
      <c r="H8" s="5"/>
      <c r="J8" s="11">
        <v>1</v>
      </c>
      <c r="K8" s="12">
        <f t="shared" si="5"/>
        <v>6.527280283744596</v>
      </c>
      <c r="X8" s="1">
        <f t="shared" si="0"/>
        <v>1.7200000000000006</v>
      </c>
      <c r="Y8" s="1">
        <f t="shared" si="0"/>
        <v>6.55</v>
      </c>
      <c r="Z8" s="1">
        <f t="shared" si="1"/>
        <v>23.6</v>
      </c>
      <c r="AA8" s="4">
        <f t="shared" si="2"/>
        <v>15.2</v>
      </c>
    </row>
    <row r="9" spans="1:29" x14ac:dyDescent="0.25">
      <c r="A9">
        <v>70</v>
      </c>
      <c r="B9" t="s">
        <v>10</v>
      </c>
      <c r="C9">
        <v>14.92</v>
      </c>
      <c r="D9" s="7">
        <f t="shared" si="4"/>
        <v>1.7200000000000006</v>
      </c>
      <c r="E9" s="2">
        <v>6.55</v>
      </c>
      <c r="F9" s="9">
        <f t="shared" si="3"/>
        <v>11.275555555555561</v>
      </c>
      <c r="G9">
        <v>23.6</v>
      </c>
      <c r="H9" s="5"/>
      <c r="J9" s="11">
        <v>1.2</v>
      </c>
      <c r="K9" s="12">
        <f t="shared" si="5"/>
        <v>7.0264628495299117</v>
      </c>
      <c r="X9" s="1">
        <f t="shared" si="0"/>
        <v>1.2000000000000011</v>
      </c>
      <c r="Y9" s="1">
        <f t="shared" si="0"/>
        <v>7.33</v>
      </c>
      <c r="Z9" s="1">
        <f t="shared" si="1"/>
        <v>20.6</v>
      </c>
      <c r="AA9" s="4">
        <f t="shared" si="2"/>
        <v>23.6</v>
      </c>
    </row>
    <row r="10" spans="1:29" x14ac:dyDescent="0.25">
      <c r="A10">
        <v>69</v>
      </c>
      <c r="B10" t="s">
        <v>10</v>
      </c>
      <c r="C10">
        <v>16.12</v>
      </c>
      <c r="D10" s="7">
        <f t="shared" si="4"/>
        <v>1.2000000000000011</v>
      </c>
      <c r="E10" s="2">
        <v>7.33</v>
      </c>
      <c r="F10" s="9">
        <f t="shared" si="3"/>
        <v>6.8666666666666734</v>
      </c>
      <c r="G10">
        <v>20.6</v>
      </c>
      <c r="H10" s="5"/>
      <c r="J10" s="11">
        <v>1.4</v>
      </c>
      <c r="K10" s="12">
        <f t="shared" si="5"/>
        <v>7.5256454153152283</v>
      </c>
      <c r="X10" s="1">
        <f t="shared" si="0"/>
        <v>0.35999999999999943</v>
      </c>
      <c r="Y10" s="1">
        <f t="shared" si="0"/>
        <v>1.93</v>
      </c>
      <c r="Z10" s="1">
        <f t="shared" si="1"/>
        <v>23.6</v>
      </c>
      <c r="AA10" s="4">
        <f t="shared" si="2"/>
        <v>20.6</v>
      </c>
    </row>
    <row r="11" spans="1:29" x14ac:dyDescent="0.25">
      <c r="A11">
        <v>93</v>
      </c>
      <c r="B11" t="s">
        <v>10</v>
      </c>
      <c r="C11">
        <v>16.48</v>
      </c>
      <c r="D11" s="7">
        <f t="shared" si="4"/>
        <v>0.35999999999999943</v>
      </c>
      <c r="E11" s="2">
        <v>1.93</v>
      </c>
      <c r="F11" s="9">
        <f t="shared" si="3"/>
        <v>2.3599999999999963</v>
      </c>
      <c r="G11">
        <v>23.6</v>
      </c>
      <c r="H11" s="5"/>
      <c r="J11" s="11">
        <v>1.6</v>
      </c>
      <c r="K11" s="12">
        <f t="shared" si="5"/>
        <v>8.024827981100545</v>
      </c>
      <c r="X11" s="1">
        <f t="shared" si="0"/>
        <v>4.32</v>
      </c>
      <c r="Y11" s="1">
        <f t="shared" si="0"/>
        <v>15.7</v>
      </c>
      <c r="Z11" s="1">
        <f t="shared" si="1"/>
        <v>20.399999999999999</v>
      </c>
      <c r="AA11" s="4">
        <f t="shared" si="2"/>
        <v>23.6</v>
      </c>
    </row>
    <row r="12" spans="1:29" x14ac:dyDescent="0.25">
      <c r="A12">
        <v>118</v>
      </c>
      <c r="B12" t="s">
        <v>10</v>
      </c>
      <c r="C12">
        <v>20.8</v>
      </c>
      <c r="D12" s="7">
        <f t="shared" si="4"/>
        <v>4.32</v>
      </c>
      <c r="E12" s="2">
        <v>15.7</v>
      </c>
      <c r="F12" s="9">
        <f t="shared" si="3"/>
        <v>24.48</v>
      </c>
      <c r="G12">
        <v>20.399999999999999</v>
      </c>
      <c r="H12" s="5"/>
      <c r="J12" s="11">
        <v>1.8</v>
      </c>
      <c r="K12" s="12">
        <f t="shared" si="5"/>
        <v>8.5240105468858616</v>
      </c>
      <c r="X12" s="1">
        <f t="shared" si="0"/>
        <v>1.3200000000000003</v>
      </c>
      <c r="Y12" s="1">
        <f t="shared" si="0"/>
        <v>8.1999999999999993</v>
      </c>
      <c r="Z12" s="1">
        <f t="shared" si="1"/>
        <v>21.1</v>
      </c>
      <c r="AA12" s="4">
        <f t="shared" si="2"/>
        <v>20.399999999999999</v>
      </c>
    </row>
    <row r="13" spans="1:29" x14ac:dyDescent="0.25">
      <c r="A13">
        <v>104</v>
      </c>
      <c r="B13" t="s">
        <v>10</v>
      </c>
      <c r="C13">
        <v>22.12</v>
      </c>
      <c r="D13" s="7">
        <f t="shared" si="4"/>
        <v>1.3200000000000003</v>
      </c>
      <c r="E13" s="2">
        <v>8.1999999999999993</v>
      </c>
      <c r="F13" s="9">
        <f t="shared" si="3"/>
        <v>7.7366666666666681</v>
      </c>
      <c r="G13">
        <v>21.1</v>
      </c>
      <c r="H13" s="5"/>
      <c r="J13" s="11">
        <v>2</v>
      </c>
      <c r="K13" s="12">
        <f t="shared" si="5"/>
        <v>9.0231931126711764</v>
      </c>
      <c r="X13" s="1">
        <f t="shared" si="0"/>
        <v>4.8000000000000007</v>
      </c>
      <c r="Y13" s="1">
        <f t="shared" si="0"/>
        <v>18.13</v>
      </c>
      <c r="Z13" s="1">
        <f t="shared" si="1"/>
        <v>26.7</v>
      </c>
      <c r="AA13" s="4">
        <f t="shared" si="2"/>
        <v>21.1</v>
      </c>
    </row>
    <row r="14" spans="1:29" x14ac:dyDescent="0.25">
      <c r="A14">
        <v>163</v>
      </c>
      <c r="B14" t="s">
        <v>10</v>
      </c>
      <c r="C14">
        <v>26.92</v>
      </c>
      <c r="D14" s="7">
        <f t="shared" si="4"/>
        <v>4.8000000000000007</v>
      </c>
      <c r="E14" s="2">
        <v>18.13</v>
      </c>
      <c r="F14" s="9">
        <f t="shared" si="3"/>
        <v>35.600000000000009</v>
      </c>
      <c r="G14">
        <v>26.7</v>
      </c>
      <c r="H14" s="5"/>
      <c r="X14" s="1">
        <f t="shared" si="0"/>
        <v>5.8799999999999955</v>
      </c>
      <c r="Y14" s="1">
        <f t="shared" si="0"/>
        <v>11.74</v>
      </c>
      <c r="Z14" s="1">
        <f t="shared" si="1"/>
        <v>27.7</v>
      </c>
      <c r="AA14" s="4">
        <f t="shared" si="2"/>
        <v>26.7</v>
      </c>
    </row>
    <row r="15" spans="1:29" x14ac:dyDescent="0.25">
      <c r="A15">
        <v>191</v>
      </c>
      <c r="B15" t="s">
        <v>11</v>
      </c>
      <c r="C15">
        <v>32.799999999999997</v>
      </c>
      <c r="D15" s="7">
        <f>C15-C14</f>
        <v>5.8799999999999955</v>
      </c>
      <c r="E15" s="2">
        <v>11.74</v>
      </c>
      <c r="F15" s="9">
        <f t="shared" si="3"/>
        <v>45.243333333333297</v>
      </c>
      <c r="G15">
        <v>27.7</v>
      </c>
      <c r="H15" s="5"/>
      <c r="J15" s="109" t="s">
        <v>66</v>
      </c>
      <c r="K15" s="109"/>
      <c r="X15" s="1">
        <f t="shared" si="0"/>
        <v>2.0800000000000054</v>
      </c>
      <c r="Y15" s="1">
        <f t="shared" si="0"/>
        <v>12.1</v>
      </c>
      <c r="Z15" s="1">
        <f t="shared" si="1"/>
        <v>17.3</v>
      </c>
      <c r="AA15" s="4">
        <f t="shared" si="2"/>
        <v>27.7</v>
      </c>
    </row>
    <row r="16" spans="1:29" x14ac:dyDescent="0.25">
      <c r="A16">
        <v>184</v>
      </c>
      <c r="B16" t="s">
        <v>10</v>
      </c>
      <c r="C16">
        <v>34.880000000000003</v>
      </c>
      <c r="D16" s="7">
        <f t="shared" si="4"/>
        <v>2.0800000000000054</v>
      </c>
      <c r="E16" s="2">
        <v>12.1</v>
      </c>
      <c r="F16" s="9">
        <f t="shared" si="3"/>
        <v>9.9955555555555815</v>
      </c>
      <c r="G16">
        <v>17.3</v>
      </c>
      <c r="H16" s="5"/>
      <c r="J16" s="63" t="s">
        <v>10</v>
      </c>
      <c r="K16" s="64">
        <f>AVERAGEIFS($G$3:$G$30, $B$3:$B$30, J16, $G$3:$G$30, "&lt;&gt;0")</f>
        <v>20.974999999999998</v>
      </c>
      <c r="X16" s="1">
        <f t="shared" si="0"/>
        <v>2.9199999999999946</v>
      </c>
      <c r="Y16" s="1">
        <f t="shared" si="0"/>
        <v>12.15</v>
      </c>
      <c r="Z16" s="1">
        <f t="shared" si="1"/>
        <v>29.8</v>
      </c>
      <c r="AA16" s="4">
        <f t="shared" si="2"/>
        <v>17.3</v>
      </c>
    </row>
    <row r="17" spans="1:33" x14ac:dyDescent="0.25">
      <c r="A17">
        <v>236</v>
      </c>
      <c r="B17" t="s">
        <v>10</v>
      </c>
      <c r="C17">
        <v>37.799999999999997</v>
      </c>
      <c r="D17" s="7">
        <f t="shared" si="4"/>
        <v>2.9199999999999946</v>
      </c>
      <c r="E17" s="2">
        <v>12.15</v>
      </c>
      <c r="F17" s="9">
        <f t="shared" si="3"/>
        <v>24.171111111111063</v>
      </c>
      <c r="G17">
        <v>29.8</v>
      </c>
      <c r="H17" s="5"/>
      <c r="J17" s="63" t="s">
        <v>11</v>
      </c>
      <c r="K17" s="64">
        <f t="shared" ref="K17:K18" si="6">AVERAGEIFS($G$3:$G$30, $B$3:$B$30, J17, $G$3:$G$30, "&lt;&gt;0")</f>
        <v>27.7</v>
      </c>
      <c r="X17" s="1">
        <f t="shared" si="0"/>
        <v>1.2800000000000011</v>
      </c>
      <c r="Y17" s="1">
        <f t="shared" si="0"/>
        <v>8.85</v>
      </c>
      <c r="Z17" s="1">
        <f t="shared" si="1"/>
        <v>0</v>
      </c>
      <c r="AA17" s="4">
        <f t="shared" si="2"/>
        <v>29.8</v>
      </c>
    </row>
    <row r="18" spans="1:33" x14ac:dyDescent="0.25">
      <c r="A18">
        <v>262</v>
      </c>
      <c r="B18" t="s">
        <v>11</v>
      </c>
      <c r="C18">
        <v>39.08</v>
      </c>
      <c r="D18" s="7">
        <f t="shared" si="4"/>
        <v>1.2800000000000011</v>
      </c>
      <c r="E18" s="2">
        <v>8.85</v>
      </c>
      <c r="F18" s="9">
        <f t="shared" si="3"/>
        <v>0</v>
      </c>
      <c r="H18" s="5"/>
      <c r="J18" s="63" t="s">
        <v>12</v>
      </c>
      <c r="K18" s="64">
        <f t="shared" si="6"/>
        <v>19.75</v>
      </c>
      <c r="X18" s="1">
        <f t="shared" si="0"/>
        <v>0</v>
      </c>
      <c r="Y18" s="1">
        <f t="shared" si="0"/>
        <v>0</v>
      </c>
      <c r="Z18" s="1">
        <f t="shared" si="1"/>
        <v>0</v>
      </c>
      <c r="AA18" s="4">
        <f t="shared" si="2"/>
        <v>0</v>
      </c>
    </row>
    <row r="19" spans="1:33" x14ac:dyDescent="0.25">
      <c r="D19" s="7"/>
      <c r="E19" s="2"/>
      <c r="F19" s="9"/>
      <c r="H19" s="5"/>
      <c r="J19" s="6"/>
      <c r="K19" s="17"/>
      <c r="X19" s="1">
        <f t="shared" si="0"/>
        <v>0</v>
      </c>
      <c r="Y19" s="1">
        <f t="shared" si="0"/>
        <v>0</v>
      </c>
      <c r="Z19" s="1">
        <f t="shared" si="1"/>
        <v>0</v>
      </c>
      <c r="AA19" s="4">
        <f t="shared" si="2"/>
        <v>0</v>
      </c>
    </row>
    <row r="20" spans="1:33" x14ac:dyDescent="0.25">
      <c r="D20" s="7"/>
      <c r="E20" s="2"/>
      <c r="F20" s="9"/>
      <c r="H20" s="5"/>
      <c r="J20" s="6"/>
      <c r="K20" s="17"/>
      <c r="X20" s="1">
        <f t="shared" si="0"/>
        <v>0</v>
      </c>
      <c r="Y20" s="1">
        <f t="shared" si="0"/>
        <v>0</v>
      </c>
      <c r="Z20" s="1">
        <f t="shared" si="1"/>
        <v>0</v>
      </c>
      <c r="AA20" s="4">
        <f t="shared" si="2"/>
        <v>0</v>
      </c>
    </row>
    <row r="21" spans="1:33" x14ac:dyDescent="0.25">
      <c r="D21" s="7"/>
      <c r="E21" s="2"/>
      <c r="F21" s="9"/>
      <c r="H21" s="5"/>
      <c r="J21" s="6"/>
      <c r="K21" s="17"/>
      <c r="X21" s="1">
        <f t="shared" si="0"/>
        <v>0</v>
      </c>
      <c r="Y21" s="1">
        <f t="shared" si="0"/>
        <v>0</v>
      </c>
      <c r="Z21" s="1">
        <f t="shared" si="1"/>
        <v>0</v>
      </c>
      <c r="AA21" s="4">
        <f t="shared" si="2"/>
        <v>0</v>
      </c>
    </row>
    <row r="22" spans="1:33" x14ac:dyDescent="0.25">
      <c r="D22" s="7"/>
      <c r="E22" s="2"/>
      <c r="F22" s="9"/>
      <c r="H22" s="5"/>
      <c r="J22" s="6"/>
      <c r="K22" s="17"/>
      <c r="X22" s="1">
        <f t="shared" si="0"/>
        <v>0</v>
      </c>
      <c r="Y22" s="1">
        <f t="shared" si="0"/>
        <v>0</v>
      </c>
      <c r="Z22" s="1">
        <f t="shared" si="1"/>
        <v>0</v>
      </c>
      <c r="AA22" s="4">
        <f t="shared" si="2"/>
        <v>0</v>
      </c>
    </row>
    <row r="23" spans="1:33" x14ac:dyDescent="0.25">
      <c r="D23" s="7"/>
      <c r="E23" s="2"/>
      <c r="F23" s="9"/>
      <c r="H23" s="5"/>
      <c r="J23" s="6"/>
      <c r="K23" s="17"/>
      <c r="X23" s="1">
        <f t="shared" si="0"/>
        <v>0</v>
      </c>
      <c r="Y23" s="1">
        <f t="shared" si="0"/>
        <v>0</v>
      </c>
      <c r="Z23" s="1">
        <f t="shared" si="1"/>
        <v>0</v>
      </c>
      <c r="AA23" s="4">
        <f t="shared" si="2"/>
        <v>0</v>
      </c>
    </row>
    <row r="24" spans="1:33" x14ac:dyDescent="0.25">
      <c r="D24" s="7"/>
      <c r="E24" s="2"/>
      <c r="F24" s="9"/>
      <c r="H24" s="5"/>
      <c r="J24" s="6"/>
      <c r="K24" s="17"/>
      <c r="X24" s="1">
        <f t="shared" si="0"/>
        <v>0</v>
      </c>
      <c r="Y24" s="1">
        <f t="shared" si="0"/>
        <v>0</v>
      </c>
      <c r="Z24" s="1">
        <f t="shared" si="1"/>
        <v>0</v>
      </c>
      <c r="AA24" s="4">
        <f t="shared" si="2"/>
        <v>0</v>
      </c>
    </row>
    <row r="25" spans="1:33" x14ac:dyDescent="0.25">
      <c r="D25" s="7"/>
      <c r="E25" s="2"/>
      <c r="F25" s="9"/>
      <c r="H25" s="5"/>
      <c r="J25" s="6"/>
      <c r="K25" s="17"/>
      <c r="X25" s="1">
        <f t="shared" si="0"/>
        <v>0</v>
      </c>
      <c r="Y25" s="1">
        <f t="shared" si="0"/>
        <v>0</v>
      </c>
      <c r="Z25" s="1">
        <f t="shared" si="1"/>
        <v>0</v>
      </c>
      <c r="AA25" s="4">
        <f t="shared" si="2"/>
        <v>0</v>
      </c>
    </row>
    <row r="26" spans="1:33" x14ac:dyDescent="0.25">
      <c r="D26" s="7"/>
      <c r="E26" s="2"/>
      <c r="F26" s="9"/>
      <c r="H26" s="5"/>
      <c r="J26" s="6"/>
      <c r="K26" s="17"/>
      <c r="X26" s="1">
        <f t="shared" si="0"/>
        <v>0</v>
      </c>
      <c r="Y26" s="1">
        <f t="shared" si="0"/>
        <v>0</v>
      </c>
      <c r="Z26" s="1">
        <f t="shared" si="1"/>
        <v>0</v>
      </c>
      <c r="AA26" s="4">
        <f t="shared" si="2"/>
        <v>0</v>
      </c>
    </row>
    <row r="27" spans="1:33" x14ac:dyDescent="0.25">
      <c r="D27" s="7"/>
      <c r="E27" s="2"/>
      <c r="F27" s="7"/>
      <c r="H27" s="5"/>
      <c r="X27" s="1">
        <f t="shared" si="0"/>
        <v>0</v>
      </c>
      <c r="Y27" s="1">
        <f t="shared" si="0"/>
        <v>0</v>
      </c>
      <c r="Z27" s="1">
        <f t="shared" si="1"/>
        <v>0</v>
      </c>
      <c r="AA27" s="4">
        <f t="shared" si="2"/>
        <v>0</v>
      </c>
    </row>
    <row r="28" spans="1:33" x14ac:dyDescent="0.25">
      <c r="S28" s="3"/>
    </row>
    <row r="30" spans="1:33" x14ac:dyDescent="0.25">
      <c r="X30" s="6"/>
      <c r="Y30" s="18"/>
    </row>
    <row r="31" spans="1:33" x14ac:dyDescent="0.25">
      <c r="X31" s="6"/>
      <c r="Y31" s="18"/>
      <c r="AB31" s="1" t="s">
        <v>40</v>
      </c>
      <c r="AD31" s="110" t="s">
        <v>17</v>
      </c>
      <c r="AE31" s="110"/>
      <c r="AF31" s="110"/>
      <c r="AG31" s="110"/>
    </row>
    <row r="32" spans="1:33" x14ac:dyDescent="0.25">
      <c r="X32" s="6"/>
      <c r="Y32" s="18" t="s">
        <v>38</v>
      </c>
      <c r="Z32" s="1" t="s">
        <v>15</v>
      </c>
      <c r="AB32" s="13" t="s">
        <v>15</v>
      </c>
      <c r="AC32" s="13" t="s">
        <v>38</v>
      </c>
      <c r="AD32" s="13">
        <v>15</v>
      </c>
      <c r="AE32" s="13">
        <v>18</v>
      </c>
      <c r="AF32" s="13">
        <v>20</v>
      </c>
      <c r="AG32" s="13">
        <v>25</v>
      </c>
    </row>
    <row r="33" spans="1:33" x14ac:dyDescent="0.25">
      <c r="A33" s="112" t="s">
        <v>21</v>
      </c>
      <c r="B33" s="112"/>
      <c r="C33" s="112"/>
      <c r="D33" s="112"/>
      <c r="E33" s="112"/>
      <c r="F33" s="15"/>
      <c r="G33" s="16"/>
      <c r="H33" s="10"/>
      <c r="J33" s="13" t="s">
        <v>15</v>
      </c>
      <c r="K33" s="13" t="s">
        <v>16</v>
      </c>
      <c r="X33" s="6"/>
      <c r="Y33" s="1">
        <v>0</v>
      </c>
      <c r="Z33" s="1">
        <v>0</v>
      </c>
      <c r="AB33" s="11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</row>
    <row r="34" spans="1:33" x14ac:dyDescent="0.25">
      <c r="A34" s="2" t="s">
        <v>5</v>
      </c>
      <c r="B34" s="2" t="s">
        <v>6</v>
      </c>
      <c r="C34" s="2" t="s">
        <v>7</v>
      </c>
      <c r="D34" s="14" t="s">
        <v>15</v>
      </c>
      <c r="E34" s="2" t="s">
        <v>9</v>
      </c>
      <c r="F34" s="14" t="s">
        <v>20</v>
      </c>
      <c r="G34" s="2" t="s">
        <v>8</v>
      </c>
      <c r="H34" s="2"/>
      <c r="J34" s="11">
        <v>0</v>
      </c>
      <c r="K34" s="11">
        <v>0</v>
      </c>
      <c r="X34" s="6"/>
      <c r="Y34" s="22">
        <f t="shared" ref="Y34:Y56" si="7">E4/G4</f>
        <v>0.59213483146067414</v>
      </c>
      <c r="Z34" s="1">
        <v>0.39999999999999991</v>
      </c>
      <c r="AB34" s="11">
        <v>0.2</v>
      </c>
      <c r="AC34" s="23" t="e">
        <f>SLOPE($Y$33:$Y$57, $Z$33:$Z$57) * AB34 + INTERCEPT($Y$33:$Y$57, $Z$33:$Z$57)</f>
        <v>#DIV/0!</v>
      </c>
      <c r="AD34" s="23" t="e">
        <f>$AD$32*AC34</f>
        <v>#DIV/0!</v>
      </c>
      <c r="AE34" s="23" t="e">
        <f>$AE$32*AC34</f>
        <v>#DIV/0!</v>
      </c>
      <c r="AF34" s="23" t="e">
        <f>$AF$32*AC34</f>
        <v>#DIV/0!</v>
      </c>
      <c r="AG34" s="23" t="e">
        <f>$AG$32*AC34</f>
        <v>#DIV/0!</v>
      </c>
    </row>
    <row r="35" spans="1:33" x14ac:dyDescent="0.25">
      <c r="A35">
        <v>11</v>
      </c>
      <c r="B35" t="s">
        <v>11</v>
      </c>
      <c r="C35">
        <v>3.52</v>
      </c>
      <c r="D35" s="7">
        <v>0</v>
      </c>
      <c r="E35" s="1">
        <v>0</v>
      </c>
      <c r="F35" s="7">
        <v>0</v>
      </c>
      <c r="G35">
        <v>19.899999999999999</v>
      </c>
      <c r="J35" s="11">
        <v>0.2</v>
      </c>
      <c r="K35" s="12">
        <f t="shared" ref="K35:K44" si="8">SLOPE($E$35:$E$58, $D$35:$D$58) * J35 + INTERCEPT($E$35:$E$58, $D$35:$D$58)</f>
        <v>1.2599405913201565</v>
      </c>
      <c r="X35" s="6"/>
      <c r="Y35" s="22">
        <f t="shared" si="7"/>
        <v>0.51877729257641925</v>
      </c>
      <c r="Z35" s="1">
        <v>1.04</v>
      </c>
      <c r="AB35" s="11">
        <v>0.4</v>
      </c>
      <c r="AC35" s="23" t="e">
        <f t="shared" ref="AC35:AC43" si="9">SLOPE($Y$33:$Y$57, $Z$33:$Z$57) * AB35 + INTERCEPT($Y$33:$Y$57, $Z$33:$Z$57)</f>
        <v>#DIV/0!</v>
      </c>
      <c r="AD35" s="23" t="e">
        <f t="shared" ref="AD35:AD43" si="10">$AD$32*AC35</f>
        <v>#DIV/0!</v>
      </c>
      <c r="AE35" s="23" t="e">
        <f t="shared" ref="AE35:AE43" si="11">$AE$32*AC35</f>
        <v>#DIV/0!</v>
      </c>
      <c r="AF35" s="23" t="e">
        <f t="shared" ref="AF35:AF43" si="12">$AF$32*AC35</f>
        <v>#DIV/0!</v>
      </c>
      <c r="AG35" s="23" t="e">
        <f t="shared" ref="AG35:AG43" si="13">$AG$32*AC35</f>
        <v>#DIV/0!</v>
      </c>
    </row>
    <row r="36" spans="1:33" x14ac:dyDescent="0.25">
      <c r="A36" s="56">
        <v>12</v>
      </c>
      <c r="B36" t="s">
        <v>11</v>
      </c>
      <c r="C36">
        <v>4.12</v>
      </c>
      <c r="D36" s="7">
        <f>C36-C35</f>
        <v>0.60000000000000009</v>
      </c>
      <c r="E36" s="2">
        <v>2.85</v>
      </c>
      <c r="F36" s="9">
        <f t="shared" ref="F36:F61" si="14">D36*G36/3.6</f>
        <v>3.683333333333334</v>
      </c>
      <c r="G36">
        <v>22.1</v>
      </c>
      <c r="H36" s="5"/>
      <c r="J36" s="11">
        <v>0.4</v>
      </c>
      <c r="K36" s="12">
        <f t="shared" si="8"/>
        <v>2.029328323736546</v>
      </c>
      <c r="X36" s="6"/>
      <c r="Y36" s="22">
        <f t="shared" si="7"/>
        <v>0.45663716814159289</v>
      </c>
      <c r="Z36" s="1">
        <v>1.1600000000000001</v>
      </c>
      <c r="AB36" s="11">
        <v>0.6</v>
      </c>
      <c r="AC36" s="23" t="e">
        <f t="shared" si="9"/>
        <v>#DIV/0!</v>
      </c>
      <c r="AD36" s="23" t="e">
        <f t="shared" si="10"/>
        <v>#DIV/0!</v>
      </c>
      <c r="AE36" s="23" t="e">
        <f t="shared" si="11"/>
        <v>#DIV/0!</v>
      </c>
      <c r="AF36" s="23" t="e">
        <f t="shared" si="12"/>
        <v>#DIV/0!</v>
      </c>
      <c r="AG36" s="23" t="e">
        <f t="shared" si="13"/>
        <v>#DIV/0!</v>
      </c>
    </row>
    <row r="37" spans="1:33" x14ac:dyDescent="0.25">
      <c r="A37" s="56">
        <v>44</v>
      </c>
      <c r="B37" t="s">
        <v>11</v>
      </c>
      <c r="C37">
        <v>4.88</v>
      </c>
      <c r="D37" s="7">
        <f t="shared" ref="D37:D61" si="15">C37-C36</f>
        <v>0.75999999999999979</v>
      </c>
      <c r="E37" s="2">
        <v>4.9400000000000004</v>
      </c>
      <c r="F37" s="9">
        <f t="shared" si="14"/>
        <v>0</v>
      </c>
      <c r="G37">
        <v>0</v>
      </c>
      <c r="H37" s="5"/>
      <c r="J37" s="11">
        <v>0.6</v>
      </c>
      <c r="K37" s="12">
        <f t="shared" si="8"/>
        <v>2.7987160561529354</v>
      </c>
      <c r="Y37" s="22">
        <f t="shared" si="7"/>
        <v>0.98343195266272199</v>
      </c>
      <c r="Z37" s="1">
        <v>1.2400000000000002</v>
      </c>
      <c r="AB37" s="11">
        <v>0.8</v>
      </c>
      <c r="AC37" s="23" t="e">
        <f t="shared" si="9"/>
        <v>#DIV/0!</v>
      </c>
      <c r="AD37" s="23" t="e">
        <f t="shared" si="10"/>
        <v>#DIV/0!</v>
      </c>
      <c r="AE37" s="23" t="e">
        <f t="shared" si="11"/>
        <v>#DIV/0!</v>
      </c>
      <c r="AF37" s="23" t="e">
        <f t="shared" si="12"/>
        <v>#DIV/0!</v>
      </c>
      <c r="AG37" s="23" t="e">
        <f t="shared" si="13"/>
        <v>#DIV/0!</v>
      </c>
    </row>
    <row r="38" spans="1:33" x14ac:dyDescent="0.25">
      <c r="A38" s="56">
        <v>30</v>
      </c>
      <c r="B38" t="s">
        <v>11</v>
      </c>
      <c r="C38">
        <v>5.68</v>
      </c>
      <c r="D38" s="7">
        <f t="shared" si="15"/>
        <v>0.79999999999999982</v>
      </c>
      <c r="E38" s="2">
        <v>4.34</v>
      </c>
      <c r="F38" s="9">
        <f t="shared" si="14"/>
        <v>5.3999999999999995</v>
      </c>
      <c r="G38">
        <v>24.3</v>
      </c>
      <c r="H38" s="5"/>
      <c r="J38" s="11">
        <v>0.8</v>
      </c>
      <c r="K38" s="12">
        <f t="shared" si="8"/>
        <v>3.5681037885693252</v>
      </c>
      <c r="Y38" s="22">
        <f t="shared" si="7"/>
        <v>0.34276315789473688</v>
      </c>
      <c r="Z38" s="1">
        <v>2.16</v>
      </c>
      <c r="AB38" s="11">
        <v>1</v>
      </c>
      <c r="AC38" s="23" t="e">
        <f t="shared" si="9"/>
        <v>#DIV/0!</v>
      </c>
      <c r="AD38" s="23" t="e">
        <f t="shared" si="10"/>
        <v>#DIV/0!</v>
      </c>
      <c r="AE38" s="23" t="e">
        <f t="shared" si="11"/>
        <v>#DIV/0!</v>
      </c>
      <c r="AF38" s="23" t="e">
        <f t="shared" si="12"/>
        <v>#DIV/0!</v>
      </c>
      <c r="AG38" s="23" t="e">
        <f t="shared" si="13"/>
        <v>#DIV/0!</v>
      </c>
    </row>
    <row r="39" spans="1:33" x14ac:dyDescent="0.25">
      <c r="A39" s="56">
        <v>35</v>
      </c>
      <c r="B39" t="s">
        <v>11</v>
      </c>
      <c r="C39">
        <v>6.68</v>
      </c>
      <c r="D39" s="7">
        <f t="shared" si="15"/>
        <v>1</v>
      </c>
      <c r="E39" s="2">
        <v>6.51</v>
      </c>
      <c r="F39" s="9">
        <f t="shared" si="14"/>
        <v>6.75</v>
      </c>
      <c r="G39">
        <v>24.3</v>
      </c>
      <c r="H39" s="5"/>
      <c r="J39" s="11">
        <v>1</v>
      </c>
      <c r="K39" s="12">
        <f t="shared" si="8"/>
        <v>4.337491520985715</v>
      </c>
      <c r="Y39" s="22">
        <f t="shared" si="7"/>
        <v>0.27754237288135591</v>
      </c>
      <c r="Z39" s="1">
        <v>2.6399999999999988</v>
      </c>
      <c r="AB39" s="11">
        <v>1.2</v>
      </c>
      <c r="AC39" s="23" t="e">
        <f t="shared" si="9"/>
        <v>#DIV/0!</v>
      </c>
      <c r="AD39" s="23" t="e">
        <f t="shared" si="10"/>
        <v>#DIV/0!</v>
      </c>
      <c r="AE39" s="23" t="e">
        <f t="shared" si="11"/>
        <v>#DIV/0!</v>
      </c>
      <c r="AF39" s="23" t="e">
        <f t="shared" si="12"/>
        <v>#DIV/0!</v>
      </c>
      <c r="AG39" s="23" t="e">
        <f t="shared" si="13"/>
        <v>#DIV/0!</v>
      </c>
    </row>
    <row r="40" spans="1:33" x14ac:dyDescent="0.25">
      <c r="A40">
        <v>24</v>
      </c>
      <c r="B40" t="s">
        <v>12</v>
      </c>
      <c r="C40">
        <v>8</v>
      </c>
      <c r="D40" s="7">
        <f t="shared" si="15"/>
        <v>1.3200000000000003</v>
      </c>
      <c r="E40" s="2">
        <v>6</v>
      </c>
      <c r="F40" s="9">
        <f t="shared" si="14"/>
        <v>7.1133333333333342</v>
      </c>
      <c r="G40">
        <v>19.399999999999999</v>
      </c>
      <c r="H40" s="5"/>
      <c r="J40" s="11">
        <v>1.2</v>
      </c>
      <c r="K40" s="12">
        <f t="shared" si="8"/>
        <v>5.1068792534021039</v>
      </c>
      <c r="Y40" s="22">
        <f t="shared" si="7"/>
        <v>0.35582524271844657</v>
      </c>
      <c r="Z40" s="1">
        <v>2.2000000000000011</v>
      </c>
      <c r="AB40" s="11">
        <v>1.4</v>
      </c>
      <c r="AC40" s="23" t="e">
        <f t="shared" si="9"/>
        <v>#DIV/0!</v>
      </c>
      <c r="AD40" s="23" t="e">
        <f t="shared" si="10"/>
        <v>#DIV/0!</v>
      </c>
      <c r="AE40" s="23" t="e">
        <f t="shared" si="11"/>
        <v>#DIV/0!</v>
      </c>
      <c r="AF40" s="23" t="e">
        <f t="shared" si="12"/>
        <v>#DIV/0!</v>
      </c>
      <c r="AG40" s="23" t="e">
        <f t="shared" si="13"/>
        <v>#DIV/0!</v>
      </c>
    </row>
    <row r="41" spans="1:33" x14ac:dyDescent="0.25">
      <c r="A41">
        <v>20</v>
      </c>
      <c r="B41" t="s">
        <v>12</v>
      </c>
      <c r="C41">
        <v>9.52</v>
      </c>
      <c r="D41" s="7">
        <f t="shared" si="15"/>
        <v>1.5199999999999996</v>
      </c>
      <c r="E41" s="2">
        <v>10.42</v>
      </c>
      <c r="F41" s="9">
        <f t="shared" si="14"/>
        <v>7.6844444444444413</v>
      </c>
      <c r="G41">
        <v>18.2</v>
      </c>
      <c r="H41" s="5"/>
      <c r="J41" s="11">
        <v>1.4</v>
      </c>
      <c r="K41" s="12">
        <f t="shared" si="8"/>
        <v>5.8762669858184937</v>
      </c>
      <c r="Y41" s="22">
        <f t="shared" si="7"/>
        <v>8.177966101694914E-2</v>
      </c>
      <c r="Z41" s="1">
        <v>2.6799999999999997</v>
      </c>
      <c r="AB41" s="11">
        <v>1.6</v>
      </c>
      <c r="AC41" s="23" t="e">
        <f t="shared" si="9"/>
        <v>#DIV/0!</v>
      </c>
      <c r="AD41" s="23" t="e">
        <f t="shared" si="10"/>
        <v>#DIV/0!</v>
      </c>
      <c r="AE41" s="23" t="e">
        <f t="shared" si="11"/>
        <v>#DIV/0!</v>
      </c>
      <c r="AF41" s="23" t="e">
        <f t="shared" si="12"/>
        <v>#DIV/0!</v>
      </c>
      <c r="AG41" s="23" t="e">
        <f t="shared" si="13"/>
        <v>#DIV/0!</v>
      </c>
    </row>
    <row r="42" spans="1:33" x14ac:dyDescent="0.25">
      <c r="A42">
        <v>56</v>
      </c>
      <c r="B42" t="s">
        <v>12</v>
      </c>
      <c r="C42">
        <v>9.68</v>
      </c>
      <c r="D42" s="7">
        <f t="shared" si="15"/>
        <v>0.16000000000000014</v>
      </c>
      <c r="E42" s="2">
        <v>0.77</v>
      </c>
      <c r="F42" s="9">
        <f t="shared" si="14"/>
        <v>0.93333333333333413</v>
      </c>
      <c r="G42">
        <v>21</v>
      </c>
      <c r="H42" s="5"/>
      <c r="J42" s="11">
        <v>1.6</v>
      </c>
      <c r="K42" s="12">
        <f t="shared" si="8"/>
        <v>6.6456547182348835</v>
      </c>
      <c r="Y42" s="22">
        <f t="shared" si="7"/>
        <v>0.76960784313725494</v>
      </c>
      <c r="Z42" s="1">
        <v>1.4800000000000004</v>
      </c>
      <c r="AB42" s="11">
        <v>1.8</v>
      </c>
      <c r="AC42" s="23" t="e">
        <f t="shared" si="9"/>
        <v>#DIV/0!</v>
      </c>
      <c r="AD42" s="23" t="e">
        <f t="shared" si="10"/>
        <v>#DIV/0!</v>
      </c>
      <c r="AE42" s="23" t="e">
        <f t="shared" si="11"/>
        <v>#DIV/0!</v>
      </c>
      <c r="AF42" s="23" t="e">
        <f t="shared" si="12"/>
        <v>#DIV/0!</v>
      </c>
      <c r="AG42" s="23" t="e">
        <f t="shared" si="13"/>
        <v>#DIV/0!</v>
      </c>
    </row>
    <row r="43" spans="1:33" x14ac:dyDescent="0.25">
      <c r="A43">
        <v>60</v>
      </c>
      <c r="B43" t="s">
        <v>12</v>
      </c>
      <c r="C43">
        <v>11.32</v>
      </c>
      <c r="D43" s="7">
        <f t="shared" si="15"/>
        <v>1.6400000000000006</v>
      </c>
      <c r="E43" s="2">
        <v>9.58</v>
      </c>
      <c r="F43" s="9">
        <f t="shared" si="14"/>
        <v>9.3844444444444477</v>
      </c>
      <c r="G43">
        <v>20.6</v>
      </c>
      <c r="H43" s="5"/>
      <c r="J43" s="11">
        <v>1.8</v>
      </c>
      <c r="K43" s="12">
        <f t="shared" si="8"/>
        <v>7.4150424506512724</v>
      </c>
      <c r="Y43" s="22">
        <f t="shared" si="7"/>
        <v>0.38862559241706157</v>
      </c>
      <c r="Z43" s="1">
        <v>1.6400000000000006</v>
      </c>
      <c r="AB43" s="11">
        <v>2</v>
      </c>
      <c r="AC43" s="23" t="e">
        <f t="shared" si="9"/>
        <v>#DIV/0!</v>
      </c>
      <c r="AD43" s="23" t="e">
        <f t="shared" si="10"/>
        <v>#DIV/0!</v>
      </c>
      <c r="AE43" s="23" t="e">
        <f t="shared" si="11"/>
        <v>#DIV/0!</v>
      </c>
      <c r="AF43" s="23" t="e">
        <f t="shared" si="12"/>
        <v>#DIV/0!</v>
      </c>
      <c r="AG43" s="23" t="e">
        <f t="shared" si="13"/>
        <v>#DIV/0!</v>
      </c>
    </row>
    <row r="44" spans="1:33" x14ac:dyDescent="0.25">
      <c r="A44">
        <v>59</v>
      </c>
      <c r="B44" t="s">
        <v>10</v>
      </c>
      <c r="C44">
        <v>12.92</v>
      </c>
      <c r="D44" s="7">
        <f t="shared" si="15"/>
        <v>1.5999999999999996</v>
      </c>
      <c r="E44" s="2">
        <v>6.97</v>
      </c>
      <c r="F44" s="9">
        <f t="shared" si="14"/>
        <v>9.4222222222222207</v>
      </c>
      <c r="G44">
        <v>21.2</v>
      </c>
      <c r="H44" s="5"/>
      <c r="J44" s="11">
        <v>2</v>
      </c>
      <c r="K44" s="12">
        <f t="shared" si="8"/>
        <v>8.1844301830676613</v>
      </c>
      <c r="Y44" s="22">
        <f t="shared" si="7"/>
        <v>0.67902621722846435</v>
      </c>
      <c r="Z44" s="1">
        <v>1.6799999999999997</v>
      </c>
    </row>
    <row r="45" spans="1:33" x14ac:dyDescent="0.25">
      <c r="A45">
        <v>65</v>
      </c>
      <c r="B45" t="s">
        <v>10</v>
      </c>
      <c r="C45">
        <v>13.08</v>
      </c>
      <c r="D45" s="7">
        <f t="shared" si="15"/>
        <v>0.16000000000000014</v>
      </c>
      <c r="E45" s="2">
        <v>-0.47</v>
      </c>
      <c r="F45" s="9">
        <f t="shared" si="14"/>
        <v>0.9511111111111118</v>
      </c>
      <c r="G45">
        <v>21.4</v>
      </c>
      <c r="H45" s="5"/>
      <c r="Y45" s="22">
        <f t="shared" si="7"/>
        <v>0.42382671480144407</v>
      </c>
      <c r="Z45" s="1">
        <v>1.6799999999999997</v>
      </c>
    </row>
    <row r="46" spans="1:33" x14ac:dyDescent="0.25">
      <c r="A46">
        <v>70</v>
      </c>
      <c r="B46" t="s">
        <v>10</v>
      </c>
      <c r="C46">
        <v>15.2</v>
      </c>
      <c r="D46" s="7">
        <f t="shared" si="15"/>
        <v>2.1199999999999992</v>
      </c>
      <c r="E46" s="2">
        <v>14.51</v>
      </c>
      <c r="F46" s="9">
        <f t="shared" si="14"/>
        <v>13.95666666666666</v>
      </c>
      <c r="G46">
        <v>23.7</v>
      </c>
      <c r="H46" s="5"/>
      <c r="J46" s="109" t="s">
        <v>66</v>
      </c>
      <c r="K46" s="109"/>
      <c r="Y46" s="22">
        <f t="shared" si="7"/>
        <v>0.699421965317919</v>
      </c>
      <c r="Z46" s="1">
        <v>1</v>
      </c>
    </row>
    <row r="47" spans="1:33" x14ac:dyDescent="0.25">
      <c r="A47">
        <v>90</v>
      </c>
      <c r="B47" t="s">
        <v>11</v>
      </c>
      <c r="C47">
        <v>15.2</v>
      </c>
      <c r="D47" s="7">
        <f t="shared" si="15"/>
        <v>0</v>
      </c>
      <c r="E47" s="2">
        <v>2.41</v>
      </c>
      <c r="F47" s="9">
        <f t="shared" si="14"/>
        <v>0</v>
      </c>
      <c r="G47">
        <v>25.6</v>
      </c>
      <c r="H47" s="5"/>
      <c r="J47" s="63" t="s">
        <v>10</v>
      </c>
      <c r="K47" s="64">
        <f>AVERAGEIFS($G$35:$G$80, $B$35:$B$80, J47, $G$35:$G$80, "&lt;&gt;0")</f>
        <v>21.674999999999997</v>
      </c>
      <c r="Y47" s="22">
        <f t="shared" si="7"/>
        <v>0.40771812080536912</v>
      </c>
      <c r="Z47" s="1">
        <v>3.4400000000000013</v>
      </c>
    </row>
    <row r="48" spans="1:33" x14ac:dyDescent="0.25">
      <c r="A48">
        <v>93</v>
      </c>
      <c r="B48" t="s">
        <v>10</v>
      </c>
      <c r="C48">
        <v>16.68</v>
      </c>
      <c r="D48" s="7">
        <f t="shared" si="15"/>
        <v>1.4800000000000004</v>
      </c>
      <c r="E48" s="2">
        <v>7.64</v>
      </c>
      <c r="F48" s="9">
        <f t="shared" si="14"/>
        <v>9.620000000000001</v>
      </c>
      <c r="G48">
        <v>23.4</v>
      </c>
      <c r="H48" s="5"/>
      <c r="J48" s="63" t="s">
        <v>11</v>
      </c>
      <c r="K48" s="64">
        <f t="shared" ref="K48:K49" si="16">AVERAGEIFS($G$35:$G$80, $B$35:$B$80, J48, $G$35:$G$80, "&lt;&gt;0")</f>
        <v>22.759999999999998</v>
      </c>
      <c r="Y48" s="22" t="e">
        <f t="shared" si="7"/>
        <v>#DIV/0!</v>
      </c>
      <c r="Z48" s="1">
        <v>1.1999999999999993</v>
      </c>
    </row>
    <row r="49" spans="1:26" x14ac:dyDescent="0.25">
      <c r="A49">
        <v>110</v>
      </c>
      <c r="B49" t="s">
        <v>12</v>
      </c>
      <c r="C49">
        <v>19.48</v>
      </c>
      <c r="D49" s="7">
        <f t="shared" si="15"/>
        <v>2.8000000000000007</v>
      </c>
      <c r="E49" s="2">
        <v>15.61</v>
      </c>
      <c r="F49" s="9">
        <f t="shared" si="14"/>
        <v>16.100000000000005</v>
      </c>
      <c r="G49">
        <v>20.7</v>
      </c>
      <c r="H49" s="5"/>
      <c r="J49" s="63" t="s">
        <v>12</v>
      </c>
      <c r="K49" s="64">
        <f t="shared" si="16"/>
        <v>19.979999999999997</v>
      </c>
      <c r="Y49" s="22" t="e">
        <f t="shared" si="7"/>
        <v>#DIV/0!</v>
      </c>
      <c r="Z49" s="1">
        <v>2.6799999999999997</v>
      </c>
    </row>
    <row r="50" spans="1:26" x14ac:dyDescent="0.25">
      <c r="A50">
        <v>134</v>
      </c>
      <c r="B50" t="s">
        <v>11</v>
      </c>
      <c r="C50">
        <v>20.12</v>
      </c>
      <c r="D50" s="7">
        <f t="shared" si="15"/>
        <v>0.64000000000000057</v>
      </c>
      <c r="E50" s="2">
        <v>4.99</v>
      </c>
      <c r="F50" s="9">
        <f t="shared" si="14"/>
        <v>4.5333333333333377</v>
      </c>
      <c r="G50">
        <v>25.5</v>
      </c>
      <c r="H50" s="5"/>
      <c r="Y50" s="22" t="e">
        <f t="shared" si="7"/>
        <v>#DIV/0!</v>
      </c>
      <c r="Z50" s="1">
        <v>1.5999999999999979</v>
      </c>
    </row>
    <row r="51" spans="1:26" x14ac:dyDescent="0.25">
      <c r="A51">
        <v>141</v>
      </c>
      <c r="B51" t="s">
        <v>11</v>
      </c>
      <c r="C51">
        <v>20.399999999999999</v>
      </c>
      <c r="D51" s="7">
        <f t="shared" si="15"/>
        <v>0.27999999999999758</v>
      </c>
      <c r="E51" s="2">
        <v>1.88</v>
      </c>
      <c r="F51" s="9">
        <f t="shared" si="14"/>
        <v>0</v>
      </c>
      <c r="G51">
        <v>0</v>
      </c>
      <c r="H51" s="5"/>
      <c r="Y51" s="22" t="e">
        <f t="shared" si="7"/>
        <v>#DIV/0!</v>
      </c>
      <c r="Z51" s="1">
        <v>1.6000000000000014</v>
      </c>
    </row>
    <row r="52" spans="1:26" x14ac:dyDescent="0.25">
      <c r="A52">
        <v>120</v>
      </c>
      <c r="B52" t="s">
        <v>10</v>
      </c>
      <c r="C52">
        <v>22.2</v>
      </c>
      <c r="D52" s="7">
        <f t="shared" si="15"/>
        <v>1.8000000000000007</v>
      </c>
      <c r="E52" s="2">
        <v>-0.53</v>
      </c>
      <c r="F52" s="9">
        <f t="shared" si="14"/>
        <v>13.100000000000005</v>
      </c>
      <c r="G52">
        <v>26.2</v>
      </c>
      <c r="H52" s="5"/>
      <c r="Y52" s="22" t="e">
        <f t="shared" si="7"/>
        <v>#DIV/0!</v>
      </c>
      <c r="Z52" s="1">
        <v>1.2000000000000028</v>
      </c>
    </row>
    <row r="53" spans="1:26" x14ac:dyDescent="0.25">
      <c r="A53">
        <v>153</v>
      </c>
      <c r="B53" t="s">
        <v>14</v>
      </c>
      <c r="C53">
        <v>22.28</v>
      </c>
      <c r="D53" s="7">
        <f t="shared" si="15"/>
        <v>8.0000000000001847E-2</v>
      </c>
      <c r="E53" s="2">
        <v>0.87</v>
      </c>
      <c r="F53" s="9">
        <f t="shared" si="14"/>
        <v>0</v>
      </c>
      <c r="G53">
        <v>0</v>
      </c>
      <c r="H53" s="5"/>
      <c r="Y53" s="22" t="e">
        <f t="shared" si="7"/>
        <v>#DIV/0!</v>
      </c>
      <c r="Z53" s="1">
        <v>0.79999999999999716</v>
      </c>
    </row>
    <row r="54" spans="1:26" x14ac:dyDescent="0.25">
      <c r="A54">
        <v>166</v>
      </c>
      <c r="B54" t="s">
        <v>41</v>
      </c>
      <c r="C54">
        <v>23.72</v>
      </c>
      <c r="D54" s="7">
        <f t="shared" si="15"/>
        <v>1.4399999999999977</v>
      </c>
      <c r="E54" s="2">
        <v>1.1399999999999999</v>
      </c>
      <c r="F54" s="9">
        <f t="shared" si="14"/>
        <v>0</v>
      </c>
      <c r="G54">
        <v>0</v>
      </c>
      <c r="H54" s="5"/>
      <c r="Y54" s="22" t="e">
        <f t="shared" si="7"/>
        <v>#DIV/0!</v>
      </c>
      <c r="Z54" s="1">
        <v>1.4799999999999969</v>
      </c>
    </row>
    <row r="55" spans="1:26" x14ac:dyDescent="0.25">
      <c r="A55">
        <v>132</v>
      </c>
      <c r="B55" t="s">
        <v>10</v>
      </c>
      <c r="C55">
        <v>24</v>
      </c>
      <c r="D55" s="7">
        <f t="shared" si="15"/>
        <v>0.28000000000000114</v>
      </c>
      <c r="E55" s="2">
        <v>-1.65</v>
      </c>
      <c r="F55" s="9">
        <f t="shared" si="14"/>
        <v>2.3800000000000097</v>
      </c>
      <c r="G55">
        <v>30.6</v>
      </c>
      <c r="H55" s="5"/>
      <c r="Y55" s="22" t="e">
        <f t="shared" si="7"/>
        <v>#DIV/0!</v>
      </c>
      <c r="Z55" s="1">
        <v>0.80000000000000426</v>
      </c>
    </row>
    <row r="56" spans="1:26" x14ac:dyDescent="0.25">
      <c r="A56">
        <v>176</v>
      </c>
      <c r="B56" t="s">
        <v>11</v>
      </c>
      <c r="C56">
        <v>27.92</v>
      </c>
      <c r="D56" s="7">
        <f t="shared" si="15"/>
        <v>3.9200000000000017</v>
      </c>
      <c r="E56" s="2">
        <v>15.65</v>
      </c>
      <c r="F56" s="9">
        <f t="shared" si="14"/>
        <v>29.726666666666681</v>
      </c>
      <c r="G56">
        <v>27.3</v>
      </c>
      <c r="H56" s="5"/>
      <c r="Y56" s="22" t="e">
        <f t="shared" si="7"/>
        <v>#DIV/0!</v>
      </c>
      <c r="Z56" s="1">
        <v>6</v>
      </c>
    </row>
    <row r="57" spans="1:26" x14ac:dyDescent="0.25">
      <c r="A57">
        <v>143</v>
      </c>
      <c r="B57" t="s">
        <v>10</v>
      </c>
      <c r="C57">
        <v>31.6</v>
      </c>
      <c r="D57" s="7">
        <f t="shared" si="15"/>
        <v>3.6799999999999997</v>
      </c>
      <c r="E57" s="2">
        <v>10.34</v>
      </c>
      <c r="F57" s="9">
        <f t="shared" si="14"/>
        <v>6.3377777777777773</v>
      </c>
      <c r="G57">
        <v>6.2</v>
      </c>
      <c r="H57" s="5"/>
      <c r="Y57" s="22"/>
    </row>
    <row r="58" spans="1:26" x14ac:dyDescent="0.25">
      <c r="A58">
        <v>178</v>
      </c>
      <c r="B58" t="s">
        <v>10</v>
      </c>
      <c r="C58">
        <v>32.68</v>
      </c>
      <c r="D58" s="7">
        <f t="shared" si="15"/>
        <v>1.0799999999999983</v>
      </c>
      <c r="E58" s="2">
        <v>-0.82</v>
      </c>
      <c r="F58" s="9">
        <f t="shared" si="14"/>
        <v>6.2099999999999893</v>
      </c>
      <c r="G58">
        <v>20.7</v>
      </c>
      <c r="H58" s="5"/>
    </row>
    <row r="59" spans="1:26" x14ac:dyDescent="0.25">
      <c r="A59">
        <v>223</v>
      </c>
      <c r="B59" t="s">
        <v>11</v>
      </c>
      <c r="C59">
        <v>33.68</v>
      </c>
      <c r="D59" s="7">
        <f t="shared" si="15"/>
        <v>1</v>
      </c>
      <c r="E59" s="2">
        <v>6.69</v>
      </c>
      <c r="F59" s="9">
        <f t="shared" si="14"/>
        <v>2.6388888888888888</v>
      </c>
      <c r="G59">
        <v>9.5</v>
      </c>
      <c r="H59" s="5"/>
    </row>
    <row r="60" spans="1:26" x14ac:dyDescent="0.25">
      <c r="A60">
        <v>207</v>
      </c>
      <c r="B60" t="s">
        <v>11</v>
      </c>
      <c r="C60">
        <v>34.119999999999997</v>
      </c>
      <c r="D60" s="7">
        <f t="shared" si="15"/>
        <v>0.43999999999999773</v>
      </c>
      <c r="E60" s="2">
        <v>2.1800000000000002</v>
      </c>
      <c r="F60" s="9">
        <f t="shared" si="14"/>
        <v>3.1777777777777612</v>
      </c>
      <c r="G60">
        <v>26</v>
      </c>
      <c r="H60" s="5"/>
    </row>
    <row r="61" spans="1:26" x14ac:dyDescent="0.25">
      <c r="A61">
        <v>239</v>
      </c>
      <c r="B61" t="s">
        <v>11</v>
      </c>
      <c r="C61">
        <v>37.28</v>
      </c>
      <c r="D61" s="7">
        <f t="shared" si="15"/>
        <v>3.1600000000000037</v>
      </c>
      <c r="E61" s="2">
        <v>-0.03</v>
      </c>
      <c r="F61" s="9">
        <f t="shared" si="14"/>
        <v>20.276666666666692</v>
      </c>
      <c r="G61">
        <v>23.1</v>
      </c>
      <c r="H61" s="5"/>
    </row>
    <row r="82" spans="4:4" x14ac:dyDescent="0.25">
      <c r="D82" s="3"/>
    </row>
    <row r="83" spans="4:4" x14ac:dyDescent="0.25">
      <c r="D83" s="3"/>
    </row>
  </sheetData>
  <mergeCells count="8">
    <mergeCell ref="J46:K46"/>
    <mergeCell ref="J15:K15"/>
    <mergeCell ref="AD31:AG31"/>
    <mergeCell ref="A33:E33"/>
    <mergeCell ref="A1:E1"/>
    <mergeCell ref="X1:Y1"/>
    <mergeCell ref="Z1:AA1"/>
    <mergeCell ref="AB1:AC1"/>
  </mergeCells>
  <conditionalFormatting sqref="G3:G27 F3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{7FF4F308-DE03-4442-B27A-A6285837E9F9}</x14:id>
        </ext>
      </extLst>
    </cfRule>
  </conditionalFormatting>
  <conditionalFormatting sqref="G35:G61 F3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{65076AD8-5E8F-4FFB-8445-CB1B63069ACD}</x14:id>
        </ext>
      </extLst>
    </cfRule>
  </conditionalFormatting>
  <conditionalFormatting sqref="K3:K13">
    <cfRule type="cellIs" dxfId="8" priority="11" operator="between">
      <formula>4</formula>
      <formula>5</formula>
    </cfRule>
    <cfRule type="cellIs" dxfId="7" priority="12" operator="lessThan">
      <formula>3.99</formula>
    </cfRule>
    <cfRule type="cellIs" dxfId="6" priority="13" operator="greaterThan">
      <formula>5</formula>
    </cfRule>
  </conditionalFormatting>
  <conditionalFormatting sqref="K34:K44">
    <cfRule type="cellIs" dxfId="5" priority="7" operator="between">
      <formula>4</formula>
      <formula>5</formula>
    </cfRule>
    <cfRule type="cellIs" dxfId="4" priority="8" operator="lessThan">
      <formula>3.99</formula>
    </cfRule>
    <cfRule type="cellIs" dxfId="3" priority="9" operator="greaterThan">
      <formula>5</formula>
    </cfRule>
  </conditionalFormatting>
  <conditionalFormatting sqref="AC33:AG43">
    <cfRule type="cellIs" dxfId="2" priority="1" operator="between">
      <formula>4</formula>
      <formula>5</formula>
    </cfRule>
    <cfRule type="cellIs" dxfId="1" priority="2" operator="lessThan">
      <formula>3.99</formula>
    </cfRule>
    <cfRule type="cellIs" dxfId="0" priority="3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4F308-DE03-4442-B27A-A6285837E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G3:G27 F3</xm:sqref>
        </x14:conditionalFormatting>
        <x14:conditionalFormatting xmlns:xm="http://schemas.microsoft.com/office/excel/2006/main">
          <x14:cfRule type="dataBar" id="{65076AD8-5E8F-4FFB-8445-CB1B63069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G35:G61 F35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B7FA-08DD-4041-95B8-8AFE4BBE439B}">
  <dimension ref="A1:AA114"/>
  <sheetViews>
    <sheetView topLeftCell="B1" workbookViewId="0">
      <pane ySplit="1" topLeftCell="A26" activePane="bottomLeft" state="frozen"/>
      <selection pane="bottomLeft" activeCell="W1" sqref="W1"/>
    </sheetView>
  </sheetViews>
  <sheetFormatPr defaultRowHeight="15" x14ac:dyDescent="0.25"/>
  <cols>
    <col min="2" max="2" width="8.7109375" customWidth="1"/>
    <col min="6" max="6" width="11.28515625" customWidth="1"/>
    <col min="24" max="24" width="16" customWidth="1"/>
    <col min="25" max="27" width="11.85546875" customWidth="1"/>
    <col min="29" max="30" width="9.28515625" bestFit="1" customWidth="1"/>
    <col min="31" max="31" width="9.42578125" bestFit="1" customWidth="1"/>
  </cols>
  <sheetData>
    <row r="1" spans="1:12" ht="45" x14ac:dyDescent="0.25">
      <c r="A1" s="2" t="s">
        <v>23</v>
      </c>
      <c r="B1" s="2" t="s">
        <v>27</v>
      </c>
      <c r="C1" s="2" t="s">
        <v>28</v>
      </c>
      <c r="D1" s="2" t="s">
        <v>15</v>
      </c>
      <c r="E1" s="2" t="s">
        <v>17</v>
      </c>
      <c r="F1" s="20" t="s">
        <v>29</v>
      </c>
      <c r="G1" s="2" t="s">
        <v>26</v>
      </c>
      <c r="H1" s="20" t="s">
        <v>39</v>
      </c>
      <c r="I1" s="20" t="s">
        <v>61</v>
      </c>
    </row>
    <row r="2" spans="1:12" x14ac:dyDescent="0.25">
      <c r="A2" s="98">
        <v>3.35</v>
      </c>
      <c r="B2" s="33" t="s">
        <v>30</v>
      </c>
      <c r="C2" s="33" t="s">
        <v>30</v>
      </c>
      <c r="D2" s="34">
        <v>0</v>
      </c>
      <c r="E2" s="34">
        <v>0</v>
      </c>
      <c r="F2" s="34">
        <v>0</v>
      </c>
      <c r="G2" s="33" t="s">
        <v>30</v>
      </c>
      <c r="H2" s="34">
        <v>0</v>
      </c>
      <c r="I2" s="48">
        <v>0</v>
      </c>
      <c r="K2" s="13" t="s">
        <v>15</v>
      </c>
      <c r="L2" s="13" t="s">
        <v>16</v>
      </c>
    </row>
    <row r="3" spans="1:12" x14ac:dyDescent="0.25">
      <c r="A3" s="99"/>
      <c r="B3">
        <v>12</v>
      </c>
      <c r="C3" t="s">
        <v>10</v>
      </c>
      <c r="D3" s="3">
        <v>2.16</v>
      </c>
      <c r="E3">
        <v>9.4</v>
      </c>
      <c r="F3" s="3">
        <v>9.9600000000000026</v>
      </c>
      <c r="G3">
        <v>16.600000000000001</v>
      </c>
      <c r="H3" s="3">
        <f>E3/G3</f>
        <v>0.56626506024096379</v>
      </c>
      <c r="I3" s="35">
        <v>1.522331008583691</v>
      </c>
      <c r="J3" s="3"/>
      <c r="K3" s="11">
        <v>0</v>
      </c>
      <c r="L3" s="11">
        <v>0</v>
      </c>
    </row>
    <row r="4" spans="1:12" x14ac:dyDescent="0.25">
      <c r="A4" s="99"/>
      <c r="B4">
        <v>52</v>
      </c>
      <c r="C4" t="s">
        <v>10</v>
      </c>
      <c r="D4" s="3">
        <v>2.6399999999999988</v>
      </c>
      <c r="E4">
        <v>10.42</v>
      </c>
      <c r="F4" s="3">
        <v>12.906666666666663</v>
      </c>
      <c r="G4">
        <v>17.600000000000001</v>
      </c>
      <c r="H4" s="3">
        <f>E4/G4</f>
        <v>0.59204545454545454</v>
      </c>
      <c r="I4" s="35">
        <v>1.6651866066701959</v>
      </c>
      <c r="J4" s="3"/>
      <c r="K4" s="11">
        <v>0.2</v>
      </c>
      <c r="L4" s="12">
        <f>SLOPE($E$3:$E$101, $D$3:$D$101) * K4 + INTERCEPT($E$3:$E$101, $D$3:$D$101)</f>
        <v>1.9502269443563476</v>
      </c>
    </row>
    <row r="5" spans="1:12" x14ac:dyDescent="0.25">
      <c r="A5" s="99"/>
      <c r="B5">
        <v>120</v>
      </c>
      <c r="C5" t="s">
        <v>10</v>
      </c>
      <c r="D5" s="3">
        <v>1.6799999999999997</v>
      </c>
      <c r="E5">
        <v>8.8800000000000008</v>
      </c>
      <c r="F5" s="3">
        <v>11.199999999999998</v>
      </c>
      <c r="G5">
        <v>24</v>
      </c>
      <c r="H5" s="3">
        <f t="shared" ref="H5" si="0">E5/G5</f>
        <v>0.37000000000000005</v>
      </c>
      <c r="I5" s="35">
        <v>1.3082723279648609</v>
      </c>
      <c r="J5" s="3"/>
      <c r="K5" s="11">
        <v>0.4</v>
      </c>
      <c r="L5" s="12">
        <f t="shared" ref="L5:L13" si="1">SLOPE($E$3:$E$104, $D$3:$D$104) * K5 + INTERCEPT($E$3:$E$104, $D$3:$D$104)</f>
        <v>2.9101838381151506</v>
      </c>
    </row>
    <row r="6" spans="1:12" x14ac:dyDescent="0.25">
      <c r="A6" s="99"/>
      <c r="B6">
        <v>189</v>
      </c>
      <c r="C6" t="s">
        <v>10</v>
      </c>
      <c r="D6" s="3">
        <v>2.6799999999999997</v>
      </c>
      <c r="E6">
        <v>11.16</v>
      </c>
      <c r="F6" s="3">
        <v>12.95333333333333</v>
      </c>
      <c r="G6">
        <v>17.399999999999999</v>
      </c>
      <c r="H6" s="3">
        <f t="shared" ref="H6:H11" si="2">E6/G6</f>
        <v>0.64137931034482765</v>
      </c>
      <c r="I6" s="35">
        <v>1.7881767515923568</v>
      </c>
      <c r="J6" s="3"/>
      <c r="K6" s="11">
        <v>0.6</v>
      </c>
      <c r="L6" s="12">
        <f t="shared" si="1"/>
        <v>3.8701407318739531</v>
      </c>
    </row>
    <row r="7" spans="1:12" x14ac:dyDescent="0.25">
      <c r="A7" s="99"/>
      <c r="B7">
        <v>177</v>
      </c>
      <c r="C7" t="s">
        <v>10</v>
      </c>
      <c r="D7" s="3">
        <v>1.5999999999999979</v>
      </c>
      <c r="E7">
        <v>7.12</v>
      </c>
      <c r="F7" s="3">
        <v>6.8888888888888804</v>
      </c>
      <c r="G7">
        <v>15.5</v>
      </c>
      <c r="H7" s="3">
        <f t="shared" si="2"/>
        <v>0.45935483870967742</v>
      </c>
      <c r="I7" s="35">
        <v>1.1703512115436974</v>
      </c>
      <c r="J7" s="3"/>
      <c r="K7" s="11">
        <v>0.8</v>
      </c>
      <c r="L7" s="12">
        <f t="shared" si="1"/>
        <v>4.8300976256327566</v>
      </c>
    </row>
    <row r="8" spans="1:12" x14ac:dyDescent="0.25">
      <c r="A8" s="99"/>
      <c r="B8">
        <v>197</v>
      </c>
      <c r="C8" t="s">
        <v>10</v>
      </c>
      <c r="D8" s="3">
        <v>1.6000000000000014</v>
      </c>
      <c r="E8">
        <v>5.01</v>
      </c>
      <c r="F8" s="3">
        <v>5.2888888888888932</v>
      </c>
      <c r="G8">
        <v>11.9</v>
      </c>
      <c r="H8" s="3">
        <f t="shared" si="2"/>
        <v>0.42100840336134449</v>
      </c>
      <c r="I8" s="35">
        <v>0.86595691382765527</v>
      </c>
      <c r="J8" s="3"/>
      <c r="K8" s="11">
        <v>1</v>
      </c>
      <c r="L8" s="12">
        <f t="shared" si="1"/>
        <v>5.7900545193915587</v>
      </c>
    </row>
    <row r="9" spans="1:12" x14ac:dyDescent="0.25">
      <c r="A9" s="99"/>
      <c r="B9">
        <v>203</v>
      </c>
      <c r="C9" t="s">
        <v>10</v>
      </c>
      <c r="D9" s="3">
        <v>1.2000000000000028</v>
      </c>
      <c r="E9">
        <v>4.9000000000000004</v>
      </c>
      <c r="F9" s="3">
        <v>5.8333333333333472</v>
      </c>
      <c r="G9">
        <v>17.5</v>
      </c>
      <c r="H9" s="3">
        <f t="shared" si="2"/>
        <v>0.28000000000000003</v>
      </c>
      <c r="I9" s="35">
        <v>0.78409090909090917</v>
      </c>
      <c r="J9" s="3"/>
      <c r="K9" s="11">
        <v>1.2</v>
      </c>
      <c r="L9" s="12">
        <f t="shared" si="1"/>
        <v>6.7500114131503617</v>
      </c>
    </row>
    <row r="10" spans="1:12" x14ac:dyDescent="0.25">
      <c r="A10" s="99"/>
      <c r="B10">
        <v>212</v>
      </c>
      <c r="C10" t="s">
        <v>10</v>
      </c>
      <c r="D10" s="3">
        <v>0.79999999999999716</v>
      </c>
      <c r="E10">
        <v>3.62</v>
      </c>
      <c r="F10" s="3">
        <v>3.8222222222222082</v>
      </c>
      <c r="G10">
        <v>17.2</v>
      </c>
      <c r="H10" s="3">
        <f t="shared" si="2"/>
        <v>0.21046511627906977</v>
      </c>
      <c r="I10" s="35">
        <v>0.58157929749866955</v>
      </c>
      <c r="J10" s="3"/>
      <c r="K10" s="11">
        <v>1.4</v>
      </c>
      <c r="L10" s="12">
        <f t="shared" si="1"/>
        <v>7.7099683069091638</v>
      </c>
    </row>
    <row r="11" spans="1:12" x14ac:dyDescent="0.25">
      <c r="A11" s="99"/>
      <c r="B11">
        <v>233</v>
      </c>
      <c r="C11" t="s">
        <v>10</v>
      </c>
      <c r="D11" s="3">
        <v>1.4799999999999969</v>
      </c>
      <c r="E11">
        <v>4.8099999999999996</v>
      </c>
      <c r="F11" s="3">
        <v>6.2077777777777641</v>
      </c>
      <c r="G11">
        <v>15.1</v>
      </c>
      <c r="H11" s="3">
        <f t="shared" si="2"/>
        <v>0.31854304635761588</v>
      </c>
      <c r="I11" s="35">
        <v>0.79497330960854073</v>
      </c>
      <c r="J11" s="3"/>
      <c r="K11" s="11">
        <v>1.6</v>
      </c>
      <c r="L11" s="12">
        <f t="shared" si="1"/>
        <v>8.6699252006679686</v>
      </c>
    </row>
    <row r="12" spans="1:12" x14ac:dyDescent="0.25">
      <c r="A12" s="98">
        <v>3.01</v>
      </c>
      <c r="B12" s="41">
        <v>62</v>
      </c>
      <c r="C12" s="34" t="s">
        <v>10</v>
      </c>
      <c r="D12" s="34">
        <v>1.2400000000000002</v>
      </c>
      <c r="E12" s="34">
        <v>8.11</v>
      </c>
      <c r="F12" s="39">
        <v>6.2000000000000011</v>
      </c>
      <c r="G12" s="34">
        <v>18</v>
      </c>
      <c r="H12" s="39">
        <f t="shared" ref="H12:H69" si="3">E12/G12</f>
        <v>0.45055555555555554</v>
      </c>
      <c r="I12" s="40">
        <v>1.2892081358609795</v>
      </c>
      <c r="J12" s="3"/>
      <c r="K12" s="11">
        <v>1.8</v>
      </c>
      <c r="L12" s="12">
        <f t="shared" si="1"/>
        <v>9.6298820944267707</v>
      </c>
    </row>
    <row r="13" spans="1:12" x14ac:dyDescent="0.25">
      <c r="A13" s="99"/>
      <c r="B13" s="42">
        <v>10</v>
      </c>
      <c r="C13" t="s">
        <v>10</v>
      </c>
      <c r="D13">
        <v>1.3599999999999994</v>
      </c>
      <c r="E13">
        <v>3.83</v>
      </c>
      <c r="F13" s="3">
        <v>6.4222222222222189</v>
      </c>
      <c r="G13">
        <v>17</v>
      </c>
      <c r="H13" s="3">
        <f t="shared" si="3"/>
        <v>0.22529411764705884</v>
      </c>
      <c r="I13" s="35">
        <v>0.61695904482390607</v>
      </c>
      <c r="J13" s="3"/>
      <c r="K13" s="11">
        <v>2</v>
      </c>
      <c r="L13" s="12">
        <f t="shared" si="1"/>
        <v>10.589838988185573</v>
      </c>
    </row>
    <row r="14" spans="1:12" x14ac:dyDescent="0.25">
      <c r="A14" s="99"/>
      <c r="B14" s="42">
        <v>61</v>
      </c>
      <c r="C14" t="s">
        <v>10</v>
      </c>
      <c r="D14">
        <v>1.6000000000000014</v>
      </c>
      <c r="E14">
        <v>9.01</v>
      </c>
      <c r="F14" s="3">
        <v>6.3111111111111162</v>
      </c>
      <c r="G14">
        <v>14.2</v>
      </c>
      <c r="H14" s="3">
        <f t="shared" si="3"/>
        <v>0.63450704225352117</v>
      </c>
      <c r="I14" s="35">
        <v>1.507701635254989</v>
      </c>
      <c r="J14" s="3"/>
    </row>
    <row r="15" spans="1:12" x14ac:dyDescent="0.25">
      <c r="A15" s="99"/>
      <c r="B15" s="42">
        <v>82</v>
      </c>
      <c r="C15" t="s">
        <v>10</v>
      </c>
      <c r="D15">
        <v>3.9999999999999147E-2</v>
      </c>
      <c r="E15">
        <v>0.26</v>
      </c>
      <c r="F15" s="3">
        <v>0.20777777777777334</v>
      </c>
      <c r="G15">
        <v>18.7</v>
      </c>
      <c r="H15" s="3">
        <f t="shared" si="3"/>
        <v>1.3903743315508022E-2</v>
      </c>
      <c r="I15" s="35">
        <v>4.0953561179232982E-2</v>
      </c>
      <c r="J15" s="3"/>
    </row>
    <row r="16" spans="1:12" x14ac:dyDescent="0.25">
      <c r="A16" s="99"/>
      <c r="B16" s="42">
        <v>92</v>
      </c>
      <c r="C16" t="s">
        <v>10</v>
      </c>
      <c r="D16">
        <v>2.0799999999999983</v>
      </c>
      <c r="E16">
        <v>10.18</v>
      </c>
      <c r="F16" s="3">
        <v>8.6088888888888828</v>
      </c>
      <c r="G16">
        <v>14.9</v>
      </c>
      <c r="H16" s="3">
        <f t="shared" si="3"/>
        <v>0.68322147651006704</v>
      </c>
      <c r="I16" s="35">
        <v>1.6871191325830361</v>
      </c>
      <c r="J16" s="3"/>
    </row>
    <row r="17" spans="1:10" x14ac:dyDescent="0.25">
      <c r="A17" s="99"/>
      <c r="B17" s="42">
        <v>109</v>
      </c>
      <c r="C17" t="s">
        <v>10</v>
      </c>
      <c r="D17">
        <v>2.8800000000000026</v>
      </c>
      <c r="E17" s="3">
        <v>13.04</v>
      </c>
      <c r="F17">
        <v>17.280000000000015</v>
      </c>
      <c r="G17">
        <v>21.6</v>
      </c>
      <c r="H17" s="3">
        <f t="shared" si="3"/>
        <v>0.60370370370370363</v>
      </c>
      <c r="I17" s="35">
        <v>1.9791101055806939</v>
      </c>
      <c r="J17" s="3"/>
    </row>
    <row r="18" spans="1:10" x14ac:dyDescent="0.25">
      <c r="A18" s="99"/>
      <c r="B18">
        <v>161</v>
      </c>
      <c r="C18" t="s">
        <v>10</v>
      </c>
      <c r="D18">
        <v>1.8000000000000007</v>
      </c>
      <c r="E18">
        <v>7.9</v>
      </c>
      <c r="F18" s="3">
        <v>9.7500000000000036</v>
      </c>
      <c r="G18">
        <v>19.5</v>
      </c>
      <c r="H18" s="3">
        <f t="shared" si="3"/>
        <v>0.40512820512820513</v>
      </c>
      <c r="I18" s="35">
        <v>1.2315065840433772</v>
      </c>
      <c r="J18" s="3"/>
    </row>
    <row r="19" spans="1:10" x14ac:dyDescent="0.25">
      <c r="A19" s="99"/>
      <c r="B19">
        <v>260</v>
      </c>
      <c r="C19" t="s">
        <v>10</v>
      </c>
      <c r="D19">
        <v>2</v>
      </c>
      <c r="E19">
        <v>11.64</v>
      </c>
      <c r="F19" s="3">
        <v>14</v>
      </c>
      <c r="G19">
        <v>25.2</v>
      </c>
      <c r="H19" s="3">
        <f t="shared" si="3"/>
        <v>0.46190476190476193</v>
      </c>
      <c r="I19" s="35">
        <v>1.6901515151515154</v>
      </c>
      <c r="J19" s="3"/>
    </row>
    <row r="20" spans="1:10" x14ac:dyDescent="0.25">
      <c r="A20" s="98">
        <v>8.15</v>
      </c>
      <c r="B20" s="41">
        <v>4</v>
      </c>
      <c r="C20" s="34" t="s">
        <v>10</v>
      </c>
      <c r="D20" s="34">
        <v>1.9600000000000004</v>
      </c>
      <c r="E20" s="34">
        <v>11.34</v>
      </c>
      <c r="F20" s="39">
        <v>12.848888888888892</v>
      </c>
      <c r="G20" s="34">
        <v>23.6</v>
      </c>
      <c r="H20" s="39">
        <f t="shared" si="3"/>
        <v>0.48050847457627116</v>
      </c>
      <c r="I20" s="40">
        <v>1.6788928396272684</v>
      </c>
      <c r="J20" s="3"/>
    </row>
    <row r="21" spans="1:10" x14ac:dyDescent="0.25">
      <c r="A21" s="99"/>
      <c r="B21" s="42">
        <v>6</v>
      </c>
      <c r="C21" t="s">
        <v>10</v>
      </c>
      <c r="D21">
        <v>0.59999999999999964</v>
      </c>
      <c r="E21">
        <v>4.5199999999999996</v>
      </c>
      <c r="F21" s="3">
        <v>2.6833333333333318</v>
      </c>
      <c r="G21">
        <v>16.100000000000001</v>
      </c>
      <c r="H21" s="3">
        <f t="shared" si="3"/>
        <v>0.28074534161490677</v>
      </c>
      <c r="I21" s="35">
        <v>0.7369565217391304</v>
      </c>
      <c r="J21" s="3"/>
    </row>
    <row r="22" spans="1:10" x14ac:dyDescent="0.25">
      <c r="A22" s="99"/>
      <c r="B22" s="42">
        <v>15</v>
      </c>
      <c r="C22" t="s">
        <v>10</v>
      </c>
      <c r="D22">
        <v>0.91999999999999993</v>
      </c>
      <c r="E22">
        <v>1.5</v>
      </c>
      <c r="F22" s="3">
        <v>7.9988888888888887</v>
      </c>
      <c r="G22">
        <v>31.3</v>
      </c>
      <c r="H22" s="3">
        <f t="shared" si="3"/>
        <v>4.7923322683706068E-2</v>
      </c>
      <c r="I22" s="35">
        <v>0.20291844051086713</v>
      </c>
      <c r="J22" s="3"/>
    </row>
    <row r="23" spans="1:10" x14ac:dyDescent="0.25">
      <c r="A23" s="99"/>
      <c r="B23" s="42">
        <v>23</v>
      </c>
      <c r="C23" t="s">
        <v>10</v>
      </c>
      <c r="D23">
        <v>1.08</v>
      </c>
      <c r="E23">
        <v>9.11</v>
      </c>
      <c r="F23" s="3">
        <v>5.9400000000000013</v>
      </c>
      <c r="G23">
        <v>19.8</v>
      </c>
      <c r="H23" s="3">
        <f t="shared" si="3"/>
        <v>0.46010101010101007</v>
      </c>
      <c r="I23" s="35">
        <v>1.4146508487654321</v>
      </c>
      <c r="J23" s="3"/>
    </row>
    <row r="24" spans="1:10" x14ac:dyDescent="0.25">
      <c r="A24" s="99"/>
      <c r="B24">
        <v>90</v>
      </c>
      <c r="C24" t="s">
        <v>10</v>
      </c>
      <c r="D24">
        <v>1.879999999999999</v>
      </c>
      <c r="E24">
        <v>11.21</v>
      </c>
      <c r="F24" s="3">
        <v>13.264444444444436</v>
      </c>
      <c r="G24">
        <v>25.4</v>
      </c>
      <c r="H24" s="3">
        <f t="shared" si="3"/>
        <v>0.44133858267716541</v>
      </c>
      <c r="I24" s="35">
        <v>1.6238093809980809</v>
      </c>
      <c r="J24" s="3"/>
    </row>
    <row r="25" spans="1:10" x14ac:dyDescent="0.25">
      <c r="A25" s="99"/>
      <c r="B25">
        <v>137</v>
      </c>
      <c r="C25" t="s">
        <v>10</v>
      </c>
      <c r="D25">
        <v>3.120000000000001</v>
      </c>
      <c r="E25">
        <v>16.72</v>
      </c>
      <c r="F25" s="3">
        <v>19.673333333333339</v>
      </c>
      <c r="G25">
        <v>22.7</v>
      </c>
      <c r="H25" s="3">
        <f t="shared" si="3"/>
        <v>0.73656387665198231</v>
      </c>
      <c r="I25" s="35">
        <v>2.5030250433920158</v>
      </c>
      <c r="J25" s="3"/>
    </row>
    <row r="26" spans="1:10" x14ac:dyDescent="0.25">
      <c r="A26" s="99"/>
      <c r="B26">
        <v>165</v>
      </c>
      <c r="C26" t="s">
        <v>10</v>
      </c>
      <c r="D26">
        <v>2.3200000000000003</v>
      </c>
      <c r="E26">
        <v>16.59</v>
      </c>
      <c r="F26" s="3">
        <v>19.011111111111113</v>
      </c>
      <c r="G26">
        <v>29.5</v>
      </c>
      <c r="H26" s="3">
        <f t="shared" si="3"/>
        <v>0.56237288135593222</v>
      </c>
      <c r="I26" s="35">
        <v>2.2904670706608736</v>
      </c>
      <c r="J26" s="3"/>
    </row>
    <row r="27" spans="1:10" x14ac:dyDescent="0.25">
      <c r="A27" s="99"/>
      <c r="B27">
        <v>177</v>
      </c>
      <c r="C27" t="s">
        <v>10</v>
      </c>
      <c r="D27">
        <v>2.759999999999998</v>
      </c>
      <c r="E27">
        <v>17.5</v>
      </c>
      <c r="F27" s="3">
        <v>21.619999999999983</v>
      </c>
      <c r="G27">
        <v>28.2</v>
      </c>
      <c r="H27" s="3">
        <f t="shared" si="3"/>
        <v>0.62056737588652489</v>
      </c>
      <c r="I27" s="35">
        <v>2.4525591922005572</v>
      </c>
      <c r="J27" s="3"/>
    </row>
    <row r="28" spans="1:10" x14ac:dyDescent="0.25">
      <c r="A28" s="99"/>
      <c r="B28">
        <v>188</v>
      </c>
      <c r="C28" t="s">
        <v>10</v>
      </c>
      <c r="D28">
        <v>2.0400000000000027</v>
      </c>
      <c r="E28">
        <v>13.26</v>
      </c>
      <c r="F28" s="3">
        <v>14.790000000000019</v>
      </c>
      <c r="G28">
        <v>26.1</v>
      </c>
      <c r="H28" s="3">
        <f t="shared" si="3"/>
        <v>0.50804597701149423</v>
      </c>
      <c r="I28" s="35">
        <v>1.9047644539614563</v>
      </c>
      <c r="J28" s="3"/>
    </row>
    <row r="29" spans="1:10" x14ac:dyDescent="0.25">
      <c r="A29" s="98">
        <v>8.58</v>
      </c>
      <c r="B29" s="34">
        <v>13</v>
      </c>
      <c r="C29" s="34" t="s">
        <v>10</v>
      </c>
      <c r="D29" s="34">
        <v>2.8800000000000003</v>
      </c>
      <c r="E29" s="34">
        <v>16.64</v>
      </c>
      <c r="F29" s="34">
        <v>15.280000000000003</v>
      </c>
      <c r="G29" s="34">
        <v>19.100000000000001</v>
      </c>
      <c r="H29" s="39">
        <f t="shared" si="3"/>
        <v>0.87120418848167536</v>
      </c>
      <c r="I29" s="40">
        <v>2.60742278743836</v>
      </c>
      <c r="J29" s="3"/>
    </row>
    <row r="30" spans="1:10" x14ac:dyDescent="0.25">
      <c r="A30" s="99"/>
      <c r="B30">
        <v>3</v>
      </c>
      <c r="C30" t="s">
        <v>10</v>
      </c>
      <c r="D30">
        <v>0.20000000000000018</v>
      </c>
      <c r="E30">
        <v>1.67</v>
      </c>
      <c r="F30" s="3">
        <v>0.82222222222222296</v>
      </c>
      <c r="G30">
        <v>14.8</v>
      </c>
      <c r="H30" s="3">
        <f t="shared" si="3"/>
        <v>0.11283783783783782</v>
      </c>
      <c r="I30" s="35">
        <v>0.27714747113798788</v>
      </c>
      <c r="J30" s="3"/>
    </row>
    <row r="31" spans="1:10" x14ac:dyDescent="0.25">
      <c r="A31" s="99"/>
      <c r="B31">
        <v>18</v>
      </c>
      <c r="C31" t="s">
        <v>10</v>
      </c>
      <c r="D31">
        <v>3.0399999999999991</v>
      </c>
      <c r="E31">
        <v>12.69</v>
      </c>
      <c r="F31" s="3">
        <v>17.057777777777773</v>
      </c>
      <c r="G31">
        <v>20.2</v>
      </c>
      <c r="H31" s="3">
        <f t="shared" si="3"/>
        <v>0.62821782178217822</v>
      </c>
      <c r="I31" s="35">
        <v>1.9604881013306041</v>
      </c>
      <c r="J31" s="3"/>
    </row>
    <row r="32" spans="1:10" x14ac:dyDescent="0.25">
      <c r="A32" s="99"/>
      <c r="B32">
        <v>54</v>
      </c>
      <c r="C32" t="s">
        <v>10</v>
      </c>
      <c r="D32">
        <v>1.3599999999999994</v>
      </c>
      <c r="E32">
        <v>8.36</v>
      </c>
      <c r="F32" s="3">
        <v>8.3488888888888866</v>
      </c>
      <c r="G32">
        <v>22.1</v>
      </c>
      <c r="H32" s="3">
        <f t="shared" si="3"/>
        <v>0.37828054298642527</v>
      </c>
      <c r="I32" s="35">
        <v>1.260891831126655</v>
      </c>
      <c r="J32" s="3"/>
    </row>
    <row r="33" spans="1:18" x14ac:dyDescent="0.25">
      <c r="A33" s="99"/>
      <c r="B33">
        <v>162</v>
      </c>
      <c r="C33" t="s">
        <v>10</v>
      </c>
      <c r="D33">
        <v>1.4400000000000013</v>
      </c>
      <c r="E33">
        <v>11.96</v>
      </c>
      <c r="F33" s="3">
        <v>11.760000000000009</v>
      </c>
      <c r="G33">
        <v>29.4</v>
      </c>
      <c r="H33" s="3">
        <f t="shared" si="3"/>
        <v>0.4068027210884354</v>
      </c>
      <c r="I33" s="35">
        <v>1.6531250000000002</v>
      </c>
      <c r="J33" s="3"/>
    </row>
    <row r="34" spans="1:18" x14ac:dyDescent="0.25">
      <c r="A34" s="99"/>
      <c r="B34">
        <v>211</v>
      </c>
      <c r="C34" t="s">
        <v>10</v>
      </c>
      <c r="D34">
        <v>2.2799999999999976</v>
      </c>
      <c r="E34">
        <v>13.82</v>
      </c>
      <c r="F34" s="3">
        <v>17.416666666666647</v>
      </c>
      <c r="G34">
        <v>27.5</v>
      </c>
      <c r="H34" s="3">
        <f t="shared" si="3"/>
        <v>0.50254545454545452</v>
      </c>
      <c r="I34" s="35">
        <v>1.9526854668850926</v>
      </c>
      <c r="J34" s="3"/>
    </row>
    <row r="35" spans="1:18" x14ac:dyDescent="0.25">
      <c r="A35" s="100"/>
      <c r="B35" s="36">
        <v>259</v>
      </c>
      <c r="C35" s="36" t="s">
        <v>10</v>
      </c>
      <c r="D35" s="36">
        <v>2</v>
      </c>
      <c r="E35" s="36">
        <v>11.4</v>
      </c>
      <c r="F35" s="36">
        <v>8.5</v>
      </c>
      <c r="G35" s="36">
        <v>15.3</v>
      </c>
      <c r="H35" s="37">
        <f t="shared" si="3"/>
        <v>0.74509803921568629</v>
      </c>
      <c r="I35" s="38">
        <v>1.9604881013306041</v>
      </c>
      <c r="J35" s="3"/>
    </row>
    <row r="36" spans="1:18" x14ac:dyDescent="0.25">
      <c r="A36" s="98">
        <v>9.0299999999999994</v>
      </c>
      <c r="B36" s="41">
        <v>26</v>
      </c>
      <c r="C36" s="34" t="s">
        <v>10</v>
      </c>
      <c r="D36" s="34">
        <v>1.04</v>
      </c>
      <c r="E36" s="34">
        <v>9.0399999999999991</v>
      </c>
      <c r="F36" s="34">
        <v>5.7200000000000006</v>
      </c>
      <c r="G36" s="34">
        <v>19.8</v>
      </c>
      <c r="H36" s="39">
        <f t="shared" si="3"/>
        <v>0.45656565656565651</v>
      </c>
      <c r="I36" s="40">
        <v>1.4037808641975309</v>
      </c>
      <c r="J36" s="3"/>
    </row>
    <row r="37" spans="1:18" x14ac:dyDescent="0.25">
      <c r="A37" s="99"/>
      <c r="B37" s="42">
        <v>19</v>
      </c>
      <c r="C37" t="s">
        <v>10</v>
      </c>
      <c r="D37">
        <v>0.67999999999999972</v>
      </c>
      <c r="E37">
        <v>1.89</v>
      </c>
      <c r="F37" s="3">
        <v>4.0988888888888866</v>
      </c>
      <c r="G37">
        <v>21.7</v>
      </c>
      <c r="H37" s="3">
        <f t="shared" si="3"/>
        <v>8.7096774193548387E-2</v>
      </c>
      <c r="I37" s="35">
        <v>0.28648945518453428</v>
      </c>
      <c r="J37" s="3"/>
    </row>
    <row r="38" spans="1:18" x14ac:dyDescent="0.25">
      <c r="A38" s="99"/>
      <c r="B38" s="42">
        <v>44</v>
      </c>
      <c r="C38" t="s">
        <v>10</v>
      </c>
      <c r="D38">
        <v>0.87999999999999901</v>
      </c>
      <c r="E38">
        <v>6.1</v>
      </c>
      <c r="F38" s="3">
        <v>5.3533333333333273</v>
      </c>
      <c r="G38">
        <v>21.9</v>
      </c>
      <c r="H38" s="3">
        <f t="shared" si="3"/>
        <v>0.27853881278538811</v>
      </c>
      <c r="I38" s="35">
        <v>0.92233283245679931</v>
      </c>
      <c r="J38" s="3"/>
    </row>
    <row r="39" spans="1:18" x14ac:dyDescent="0.25">
      <c r="A39" s="99"/>
      <c r="B39" s="42">
        <v>96</v>
      </c>
      <c r="C39" t="s">
        <v>10</v>
      </c>
      <c r="D39">
        <v>1.9199999999999982</v>
      </c>
      <c r="E39">
        <v>11.05</v>
      </c>
      <c r="F39" s="3">
        <v>9.2266666666666595</v>
      </c>
      <c r="G39">
        <v>17.3</v>
      </c>
      <c r="H39" s="3">
        <f t="shared" si="3"/>
        <v>0.63872832369942201</v>
      </c>
      <c r="I39" s="35">
        <v>1.7729039330321557</v>
      </c>
      <c r="J39" s="3"/>
    </row>
    <row r="40" spans="1:18" x14ac:dyDescent="0.25">
      <c r="A40" s="99"/>
      <c r="B40" s="42">
        <v>86</v>
      </c>
      <c r="C40" t="s">
        <v>10</v>
      </c>
      <c r="D40">
        <v>1.120000000000001</v>
      </c>
      <c r="E40">
        <v>6.47</v>
      </c>
      <c r="F40" s="3">
        <v>7.093333333333339</v>
      </c>
      <c r="G40">
        <v>22.8</v>
      </c>
      <c r="H40" s="3">
        <f t="shared" si="3"/>
        <v>0.2837719298245614</v>
      </c>
      <c r="I40" s="35">
        <v>0.96737555720653789</v>
      </c>
      <c r="J40" s="3"/>
    </row>
    <row r="41" spans="1:18" x14ac:dyDescent="0.25">
      <c r="A41" s="99"/>
      <c r="B41" s="42">
        <v>109</v>
      </c>
      <c r="C41" t="s">
        <v>10</v>
      </c>
      <c r="D41">
        <v>0.60000000000000142</v>
      </c>
      <c r="E41">
        <v>2.48</v>
      </c>
      <c r="F41" s="3">
        <v>3.4000000000000079</v>
      </c>
      <c r="G41">
        <v>20.399999999999999</v>
      </c>
      <c r="H41" s="3">
        <f t="shared" si="3"/>
        <v>0.1215686274509804</v>
      </c>
      <c r="I41" s="35">
        <v>0.38215926493108732</v>
      </c>
      <c r="J41" s="3"/>
      <c r="L41" s="13" t="s">
        <v>15</v>
      </c>
      <c r="M41" s="13" t="s">
        <v>38</v>
      </c>
      <c r="N41" s="27">
        <v>12</v>
      </c>
      <c r="O41" s="27">
        <v>16</v>
      </c>
      <c r="P41" s="27">
        <v>18</v>
      </c>
      <c r="Q41" s="27">
        <v>23</v>
      </c>
      <c r="R41" s="27">
        <v>25</v>
      </c>
    </row>
    <row r="42" spans="1:18" x14ac:dyDescent="0.25">
      <c r="A42" s="99"/>
      <c r="B42" s="42">
        <v>192</v>
      </c>
      <c r="C42" t="s">
        <v>10</v>
      </c>
      <c r="D42">
        <v>2.240000000000002</v>
      </c>
      <c r="E42">
        <v>9.8000000000000007</v>
      </c>
      <c r="F42" s="3">
        <v>11.635555555555564</v>
      </c>
      <c r="G42">
        <v>18.7</v>
      </c>
      <c r="H42" s="3">
        <f t="shared" si="3"/>
        <v>0.52406417112299475</v>
      </c>
      <c r="I42" s="35">
        <v>1.5436342290633971</v>
      </c>
      <c r="J42" s="3"/>
      <c r="L42" s="11">
        <v>0</v>
      </c>
      <c r="M42" s="28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 x14ac:dyDescent="0.25">
      <c r="A43" s="100"/>
      <c r="B43" s="36">
        <v>235</v>
      </c>
      <c r="C43" s="36" t="s">
        <v>10</v>
      </c>
      <c r="D43" s="36">
        <v>0.35999999999999943</v>
      </c>
      <c r="E43" s="36">
        <v>2.46</v>
      </c>
      <c r="F43" s="36">
        <v>2.3899999999999961</v>
      </c>
      <c r="G43" s="36">
        <v>23.9</v>
      </c>
      <c r="H43" s="37">
        <f t="shared" si="3"/>
        <v>0.10292887029288704</v>
      </c>
      <c r="I43" s="38">
        <v>0.36286953334962135</v>
      </c>
      <c r="J43" s="3"/>
      <c r="L43" s="11">
        <v>0.2</v>
      </c>
      <c r="M43" s="29">
        <f t="shared" ref="M43:M52" si="4">SLOPE($H$2:$H$101, $D$2:$D$101) * L43 + INTERCEPT($H$2:$H$101, $D$2:$D$101)</f>
        <v>9.9760670665824516E-2</v>
      </c>
      <c r="N43" s="23">
        <f t="shared" ref="N43:N52" si="5">$N$41*M43</f>
        <v>1.1971280479898943</v>
      </c>
      <c r="O43" s="23">
        <f t="shared" ref="O43:O52" si="6">$O$41*M43</f>
        <v>1.5961707306531923</v>
      </c>
      <c r="P43" s="23">
        <f t="shared" ref="P43:P52" si="7">$P$41*M43</f>
        <v>1.7956920719848413</v>
      </c>
      <c r="Q43" s="23">
        <f t="shared" ref="Q43:Q52" si="8">$Q$41*M43</f>
        <v>2.294495425313964</v>
      </c>
      <c r="R43" s="23">
        <f t="shared" ref="R43:R52" si="9">$R$41*M43</f>
        <v>2.494016766645613</v>
      </c>
    </row>
    <row r="44" spans="1:18" x14ac:dyDescent="0.25">
      <c r="A44" s="98">
        <v>12.07</v>
      </c>
      <c r="B44" s="42">
        <v>57</v>
      </c>
      <c r="C44" t="s">
        <v>10</v>
      </c>
      <c r="D44">
        <v>2.1999999999999993</v>
      </c>
      <c r="E44">
        <v>11.79</v>
      </c>
      <c r="F44" s="3">
        <v>12.89444444444444</v>
      </c>
      <c r="G44">
        <v>21.1</v>
      </c>
      <c r="H44" s="3">
        <f t="shared" si="3"/>
        <v>0.55876777251184828</v>
      </c>
      <c r="I44" s="35">
        <v>1.8007114849481407</v>
      </c>
      <c r="J44" s="3"/>
      <c r="L44" s="11">
        <v>0.4</v>
      </c>
      <c r="M44" s="29">
        <f t="shared" si="4"/>
        <v>0.14634886801986272</v>
      </c>
      <c r="N44" s="23">
        <f t="shared" si="5"/>
        <v>1.7561864162383527</v>
      </c>
      <c r="O44" s="23">
        <f t="shared" si="6"/>
        <v>2.3415818883178035</v>
      </c>
      <c r="P44" s="23">
        <f t="shared" si="7"/>
        <v>2.634279624357529</v>
      </c>
      <c r="Q44" s="23">
        <f t="shared" si="8"/>
        <v>3.3660239644568426</v>
      </c>
      <c r="R44" s="23">
        <f t="shared" si="9"/>
        <v>3.6587217004965678</v>
      </c>
    </row>
    <row r="45" spans="1:18" x14ac:dyDescent="0.25">
      <c r="A45" s="99"/>
      <c r="B45" s="42">
        <v>29</v>
      </c>
      <c r="C45" t="s">
        <v>10</v>
      </c>
      <c r="D45">
        <v>0.40000000000000036</v>
      </c>
      <c r="E45">
        <v>3.04</v>
      </c>
      <c r="F45" s="3">
        <v>2.1222222222222245</v>
      </c>
      <c r="G45">
        <v>19.100000000000001</v>
      </c>
      <c r="H45" s="3">
        <f t="shared" si="3"/>
        <v>0.15916230366492146</v>
      </c>
      <c r="I45" s="35">
        <v>0.47635608616662339</v>
      </c>
      <c r="J45" s="3"/>
      <c r="L45" s="11">
        <v>0.6</v>
      </c>
      <c r="M45" s="29">
        <f t="shared" si="4"/>
        <v>0.1929370653739009</v>
      </c>
      <c r="N45" s="23">
        <f t="shared" si="5"/>
        <v>2.3152447844868109</v>
      </c>
      <c r="O45" s="23">
        <f t="shared" si="6"/>
        <v>3.0869930459824144</v>
      </c>
      <c r="P45" s="23">
        <f t="shared" si="7"/>
        <v>3.4728671767302162</v>
      </c>
      <c r="Q45" s="23">
        <f t="shared" si="8"/>
        <v>4.4375525035997203</v>
      </c>
      <c r="R45" s="23">
        <f t="shared" si="9"/>
        <v>4.8234266343475225</v>
      </c>
    </row>
    <row r="46" spans="1:18" x14ac:dyDescent="0.25">
      <c r="A46" s="99"/>
      <c r="B46" s="42">
        <v>58</v>
      </c>
      <c r="C46" t="s">
        <v>10</v>
      </c>
      <c r="D46">
        <v>2.08</v>
      </c>
      <c r="E46">
        <v>9.49</v>
      </c>
      <c r="F46" s="3">
        <v>9.8800000000000008</v>
      </c>
      <c r="G46">
        <v>17.100000000000001</v>
      </c>
      <c r="H46" s="3">
        <f t="shared" si="3"/>
        <v>0.55497076023391811</v>
      </c>
      <c r="I46" s="35">
        <v>1.5266686650679457</v>
      </c>
      <c r="J46" s="3"/>
      <c r="L46" s="11">
        <v>0.8</v>
      </c>
      <c r="M46" s="29">
        <f t="shared" si="4"/>
        <v>0.23952526272793911</v>
      </c>
      <c r="N46" s="23">
        <f t="shared" si="5"/>
        <v>2.8743031527352692</v>
      </c>
      <c r="O46" s="23">
        <f t="shared" si="6"/>
        <v>3.8324042036470258</v>
      </c>
      <c r="P46" s="23">
        <f t="shared" si="7"/>
        <v>4.3114547291029037</v>
      </c>
      <c r="Q46" s="23">
        <f t="shared" si="8"/>
        <v>5.5090810427425998</v>
      </c>
      <c r="R46" s="23">
        <f t="shared" si="9"/>
        <v>5.9881315681984777</v>
      </c>
    </row>
    <row r="47" spans="1:18" x14ac:dyDescent="0.25">
      <c r="A47" s="99"/>
      <c r="B47" s="42">
        <v>61</v>
      </c>
      <c r="C47" t="s">
        <v>10</v>
      </c>
      <c r="D47">
        <v>0.67999999999999972</v>
      </c>
      <c r="E47">
        <v>4.62</v>
      </c>
      <c r="F47" s="3">
        <v>2.4933333333333318</v>
      </c>
      <c r="G47">
        <v>13.2</v>
      </c>
      <c r="H47" s="3">
        <f t="shared" si="3"/>
        <v>0.35000000000000003</v>
      </c>
      <c r="I47" s="35">
        <v>0.78395868465430019</v>
      </c>
      <c r="J47" s="3"/>
      <c r="L47" s="11">
        <v>1</v>
      </c>
      <c r="M47" s="29">
        <f t="shared" si="4"/>
        <v>0.2861134600819773</v>
      </c>
      <c r="N47" s="23">
        <f t="shared" si="5"/>
        <v>3.4333615209837278</v>
      </c>
      <c r="O47" s="23">
        <f t="shared" si="6"/>
        <v>4.5778153613116368</v>
      </c>
      <c r="P47" s="23">
        <f t="shared" si="7"/>
        <v>5.1500422814755913</v>
      </c>
      <c r="Q47" s="23">
        <f t="shared" si="8"/>
        <v>6.5806095818854775</v>
      </c>
      <c r="R47" s="23">
        <f t="shared" si="9"/>
        <v>7.1528365020494329</v>
      </c>
    </row>
    <row r="48" spans="1:18" x14ac:dyDescent="0.25">
      <c r="A48" s="99"/>
      <c r="B48">
        <v>156</v>
      </c>
      <c r="C48" t="s">
        <v>10</v>
      </c>
      <c r="D48">
        <v>2.120000000000001</v>
      </c>
      <c r="E48">
        <v>9.2100000000000009</v>
      </c>
      <c r="F48" s="3">
        <v>12.425555555555562</v>
      </c>
      <c r="G48">
        <v>21.1</v>
      </c>
      <c r="H48" s="3">
        <f t="shared" si="3"/>
        <v>0.43649289099526067</v>
      </c>
      <c r="I48" s="35">
        <v>1.4066626612699218</v>
      </c>
      <c r="J48" s="3"/>
      <c r="L48" s="11">
        <v>1.2</v>
      </c>
      <c r="M48" s="29">
        <f t="shared" si="4"/>
        <v>0.33270165743601549</v>
      </c>
      <c r="N48" s="23">
        <f t="shared" si="5"/>
        <v>3.9924198892321856</v>
      </c>
      <c r="O48" s="23">
        <f t="shared" si="6"/>
        <v>5.3232265189762478</v>
      </c>
      <c r="P48" s="23">
        <f t="shared" si="7"/>
        <v>5.9886298338482788</v>
      </c>
      <c r="Q48" s="23">
        <f t="shared" si="8"/>
        <v>7.6521381210283561</v>
      </c>
      <c r="R48" s="23">
        <f t="shared" si="9"/>
        <v>8.3175414359003863</v>
      </c>
    </row>
    <row r="49" spans="1:18" x14ac:dyDescent="0.25">
      <c r="A49" s="99"/>
      <c r="B49">
        <v>167</v>
      </c>
      <c r="C49" t="s">
        <v>10</v>
      </c>
      <c r="D49">
        <v>2.1999999999999993</v>
      </c>
      <c r="E49">
        <v>12.6</v>
      </c>
      <c r="F49" s="3">
        <v>13.749999999999996</v>
      </c>
      <c r="G49">
        <v>22.5</v>
      </c>
      <c r="H49" s="3">
        <f t="shared" si="3"/>
        <v>0.55999999999999994</v>
      </c>
      <c r="I49" s="35">
        <v>1.8909395973154361</v>
      </c>
      <c r="J49" s="3"/>
      <c r="L49" s="11">
        <v>1.4</v>
      </c>
      <c r="M49" s="29">
        <f t="shared" si="4"/>
        <v>0.37928985479005367</v>
      </c>
      <c r="N49" s="23">
        <f t="shared" si="5"/>
        <v>4.5514782574806443</v>
      </c>
      <c r="O49" s="23">
        <f t="shared" si="6"/>
        <v>6.0686376766408587</v>
      </c>
      <c r="P49" s="23">
        <f t="shared" si="7"/>
        <v>6.8272173862209664</v>
      </c>
      <c r="Q49" s="23">
        <f t="shared" si="8"/>
        <v>8.7236666601712347</v>
      </c>
      <c r="R49" s="23">
        <f t="shared" si="9"/>
        <v>9.4822463697513424</v>
      </c>
    </row>
    <row r="50" spans="1:18" x14ac:dyDescent="0.25">
      <c r="A50" s="103">
        <v>12.16</v>
      </c>
      <c r="B50" s="49">
        <v>54</v>
      </c>
      <c r="C50" s="34" t="s">
        <v>10</v>
      </c>
      <c r="D50" s="34">
        <v>1.6399999999999988</v>
      </c>
      <c r="E50" s="34">
        <v>7</v>
      </c>
      <c r="F50" s="39">
        <v>6.3777777777777729</v>
      </c>
      <c r="G50" s="34">
        <v>14</v>
      </c>
      <c r="H50" s="39">
        <f t="shared" si="3"/>
        <v>0.5</v>
      </c>
      <c r="I50" s="40">
        <v>1.1746108949416343</v>
      </c>
      <c r="J50" s="3"/>
      <c r="L50" s="11">
        <v>1.6</v>
      </c>
      <c r="M50" s="29">
        <f t="shared" si="4"/>
        <v>0.42587805214409191</v>
      </c>
      <c r="N50" s="23">
        <f t="shared" si="5"/>
        <v>5.1105366257291029</v>
      </c>
      <c r="O50" s="23">
        <f t="shared" si="6"/>
        <v>6.8140488343054706</v>
      </c>
      <c r="P50" s="23">
        <f t="shared" si="7"/>
        <v>7.665804938593654</v>
      </c>
      <c r="Q50" s="23">
        <f t="shared" si="8"/>
        <v>9.7951951993141133</v>
      </c>
      <c r="R50" s="23">
        <f t="shared" si="9"/>
        <v>10.646951303602298</v>
      </c>
    </row>
    <row r="51" spans="1:18" x14ac:dyDescent="0.25">
      <c r="A51" s="104"/>
      <c r="B51">
        <v>77</v>
      </c>
      <c r="C51" t="s">
        <v>10</v>
      </c>
      <c r="D51">
        <v>2.08</v>
      </c>
      <c r="E51">
        <v>13.23</v>
      </c>
      <c r="F51" s="3">
        <v>11.208888888888888</v>
      </c>
      <c r="G51">
        <v>19.399999999999999</v>
      </c>
      <c r="H51" s="3">
        <f t="shared" si="3"/>
        <v>0.68195876288659796</v>
      </c>
      <c r="I51" s="35">
        <v>2.0650497673216135</v>
      </c>
      <c r="J51" s="3"/>
      <c r="L51" s="11">
        <v>1.8</v>
      </c>
      <c r="M51" s="29">
        <f t="shared" si="4"/>
        <v>0.4724662494981301</v>
      </c>
      <c r="N51" s="23">
        <f t="shared" si="5"/>
        <v>5.6695949939775616</v>
      </c>
      <c r="O51" s="23">
        <f t="shared" si="6"/>
        <v>7.5594599919700816</v>
      </c>
      <c r="P51" s="23">
        <f t="shared" si="7"/>
        <v>8.5043924909663424</v>
      </c>
      <c r="Q51" s="23">
        <f t="shared" si="8"/>
        <v>10.866723738456992</v>
      </c>
      <c r="R51" s="23">
        <f t="shared" si="9"/>
        <v>11.811656237453253</v>
      </c>
    </row>
    <row r="52" spans="1:18" x14ac:dyDescent="0.25">
      <c r="A52" s="104"/>
      <c r="B52">
        <v>95</v>
      </c>
      <c r="C52" t="s">
        <v>10</v>
      </c>
      <c r="D52">
        <v>3.879999999999999</v>
      </c>
      <c r="E52">
        <v>16</v>
      </c>
      <c r="F52" s="3">
        <v>17.675555555555547</v>
      </c>
      <c r="G52">
        <v>16.399999999999999</v>
      </c>
      <c r="H52" s="3">
        <f t="shared" si="3"/>
        <v>0.97560975609756106</v>
      </c>
      <c r="I52" s="35">
        <v>2.5981710597095216</v>
      </c>
      <c r="J52" s="3"/>
      <c r="L52" s="11">
        <v>2</v>
      </c>
      <c r="M52" s="29">
        <f t="shared" si="4"/>
        <v>0.51905444685216828</v>
      </c>
      <c r="N52" s="23">
        <f t="shared" si="5"/>
        <v>6.2286533622260194</v>
      </c>
      <c r="O52" s="23">
        <f t="shared" si="6"/>
        <v>8.3048711496346925</v>
      </c>
      <c r="P52" s="23">
        <f t="shared" si="7"/>
        <v>9.3429800433390291</v>
      </c>
      <c r="Q52" s="23">
        <f t="shared" si="8"/>
        <v>11.938252277599871</v>
      </c>
      <c r="R52" s="23">
        <f t="shared" si="9"/>
        <v>12.976361171304207</v>
      </c>
    </row>
    <row r="53" spans="1:18" x14ac:dyDescent="0.25">
      <c r="A53" s="104"/>
      <c r="B53">
        <v>114</v>
      </c>
      <c r="C53" t="s">
        <v>10</v>
      </c>
      <c r="D53">
        <v>2.0800000000000018</v>
      </c>
      <c r="E53">
        <v>9.6300000000000008</v>
      </c>
      <c r="F53" s="3">
        <v>10.862222222222231</v>
      </c>
      <c r="G53">
        <v>18.8</v>
      </c>
      <c r="H53" s="3">
        <f t="shared" si="3"/>
        <v>0.51223404255319149</v>
      </c>
      <c r="I53" s="35">
        <v>1.5148807972902554</v>
      </c>
      <c r="J53" s="3"/>
    </row>
    <row r="54" spans="1:18" x14ac:dyDescent="0.25">
      <c r="A54" s="104"/>
      <c r="B54" s="45">
        <v>170</v>
      </c>
      <c r="C54" t="s">
        <v>10</v>
      </c>
      <c r="D54">
        <v>1.879999999999999</v>
      </c>
      <c r="E54">
        <v>10.38</v>
      </c>
      <c r="F54" s="3">
        <v>8.9299999999999962</v>
      </c>
      <c r="G54">
        <v>17.100000000000001</v>
      </c>
      <c r="H54" s="3">
        <f t="shared" si="3"/>
        <v>0.60701754385964912</v>
      </c>
      <c r="I54" s="35">
        <v>1.66984412470024</v>
      </c>
      <c r="J54" s="3"/>
    </row>
    <row r="55" spans="1:18" x14ac:dyDescent="0.25">
      <c r="A55" s="104"/>
      <c r="B55" s="46">
        <v>151</v>
      </c>
      <c r="C55" t="s">
        <v>10</v>
      </c>
      <c r="D55">
        <v>1</v>
      </c>
      <c r="E55">
        <v>4.72</v>
      </c>
      <c r="F55" s="3">
        <v>5.5555555555555554</v>
      </c>
      <c r="G55">
        <v>20</v>
      </c>
      <c r="H55" s="3">
        <f t="shared" si="3"/>
        <v>0.23599999999999999</v>
      </c>
      <c r="I55" s="35">
        <v>0.73106721395587482</v>
      </c>
      <c r="J55" s="3"/>
    </row>
    <row r="56" spans="1:18" x14ac:dyDescent="0.25">
      <c r="A56" s="104"/>
      <c r="B56" s="46">
        <v>173</v>
      </c>
      <c r="C56" t="s">
        <v>10</v>
      </c>
      <c r="D56">
        <v>0.87999999999999901</v>
      </c>
      <c r="E56">
        <v>5.84</v>
      </c>
      <c r="F56" s="3">
        <v>4.5711111111111062</v>
      </c>
      <c r="G56">
        <v>18.7</v>
      </c>
      <c r="H56" s="3">
        <f t="shared" si="3"/>
        <v>0.31229946524064173</v>
      </c>
      <c r="I56" s="35">
        <v>0.91987998956431005</v>
      </c>
      <c r="J56" s="3"/>
    </row>
    <row r="57" spans="1:18" x14ac:dyDescent="0.25">
      <c r="A57" s="104"/>
      <c r="B57" s="47">
        <v>185</v>
      </c>
      <c r="C57" t="s">
        <v>10</v>
      </c>
      <c r="D57">
        <v>1.3200000000000003</v>
      </c>
      <c r="E57">
        <v>7.06</v>
      </c>
      <c r="F57" s="3">
        <v>7.5533333333333355</v>
      </c>
      <c r="G57">
        <v>20.6</v>
      </c>
      <c r="H57" s="3">
        <f t="shared" si="3"/>
        <v>0.34271844660194173</v>
      </c>
      <c r="I57" s="35">
        <v>1.0851514765784114</v>
      </c>
      <c r="J57" s="3"/>
    </row>
    <row r="58" spans="1:18" x14ac:dyDescent="0.25">
      <c r="A58" s="106">
        <v>13</v>
      </c>
      <c r="B58">
        <v>39</v>
      </c>
      <c r="C58" t="s">
        <v>10</v>
      </c>
      <c r="D58">
        <v>1.5999999999999996</v>
      </c>
      <c r="E58">
        <v>9.4499999999999993</v>
      </c>
      <c r="F58">
        <v>9.1999999999999975</v>
      </c>
      <c r="G58">
        <v>20.7</v>
      </c>
      <c r="H58" s="3">
        <f t="shared" si="3"/>
        <v>0.45652173913043476</v>
      </c>
      <c r="I58" s="35">
        <v>1.450657894736842</v>
      </c>
      <c r="J58" s="3"/>
    </row>
    <row r="59" spans="1:18" x14ac:dyDescent="0.25">
      <c r="A59" s="106"/>
      <c r="B59">
        <v>10</v>
      </c>
      <c r="C59" t="s">
        <v>10</v>
      </c>
      <c r="D59">
        <v>2.4000000000000004</v>
      </c>
      <c r="E59">
        <v>13.1</v>
      </c>
      <c r="F59">
        <v>11.600000000000001</v>
      </c>
      <c r="G59">
        <v>17.399999999999999</v>
      </c>
      <c r="H59" s="3">
        <f t="shared" si="3"/>
        <v>0.75287356321839083</v>
      </c>
      <c r="I59" s="35">
        <v>2.0990246815286624</v>
      </c>
      <c r="J59" s="3"/>
      <c r="L59" s="31" t="s">
        <v>42</v>
      </c>
      <c r="M59" s="30">
        <f>AVERAGEIF($G$3:$G$101,"&gt;0")</f>
        <v>20.684848484848487</v>
      </c>
    </row>
    <row r="60" spans="1:18" x14ac:dyDescent="0.25">
      <c r="A60" s="106"/>
      <c r="B60" s="46">
        <v>116</v>
      </c>
      <c r="C60" t="s">
        <v>10</v>
      </c>
      <c r="D60">
        <v>0.47999999999999687</v>
      </c>
      <c r="E60">
        <v>3.97</v>
      </c>
      <c r="F60" s="3">
        <v>2.6266666666666492</v>
      </c>
      <c r="G60">
        <v>19.7</v>
      </c>
      <c r="H60" s="3">
        <f t="shared" si="3"/>
        <v>0.20152284263959391</v>
      </c>
      <c r="I60" s="35">
        <v>0.61727723409734747</v>
      </c>
      <c r="J60" s="3"/>
      <c r="L60" s="31" t="s">
        <v>44</v>
      </c>
      <c r="M60" s="30">
        <f>MIN($G$3:$G$101)</f>
        <v>11.9</v>
      </c>
    </row>
    <row r="61" spans="1:18" x14ac:dyDescent="0.25">
      <c r="A61" s="106"/>
      <c r="B61" s="46">
        <v>124</v>
      </c>
      <c r="C61" t="s">
        <v>10</v>
      </c>
      <c r="D61">
        <v>1.7200000000000024</v>
      </c>
      <c r="E61">
        <v>9.49</v>
      </c>
      <c r="F61" s="3">
        <v>13.043333333333351</v>
      </c>
      <c r="G61">
        <v>27.3</v>
      </c>
      <c r="H61" s="3">
        <f t="shared" si="3"/>
        <v>0.34761904761904761</v>
      </c>
      <c r="I61" s="35">
        <v>1.3440270935960592</v>
      </c>
      <c r="J61" s="3"/>
      <c r="L61" s="31" t="s">
        <v>43</v>
      </c>
      <c r="M61" s="30">
        <f>MAX($G$3:$G$101)</f>
        <v>31.3</v>
      </c>
    </row>
    <row r="62" spans="1:18" x14ac:dyDescent="0.25">
      <c r="A62" s="106"/>
      <c r="B62" s="46">
        <v>136</v>
      </c>
      <c r="C62" t="s">
        <v>10</v>
      </c>
      <c r="D62">
        <v>1.3999999999999986</v>
      </c>
      <c r="E62">
        <v>9.74</v>
      </c>
      <c r="F62" s="3">
        <v>11.005555555555544</v>
      </c>
      <c r="G62">
        <v>28.3</v>
      </c>
      <c r="H62" s="3">
        <f t="shared" si="3"/>
        <v>0.34416961130742052</v>
      </c>
      <c r="I62" s="35">
        <v>1.3634419197774172</v>
      </c>
      <c r="J62" s="3"/>
      <c r="L62" s="32" t="s">
        <v>45</v>
      </c>
      <c r="M62" s="30">
        <f>_xlfn.PERCENTILE.EXC($G$3:$G$101,0.25)</f>
        <v>17.399999999999999</v>
      </c>
    </row>
    <row r="63" spans="1:18" x14ac:dyDescent="0.25">
      <c r="A63" s="106"/>
      <c r="B63" s="47">
        <v>149</v>
      </c>
      <c r="C63" t="s">
        <v>10</v>
      </c>
      <c r="D63">
        <v>2</v>
      </c>
      <c r="E63">
        <v>12.79</v>
      </c>
      <c r="F63" s="3">
        <v>13.5</v>
      </c>
      <c r="G63">
        <v>24.3</v>
      </c>
      <c r="H63" s="3">
        <f t="shared" si="3"/>
        <v>0.52633744855967068</v>
      </c>
      <c r="I63" s="35">
        <v>1.8774525893508387</v>
      </c>
      <c r="J63" s="3"/>
      <c r="L63" s="32" t="s">
        <v>46</v>
      </c>
      <c r="M63" s="30">
        <f>_xlfn.PERCENTILE.EXC($G$3:$G$101,0.5)</f>
        <v>20.2</v>
      </c>
    </row>
    <row r="64" spans="1:18" x14ac:dyDescent="0.25">
      <c r="A64" s="106"/>
      <c r="B64">
        <v>201</v>
      </c>
      <c r="C64" t="s">
        <v>10</v>
      </c>
      <c r="D64">
        <v>1.8799999999999955</v>
      </c>
      <c r="E64">
        <v>7.41</v>
      </c>
      <c r="F64" s="3">
        <v>8.146666666666647</v>
      </c>
      <c r="G64">
        <v>15.6</v>
      </c>
      <c r="H64" s="3">
        <f t="shared" si="3"/>
        <v>0.47500000000000003</v>
      </c>
      <c r="I64" s="35">
        <v>1.2163641924959219</v>
      </c>
      <c r="J64" s="3"/>
      <c r="L64" s="32" t="s">
        <v>47</v>
      </c>
      <c r="M64" s="30">
        <f>_xlfn.PERCENTILE.EXC($G$3:$G$101,0.75)</f>
        <v>23.6</v>
      </c>
    </row>
    <row r="65" spans="1:13" x14ac:dyDescent="0.25">
      <c r="A65" s="98">
        <v>13.04</v>
      </c>
      <c r="B65" s="41">
        <v>5</v>
      </c>
      <c r="C65" s="34" t="s">
        <v>10</v>
      </c>
      <c r="D65" s="34">
        <v>2.3199999999999998</v>
      </c>
      <c r="E65" s="34">
        <v>13.52</v>
      </c>
      <c r="F65" s="39">
        <v>13.726666666666665</v>
      </c>
      <c r="G65" s="34">
        <v>21.3</v>
      </c>
      <c r="H65" s="39">
        <f t="shared" si="3"/>
        <v>0.63474178403755865</v>
      </c>
      <c r="I65" s="40">
        <v>2.0597274791824374</v>
      </c>
      <c r="J65" s="3"/>
      <c r="L65" s="32" t="s">
        <v>48</v>
      </c>
      <c r="M65" s="30">
        <f>_xlfn.PERCENTILE.EXC($G$3:$G$101,0.9)</f>
        <v>27.3</v>
      </c>
    </row>
    <row r="66" spans="1:13" x14ac:dyDescent="0.25">
      <c r="A66" s="99"/>
      <c r="B66" s="42">
        <v>11</v>
      </c>
      <c r="C66" t="s">
        <v>10</v>
      </c>
      <c r="D66">
        <v>2</v>
      </c>
      <c r="E66">
        <v>11.45</v>
      </c>
      <c r="F66" s="3">
        <v>9.5555555555555554</v>
      </c>
      <c r="G66">
        <v>17.2</v>
      </c>
      <c r="H66" s="3">
        <f t="shared" si="3"/>
        <v>0.66569767441860461</v>
      </c>
      <c r="I66" s="35">
        <v>1.8395256785524214</v>
      </c>
      <c r="J66" s="3"/>
    </row>
    <row r="67" spans="1:13" x14ac:dyDescent="0.25">
      <c r="A67" s="99"/>
      <c r="B67" s="42">
        <v>31</v>
      </c>
      <c r="C67" t="s">
        <v>10</v>
      </c>
      <c r="D67">
        <v>1.2800000000000002</v>
      </c>
      <c r="E67">
        <v>7.14</v>
      </c>
      <c r="F67" s="3">
        <v>8.8533333333333335</v>
      </c>
      <c r="G67">
        <v>24.9</v>
      </c>
      <c r="H67" s="3">
        <f t="shared" si="3"/>
        <v>0.28674698795180725</v>
      </c>
      <c r="I67" s="35">
        <v>1.040496017378711</v>
      </c>
      <c r="J67" s="3"/>
    </row>
    <row r="68" spans="1:13" x14ac:dyDescent="0.25">
      <c r="A68" s="99"/>
      <c r="B68" s="42">
        <v>48</v>
      </c>
      <c r="C68" t="s">
        <v>10</v>
      </c>
      <c r="D68">
        <v>2.08</v>
      </c>
      <c r="E68">
        <v>10.81</v>
      </c>
      <c r="F68" s="3">
        <v>11.671111111111111</v>
      </c>
      <c r="G68">
        <v>20.2</v>
      </c>
      <c r="H68" s="3">
        <f t="shared" si="3"/>
        <v>0.53514851485148518</v>
      </c>
      <c r="I68" s="35">
        <v>1.6700454196519963</v>
      </c>
      <c r="J68" s="3"/>
    </row>
    <row r="69" spans="1:13" x14ac:dyDescent="0.25">
      <c r="A69" s="99"/>
      <c r="B69">
        <v>107</v>
      </c>
      <c r="C69" t="s">
        <v>10</v>
      </c>
      <c r="D69">
        <v>2.240000000000002</v>
      </c>
      <c r="E69">
        <v>10.55</v>
      </c>
      <c r="F69" s="3">
        <v>12.008888888888901</v>
      </c>
      <c r="G69">
        <v>19.3</v>
      </c>
      <c r="H69" s="3">
        <f t="shared" si="3"/>
        <v>0.54663212435233166</v>
      </c>
      <c r="I69" s="35">
        <v>1.6488642246958325</v>
      </c>
      <c r="J69" s="3"/>
    </row>
    <row r="70" spans="1:13" x14ac:dyDescent="0.25">
      <c r="A70" s="99"/>
      <c r="B70">
        <v>105</v>
      </c>
      <c r="C70" t="s">
        <v>10</v>
      </c>
      <c r="D70">
        <v>1.5999999999999979</v>
      </c>
      <c r="E70">
        <v>8.68</v>
      </c>
      <c r="F70" s="3">
        <v>9.8666666666666529</v>
      </c>
      <c r="G70">
        <v>22.2</v>
      </c>
      <c r="H70" s="3">
        <f t="shared" ref="H70:H101" si="10">E70/G70</f>
        <v>0.39099099099099099</v>
      </c>
      <c r="I70" s="35">
        <v>1.3075224550898206</v>
      </c>
      <c r="J70" s="3"/>
    </row>
    <row r="71" spans="1:13" x14ac:dyDescent="0.25">
      <c r="A71" s="99"/>
      <c r="B71">
        <v>116</v>
      </c>
      <c r="C71" t="s">
        <v>10</v>
      </c>
      <c r="D71">
        <v>1.6799999999999997</v>
      </c>
      <c r="E71">
        <v>10.74</v>
      </c>
      <c r="F71" s="3">
        <v>10.686666666666666</v>
      </c>
      <c r="G71">
        <v>22.9</v>
      </c>
      <c r="H71" s="3">
        <f t="shared" si="10"/>
        <v>0.46899563318777299</v>
      </c>
      <c r="I71" s="35">
        <v>1.6038276032649026</v>
      </c>
      <c r="J71" s="3"/>
    </row>
    <row r="72" spans="1:13" x14ac:dyDescent="0.25">
      <c r="A72" s="99"/>
      <c r="B72">
        <v>123</v>
      </c>
      <c r="C72" t="s">
        <v>10</v>
      </c>
      <c r="D72">
        <v>2</v>
      </c>
      <c r="E72">
        <v>11.23</v>
      </c>
      <c r="F72" s="3">
        <v>11.222222222222221</v>
      </c>
      <c r="G72">
        <v>20.2</v>
      </c>
      <c r="H72" s="3">
        <f t="shared" si="10"/>
        <v>0.55594059405940599</v>
      </c>
      <c r="I72" s="35">
        <v>1.7349315506653022</v>
      </c>
      <c r="J72" s="3"/>
    </row>
    <row r="73" spans="1:13" x14ac:dyDescent="0.25">
      <c r="A73" s="103">
        <v>17.02</v>
      </c>
      <c r="B73" s="45">
        <v>3</v>
      </c>
      <c r="C73" s="34" t="s">
        <v>10</v>
      </c>
      <c r="D73" s="34">
        <v>1.72</v>
      </c>
      <c r="E73" s="34">
        <v>11.84</v>
      </c>
      <c r="F73" s="39">
        <v>11.896666666666665</v>
      </c>
      <c r="G73" s="34">
        <v>24.9</v>
      </c>
      <c r="H73" s="39">
        <f t="shared" si="10"/>
        <v>0.47550200803212855</v>
      </c>
      <c r="I73" s="40">
        <v>1.7254163649529326</v>
      </c>
      <c r="J73" s="3"/>
    </row>
    <row r="74" spans="1:13" x14ac:dyDescent="0.25">
      <c r="A74" s="104"/>
      <c r="B74" s="46">
        <v>14</v>
      </c>
      <c r="C74" t="s">
        <v>10</v>
      </c>
      <c r="D74">
        <v>1.7199999999999998</v>
      </c>
      <c r="E74">
        <v>10.9</v>
      </c>
      <c r="F74" s="3">
        <v>8.8388888888888886</v>
      </c>
      <c r="G74">
        <v>18.5</v>
      </c>
      <c r="H74" s="3">
        <f t="shared" si="10"/>
        <v>0.58918918918918917</v>
      </c>
      <c r="I74" s="35">
        <v>1.7213902694219203</v>
      </c>
      <c r="J74" s="3"/>
    </row>
    <row r="75" spans="1:13" x14ac:dyDescent="0.25">
      <c r="A75" s="104"/>
      <c r="B75" s="46">
        <v>10</v>
      </c>
      <c r="C75" t="s">
        <v>10</v>
      </c>
      <c r="D75">
        <v>1.96</v>
      </c>
      <c r="E75">
        <v>7.47</v>
      </c>
      <c r="F75" s="3">
        <v>8.1666666666666661</v>
      </c>
      <c r="G75">
        <v>15</v>
      </c>
      <c r="H75" s="3">
        <f t="shared" si="10"/>
        <v>0.498</v>
      </c>
      <c r="I75" s="35">
        <v>1.2362972861842105</v>
      </c>
      <c r="J75" s="3"/>
    </row>
    <row r="76" spans="1:13" x14ac:dyDescent="0.25">
      <c r="A76" s="104"/>
      <c r="B76" s="46">
        <v>11</v>
      </c>
      <c r="C76" t="s">
        <v>10</v>
      </c>
      <c r="D76">
        <v>1.2400000000000002</v>
      </c>
      <c r="E76">
        <v>8.75</v>
      </c>
      <c r="F76" s="3">
        <v>6.6822222222222223</v>
      </c>
      <c r="G76">
        <v>19.399999999999999</v>
      </c>
      <c r="H76" s="3">
        <f t="shared" si="10"/>
        <v>0.45103092783505155</v>
      </c>
      <c r="I76" s="35">
        <v>1.3657736556359876</v>
      </c>
      <c r="J76" s="3"/>
    </row>
    <row r="77" spans="1:13" x14ac:dyDescent="0.25">
      <c r="A77" s="104"/>
      <c r="B77" s="47">
        <v>18</v>
      </c>
      <c r="C77" t="s">
        <v>10</v>
      </c>
      <c r="D77">
        <v>1.1999999999999993</v>
      </c>
      <c r="E77">
        <v>4.05</v>
      </c>
      <c r="F77" s="3">
        <v>5.9999999999999964</v>
      </c>
      <c r="G77">
        <v>18</v>
      </c>
      <c r="H77" s="3">
        <f t="shared" si="10"/>
        <v>0.22499999999999998</v>
      </c>
      <c r="I77" s="35">
        <v>0.64380924170616116</v>
      </c>
      <c r="J77" s="3"/>
    </row>
    <row r="78" spans="1:13" x14ac:dyDescent="0.25">
      <c r="A78" s="104"/>
      <c r="B78" s="46">
        <v>19</v>
      </c>
      <c r="C78" t="s">
        <v>10</v>
      </c>
      <c r="D78">
        <v>0.80000000000000071</v>
      </c>
      <c r="E78">
        <v>7.41</v>
      </c>
      <c r="F78" s="3">
        <v>4.4666666666666712</v>
      </c>
      <c r="G78">
        <v>20.100000000000001</v>
      </c>
      <c r="H78" s="3">
        <f t="shared" si="10"/>
        <v>0.36865671641791042</v>
      </c>
      <c r="I78" s="35">
        <v>1.1462432744043045</v>
      </c>
      <c r="J78" s="3"/>
    </row>
    <row r="79" spans="1:13" x14ac:dyDescent="0.25">
      <c r="A79" s="104"/>
      <c r="B79" s="46">
        <v>79</v>
      </c>
      <c r="C79" t="s">
        <v>10</v>
      </c>
      <c r="D79">
        <v>0.24000000000000021</v>
      </c>
      <c r="E79">
        <v>1.05</v>
      </c>
      <c r="F79" s="3">
        <v>1.8333333333333348</v>
      </c>
      <c r="G79">
        <v>27.5</v>
      </c>
      <c r="H79" s="3">
        <f t="shared" si="10"/>
        <v>3.8181818181818185E-2</v>
      </c>
      <c r="I79" s="35">
        <v>0.14835888134799907</v>
      </c>
      <c r="J79" s="3"/>
      <c r="L79" t="s">
        <v>49</v>
      </c>
    </row>
    <row r="80" spans="1:13" x14ac:dyDescent="0.25">
      <c r="A80" s="104"/>
      <c r="B80" s="47">
        <v>90</v>
      </c>
      <c r="C80" t="s">
        <v>10</v>
      </c>
      <c r="D80">
        <v>1.1999999999999993</v>
      </c>
      <c r="E80">
        <v>9.8800000000000008</v>
      </c>
      <c r="F80" s="3">
        <v>7.1333333333333284</v>
      </c>
      <c r="G80">
        <v>21.4</v>
      </c>
      <c r="H80" s="3">
        <f t="shared" si="10"/>
        <v>0.46168224299065425</v>
      </c>
      <c r="I80" s="35">
        <v>1.5032888104838713</v>
      </c>
      <c r="J80" s="3"/>
      <c r="L80" t="s">
        <v>50</v>
      </c>
    </row>
    <row r="81" spans="1:12" x14ac:dyDescent="0.25">
      <c r="A81" s="104"/>
      <c r="B81" s="46">
        <v>159</v>
      </c>
      <c r="C81" t="s">
        <v>10</v>
      </c>
      <c r="D81">
        <v>1.3999999999999986</v>
      </c>
      <c r="E81">
        <v>9.75</v>
      </c>
      <c r="F81" s="3">
        <v>9.099999999999989</v>
      </c>
      <c r="G81">
        <v>23.4</v>
      </c>
      <c r="H81" s="3">
        <f t="shared" si="10"/>
        <v>0.41666666666666669</v>
      </c>
      <c r="I81" s="35">
        <v>1.4470409292035398</v>
      </c>
      <c r="J81" s="3"/>
      <c r="L81" t="s">
        <v>51</v>
      </c>
    </row>
    <row r="82" spans="1:12" x14ac:dyDescent="0.25">
      <c r="A82" s="104"/>
      <c r="B82" s="46">
        <v>148</v>
      </c>
      <c r="C82" t="s">
        <v>10</v>
      </c>
      <c r="D82">
        <v>1.8000000000000007</v>
      </c>
      <c r="E82">
        <v>9.0299999999999994</v>
      </c>
      <c r="F82" s="3">
        <v>10.200000000000003</v>
      </c>
      <c r="G82">
        <v>20.399999999999999</v>
      </c>
      <c r="H82" s="3">
        <f t="shared" si="10"/>
        <v>0.44264705882352939</v>
      </c>
      <c r="I82" s="35">
        <v>1.3914911944869832</v>
      </c>
      <c r="J82" s="3"/>
    </row>
    <row r="83" spans="1:12" x14ac:dyDescent="0.25">
      <c r="A83" s="98">
        <v>17.11</v>
      </c>
      <c r="B83" s="34">
        <v>5</v>
      </c>
      <c r="C83" s="34" t="s">
        <v>10</v>
      </c>
      <c r="D83" s="34">
        <v>1</v>
      </c>
      <c r="E83" s="34">
        <v>5.13</v>
      </c>
      <c r="F83" s="39">
        <v>5.6944444444444446</v>
      </c>
      <c r="G83" s="34">
        <v>20.5</v>
      </c>
      <c r="H83" s="39">
        <f t="shared" si="10"/>
        <v>0.25024390243902439</v>
      </c>
      <c r="I83" s="40">
        <v>0.78950739230180988</v>
      </c>
      <c r="J83" s="3"/>
    </row>
    <row r="84" spans="1:12" x14ac:dyDescent="0.25">
      <c r="A84" s="99"/>
      <c r="B84" s="45">
        <v>12</v>
      </c>
      <c r="C84" t="s">
        <v>10</v>
      </c>
      <c r="D84">
        <v>1.8000000000000007</v>
      </c>
      <c r="E84">
        <v>9.4499999999999993</v>
      </c>
      <c r="F84" s="3">
        <v>11.350000000000003</v>
      </c>
      <c r="G84">
        <v>22.7</v>
      </c>
      <c r="H84" s="3">
        <f t="shared" si="10"/>
        <v>0.4162995594713656</v>
      </c>
      <c r="I84" s="35">
        <v>1.4146881973716836</v>
      </c>
      <c r="J84" s="3"/>
    </row>
    <row r="85" spans="1:12" x14ac:dyDescent="0.25">
      <c r="A85" s="99"/>
      <c r="B85" s="46">
        <v>36</v>
      </c>
      <c r="C85" t="s">
        <v>10</v>
      </c>
      <c r="D85">
        <v>1.4000000000000004</v>
      </c>
      <c r="E85">
        <v>6.32</v>
      </c>
      <c r="F85" s="3">
        <v>5.522222222222223</v>
      </c>
      <c r="G85">
        <v>14.2</v>
      </c>
      <c r="H85" s="3">
        <f t="shared" si="10"/>
        <v>0.44507042253521129</v>
      </c>
      <c r="I85" s="35">
        <v>1.0575665188470069</v>
      </c>
      <c r="J85" s="3"/>
    </row>
    <row r="86" spans="1:12" x14ac:dyDescent="0.25">
      <c r="A86" s="99"/>
      <c r="B86" s="46">
        <v>37</v>
      </c>
      <c r="C86" t="s">
        <v>10</v>
      </c>
      <c r="D86">
        <v>1.6799999999999997</v>
      </c>
      <c r="E86">
        <v>9.7200000000000006</v>
      </c>
      <c r="F86" s="3">
        <v>7.7933333333333312</v>
      </c>
      <c r="G86">
        <v>16.7</v>
      </c>
      <c r="H86" s="3">
        <f t="shared" si="10"/>
        <v>0.58203592814371263</v>
      </c>
      <c r="I86" s="35">
        <v>1.572046611304581</v>
      </c>
      <c r="J86" s="3"/>
    </row>
    <row r="87" spans="1:12" x14ac:dyDescent="0.25">
      <c r="A87" s="99"/>
      <c r="B87" s="47">
        <v>68</v>
      </c>
      <c r="C87" t="s">
        <v>10</v>
      </c>
      <c r="D87">
        <v>0.24000000000000021</v>
      </c>
      <c r="E87">
        <v>0.56000000000000005</v>
      </c>
      <c r="F87" s="3">
        <v>0.82000000000000073</v>
      </c>
      <c r="G87">
        <v>12.3</v>
      </c>
      <c r="H87" s="3">
        <f t="shared" si="10"/>
        <v>4.5528455284552849E-2</v>
      </c>
      <c r="I87" s="35">
        <v>9.6242527754056367E-2</v>
      </c>
      <c r="J87" s="3"/>
    </row>
    <row r="88" spans="1:12" x14ac:dyDescent="0.25">
      <c r="A88" s="99"/>
      <c r="B88" s="45">
        <v>189</v>
      </c>
      <c r="C88" t="s">
        <v>10</v>
      </c>
      <c r="D88">
        <v>3.4799999999999969</v>
      </c>
      <c r="E88">
        <v>17.04</v>
      </c>
      <c r="F88" s="3">
        <v>19.043333333333315</v>
      </c>
      <c r="G88">
        <v>19.7</v>
      </c>
      <c r="H88" s="3">
        <f t="shared" si="10"/>
        <v>0.86497461928934005</v>
      </c>
      <c r="I88" s="35">
        <v>2.6494720576873552</v>
      </c>
      <c r="J88" s="3"/>
    </row>
    <row r="89" spans="1:12" x14ac:dyDescent="0.25">
      <c r="A89" s="99"/>
      <c r="B89" s="46">
        <v>144</v>
      </c>
      <c r="C89" t="s">
        <v>10</v>
      </c>
      <c r="D89">
        <v>0.20000000000000284</v>
      </c>
      <c r="E89">
        <v>0.23</v>
      </c>
      <c r="F89" s="3">
        <v>1.288888888888907</v>
      </c>
      <c r="G89">
        <v>23.2</v>
      </c>
      <c r="H89" s="3">
        <f t="shared" si="10"/>
        <v>9.9137931034482766E-3</v>
      </c>
      <c r="I89" s="35">
        <v>3.4219443075406614E-2</v>
      </c>
      <c r="J89" s="3"/>
    </row>
    <row r="90" spans="1:12" x14ac:dyDescent="0.25">
      <c r="A90" s="99"/>
      <c r="B90" s="46">
        <v>210</v>
      </c>
      <c r="C90" t="s">
        <v>10</v>
      </c>
      <c r="D90">
        <v>1.3999999999999986</v>
      </c>
      <c r="E90">
        <v>9.6999999999999993</v>
      </c>
      <c r="F90" s="3">
        <v>11.161111111111099</v>
      </c>
      <c r="G90">
        <v>28.7</v>
      </c>
      <c r="H90" s="3">
        <f t="shared" si="10"/>
        <v>0.33797909407665505</v>
      </c>
      <c r="I90" s="35">
        <v>1.3515751211631664</v>
      </c>
      <c r="J90" s="3"/>
    </row>
    <row r="91" spans="1:12" x14ac:dyDescent="0.25">
      <c r="A91" s="99"/>
      <c r="B91" s="46">
        <v>213</v>
      </c>
      <c r="C91" t="s">
        <v>10</v>
      </c>
      <c r="D91">
        <v>1.6400000000000006</v>
      </c>
      <c r="E91">
        <v>11.11</v>
      </c>
      <c r="F91" s="3">
        <v>11.662222222222226</v>
      </c>
      <c r="G91">
        <v>25.6</v>
      </c>
      <c r="H91" s="3">
        <f t="shared" si="10"/>
        <v>0.43398437499999998</v>
      </c>
      <c r="I91" s="35">
        <v>1.6054721158449017</v>
      </c>
      <c r="J91" s="3"/>
    </row>
    <row r="92" spans="1:12" x14ac:dyDescent="0.25">
      <c r="A92" s="99"/>
      <c r="B92" s="46">
        <v>229</v>
      </c>
      <c r="C92" t="s">
        <v>10</v>
      </c>
      <c r="D92">
        <v>2.4799999999999969</v>
      </c>
      <c r="E92">
        <v>17.23</v>
      </c>
      <c r="F92" s="3">
        <v>16.671111111111088</v>
      </c>
      <c r="G92">
        <v>24.2</v>
      </c>
      <c r="H92" s="3">
        <f t="shared" si="10"/>
        <v>0.7119834710743802</v>
      </c>
      <c r="I92" s="35">
        <v>2.5322815238558913</v>
      </c>
      <c r="J92" s="3"/>
    </row>
    <row r="93" spans="1:12" x14ac:dyDescent="0.25">
      <c r="A93" s="99"/>
      <c r="B93" s="46">
        <v>226</v>
      </c>
      <c r="C93" t="s">
        <v>10</v>
      </c>
      <c r="D93">
        <v>0.40000000000000568</v>
      </c>
      <c r="E93">
        <v>1.4</v>
      </c>
      <c r="F93" s="3">
        <v>2.9444444444444864</v>
      </c>
      <c r="G93">
        <v>26.5</v>
      </c>
      <c r="H93" s="3">
        <f t="shared" si="10"/>
        <v>5.2830188679245278E-2</v>
      </c>
      <c r="I93" s="35">
        <v>0.2001539190149183</v>
      </c>
      <c r="J93" s="3"/>
    </row>
    <row r="94" spans="1:12" x14ac:dyDescent="0.25">
      <c r="A94" s="100"/>
      <c r="B94" s="50">
        <v>237</v>
      </c>
      <c r="C94" s="36" t="s">
        <v>10</v>
      </c>
      <c r="D94" s="36">
        <v>1.8799999999999955</v>
      </c>
      <c r="E94" s="36">
        <v>13.42</v>
      </c>
      <c r="F94" s="37">
        <v>13.264444444444411</v>
      </c>
      <c r="G94" s="36">
        <v>25.4</v>
      </c>
      <c r="H94" s="37">
        <f t="shared" si="10"/>
        <v>0.52834645669291336</v>
      </c>
      <c r="I94" s="38">
        <v>1.9439359404990406</v>
      </c>
      <c r="J94" s="3"/>
    </row>
    <row r="95" spans="1:12" x14ac:dyDescent="0.25">
      <c r="A95" s="98">
        <v>17.21</v>
      </c>
      <c r="B95" s="34">
        <v>4</v>
      </c>
      <c r="C95" s="34" t="s">
        <v>10</v>
      </c>
      <c r="D95" s="34">
        <v>2.16</v>
      </c>
      <c r="E95" s="34">
        <v>10.54</v>
      </c>
      <c r="F95" s="34">
        <v>10.680000000000001</v>
      </c>
      <c r="G95" s="34">
        <v>17.8</v>
      </c>
      <c r="H95" s="39">
        <f t="shared" si="10"/>
        <v>0.59213483146067414</v>
      </c>
      <c r="I95" s="40">
        <v>1.6799168426610349</v>
      </c>
      <c r="J95" s="3"/>
    </row>
    <row r="96" spans="1:12" x14ac:dyDescent="0.25">
      <c r="A96" s="99"/>
      <c r="B96">
        <v>7</v>
      </c>
      <c r="C96" t="s">
        <v>10</v>
      </c>
      <c r="D96">
        <v>1.92</v>
      </c>
      <c r="E96">
        <v>11.88</v>
      </c>
      <c r="F96" s="3">
        <v>12.213333333333331</v>
      </c>
      <c r="G96">
        <v>22.9</v>
      </c>
      <c r="H96" s="3">
        <f t="shared" si="10"/>
        <v>0.51877729257641925</v>
      </c>
      <c r="I96" s="35">
        <v>1.7740662874103392</v>
      </c>
      <c r="J96" s="3"/>
    </row>
    <row r="97" spans="1:27" x14ac:dyDescent="0.25">
      <c r="A97" s="99"/>
      <c r="B97">
        <v>70</v>
      </c>
      <c r="C97" t="s">
        <v>10</v>
      </c>
      <c r="D97">
        <v>1.7200000000000006</v>
      </c>
      <c r="E97">
        <v>6.55</v>
      </c>
      <c r="F97" s="3">
        <v>11.275555555555561</v>
      </c>
      <c r="G97">
        <v>23.6</v>
      </c>
      <c r="H97" s="3">
        <f t="shared" si="10"/>
        <v>0.27754237288135591</v>
      </c>
      <c r="I97" s="35">
        <v>0.9697308729769496</v>
      </c>
      <c r="J97" s="3"/>
    </row>
    <row r="98" spans="1:27" x14ac:dyDescent="0.25">
      <c r="A98" s="99"/>
      <c r="B98">
        <v>69</v>
      </c>
      <c r="C98" t="s">
        <v>10</v>
      </c>
      <c r="D98">
        <v>1.2000000000000011</v>
      </c>
      <c r="E98">
        <v>7.33</v>
      </c>
      <c r="F98" s="3">
        <v>6.8666666666666734</v>
      </c>
      <c r="G98">
        <v>20.6</v>
      </c>
      <c r="H98" s="3">
        <f t="shared" si="10"/>
        <v>0.35582524271844657</v>
      </c>
      <c r="I98" s="35">
        <v>1.1266516038696539</v>
      </c>
      <c r="J98" s="3"/>
    </row>
    <row r="99" spans="1:27" x14ac:dyDescent="0.25">
      <c r="A99" s="99"/>
      <c r="B99">
        <v>93</v>
      </c>
      <c r="C99" t="s">
        <v>10</v>
      </c>
      <c r="D99">
        <v>0.35999999999999943</v>
      </c>
      <c r="E99">
        <v>1.93</v>
      </c>
      <c r="F99" s="3">
        <v>2.3599999999999963</v>
      </c>
      <c r="G99">
        <v>23.6</v>
      </c>
      <c r="H99" s="3">
        <f t="shared" si="10"/>
        <v>8.177966101694914E-2</v>
      </c>
      <c r="I99" s="35">
        <v>0.28573749386954389</v>
      </c>
      <c r="J99" s="3"/>
    </row>
    <row r="100" spans="1:27" x14ac:dyDescent="0.25">
      <c r="A100" s="99"/>
      <c r="B100">
        <v>104</v>
      </c>
      <c r="C100" t="s">
        <v>10</v>
      </c>
      <c r="D100">
        <v>1.3200000000000003</v>
      </c>
      <c r="E100">
        <v>8.1999999999999993</v>
      </c>
      <c r="F100" s="3">
        <v>7.7366666666666681</v>
      </c>
      <c r="G100">
        <v>21.1</v>
      </c>
      <c r="H100" s="3">
        <f t="shared" si="10"/>
        <v>0.38862559241706157</v>
      </c>
      <c r="I100" s="35">
        <v>1.2524032380470529</v>
      </c>
      <c r="J100" s="3"/>
    </row>
    <row r="101" spans="1:27" x14ac:dyDescent="0.25">
      <c r="A101" s="100"/>
      <c r="B101" s="36">
        <v>236</v>
      </c>
      <c r="C101" s="36" t="s">
        <v>10</v>
      </c>
      <c r="D101" s="36">
        <v>2.9199999999999946</v>
      </c>
      <c r="E101" s="36">
        <v>12.15</v>
      </c>
      <c r="F101" s="37">
        <v>24.171111111111063</v>
      </c>
      <c r="G101" s="36">
        <v>29.8</v>
      </c>
      <c r="H101" s="37">
        <f t="shared" si="10"/>
        <v>0.40771812080536912</v>
      </c>
      <c r="I101" s="38">
        <v>1.671732566089335</v>
      </c>
      <c r="J101" s="3"/>
    </row>
    <row r="105" spans="1:27" x14ac:dyDescent="0.25">
      <c r="Y105" s="69"/>
      <c r="Z105" s="69"/>
      <c r="AA105" s="69"/>
    </row>
    <row r="106" spans="1:27" x14ac:dyDescent="0.25">
      <c r="Y106" s="69"/>
      <c r="Z106" s="69"/>
      <c r="AA106" s="69"/>
    </row>
    <row r="107" spans="1:27" x14ac:dyDescent="0.25">
      <c r="Y107" s="1"/>
      <c r="Z107" s="1"/>
      <c r="AA107" s="68"/>
    </row>
    <row r="108" spans="1:27" x14ac:dyDescent="0.25">
      <c r="Y108" s="1"/>
      <c r="Z108" s="1"/>
      <c r="AA108" s="68"/>
    </row>
    <row r="109" spans="1:27" x14ac:dyDescent="0.25">
      <c r="Y109" s="1"/>
      <c r="Z109" s="1"/>
      <c r="AA109" s="68"/>
    </row>
    <row r="110" spans="1:27" x14ac:dyDescent="0.25">
      <c r="Y110" s="1"/>
      <c r="Z110" s="1"/>
      <c r="AA110" s="68"/>
    </row>
    <row r="111" spans="1:27" x14ac:dyDescent="0.25">
      <c r="Y111" s="1"/>
      <c r="Z111" s="1"/>
      <c r="AA111" s="68"/>
    </row>
    <row r="112" spans="1:27" x14ac:dyDescent="0.25">
      <c r="Y112" s="1"/>
      <c r="Z112" s="1"/>
      <c r="AA112" s="68"/>
    </row>
    <row r="113" spans="25:27" x14ac:dyDescent="0.25">
      <c r="Y113" s="1"/>
      <c r="Z113" s="1"/>
      <c r="AA113" s="68"/>
    </row>
    <row r="114" spans="25:27" x14ac:dyDescent="0.25">
      <c r="Y114" s="1"/>
      <c r="Z114" s="1"/>
      <c r="AA114" s="68"/>
    </row>
  </sheetData>
  <mergeCells count="12">
    <mergeCell ref="A44:A49"/>
    <mergeCell ref="A2:A11"/>
    <mergeCell ref="A12:A19"/>
    <mergeCell ref="A20:A28"/>
    <mergeCell ref="A29:A35"/>
    <mergeCell ref="A36:A43"/>
    <mergeCell ref="A95:A101"/>
    <mergeCell ref="A50:A57"/>
    <mergeCell ref="A58:A64"/>
    <mergeCell ref="A65:A72"/>
    <mergeCell ref="A73:A82"/>
    <mergeCell ref="A83:A94"/>
  </mergeCells>
  <conditionalFormatting sqref="E3:E104">
    <cfRule type="expression" dxfId="118" priority="3">
      <formula>$E3&gt;10</formula>
    </cfRule>
  </conditionalFormatting>
  <conditionalFormatting sqref="G1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{BC9DB099-E059-41E6-B789-E519C0392BEF}</x14:id>
        </ext>
      </extLst>
    </cfRule>
  </conditionalFormatting>
  <conditionalFormatting sqref="H2:H101">
    <cfRule type="cellIs" dxfId="117" priority="1" operator="greaterThan">
      <formula>1</formula>
    </cfRule>
  </conditionalFormatting>
  <conditionalFormatting sqref="L3:L13">
    <cfRule type="cellIs" dxfId="116" priority="8" operator="between">
      <formula>4</formula>
      <formula>5</formula>
    </cfRule>
    <cfRule type="cellIs" dxfId="115" priority="9" operator="lessThan">
      <formula>3.99</formula>
    </cfRule>
    <cfRule type="cellIs" dxfId="114" priority="10" operator="greaterThan">
      <formula>5</formula>
    </cfRule>
  </conditionalFormatting>
  <conditionalFormatting sqref="M59:M6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{3AE11782-F639-48D4-BA2D-DD7860556BB6}</x14:id>
        </ext>
      </extLst>
    </cfRule>
  </conditionalFormatting>
  <conditionalFormatting sqref="N42:R52">
    <cfRule type="cellIs" dxfId="113" priority="5" operator="between">
      <formula>4</formula>
      <formula>5</formula>
    </cfRule>
    <cfRule type="cellIs" dxfId="112" priority="6" operator="lessThan">
      <formula>3.99</formula>
    </cfRule>
    <cfRule type="cellIs" dxfId="111" priority="7" operator="greaterThan">
      <formula>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9DB099-E059-41E6-B789-E519C0392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3AE11782-F639-48D4-BA2D-DD7860556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M59:M65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Speed</vt:lpstr>
      <vt:lpstr>Cars L2+3</vt:lpstr>
      <vt:lpstr>Bike L3</vt:lpstr>
      <vt:lpstr>3.35</vt:lpstr>
      <vt:lpstr>3.01</vt:lpstr>
      <vt:lpstr>3.40</vt:lpstr>
      <vt:lpstr>8.15</vt:lpstr>
      <vt:lpstr>8.58</vt:lpstr>
      <vt:lpstr>9.03</vt:lpstr>
      <vt:lpstr>12.07</vt:lpstr>
      <vt:lpstr>12.16</vt:lpstr>
      <vt:lpstr>13.00</vt:lpstr>
      <vt:lpstr>13.04</vt:lpstr>
      <vt:lpstr>17.02</vt:lpstr>
      <vt:lpstr>17.11</vt:lpstr>
      <vt:lpstr>17.21</vt:lpstr>
      <vt:lpstr>Cars L2</vt:lpstr>
      <vt:lpstr>'Bike L3'!Print_Area</vt:lpstr>
      <vt:lpstr>'Cars L2+3'!Print_Area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cp:lastPrinted>2026-04-05T14:28:45Z</cp:lastPrinted>
  <dcterms:created xsi:type="dcterms:W3CDTF">2026-01-19T21:17:55Z</dcterms:created>
  <dcterms:modified xsi:type="dcterms:W3CDTF">2026-04-07T22:37:52Z</dcterms:modified>
</cp:coreProperties>
</file>