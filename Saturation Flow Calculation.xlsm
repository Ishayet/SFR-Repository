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7.xml" ContentType="application/vnd.openxmlformats-officedocument.drawing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6.xml" ContentType="application/vnd.openxmlformats-officedocument.themeOverride+xml"/>
  <Override PartName="/xl/charts/chart3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7.xml" ContentType="application/vnd.openxmlformats-officedocument.themeOverride+xml"/>
  <Override PartName="/xl/charts/chart3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8.xml" ContentType="application/vnd.openxmlformats-officedocument.themeOverrid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11.xml" ContentType="application/vnd.openxmlformats-officedocument.drawing+xml"/>
  <Override PartName="/xl/charts/chart3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9.xml" ContentType="application/vnd.openxmlformats-officedocument.themeOverride+xml"/>
  <Override PartName="/xl/charts/chart4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0.xml" ContentType="application/vnd.openxmlformats-officedocument.themeOverride+xml"/>
  <Override PartName="/xl/charts/chart4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1.xml" ContentType="application/vnd.openxmlformats-officedocument.themeOverride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12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13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14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H:\Research Transportation\Saturation Flow Measurement\Supplementary Mats\"/>
    </mc:Choice>
  </mc:AlternateContent>
  <xr:revisionPtr revIDLastSave="0" documentId="13_ncr:1_{DB869021-DECA-4844-AB36-147048CFDD97}" xr6:coauthVersionLast="47" xr6:coauthVersionMax="47" xr10:uidLastSave="{00000000-0000-0000-0000-000000000000}"/>
  <bookViews>
    <workbookView xWindow="1860" yWindow="690" windowWidth="26940" windowHeight="14835" activeTab="1" xr2:uid="{00000000-000D-0000-FFFF-FFFF00000000}"/>
  </bookViews>
  <sheets>
    <sheet name="Log" sheetId="7" r:id="rId1"/>
    <sheet name="8.15" sheetId="11" r:id="rId2"/>
    <sheet name="08.58" sheetId="20" r:id="rId3"/>
    <sheet name="9.03" sheetId="12" r:id="rId4"/>
    <sheet name="12.07" sheetId="13" r:id="rId5"/>
    <sheet name="12.16" sheetId="14" r:id="rId6"/>
    <sheet name="1.00" sheetId="15" r:id="rId7"/>
    <sheet name="1.04" sheetId="16" r:id="rId8"/>
    <sheet name="3.01" sheetId="8" r:id="rId9"/>
    <sheet name="3.35" sheetId="5" r:id="rId10"/>
    <sheet name="3.40" sheetId="6" r:id="rId11"/>
    <sheet name="5.02" sheetId="17" r:id="rId12"/>
    <sheet name="5.11" sheetId="18" r:id="rId13"/>
    <sheet name="5.21" sheetId="19" r:id="rId14"/>
  </sheets>
  <definedNames>
    <definedName name="_xleta.COUNT" hidden="1" xlm="1">#NAME?</definedName>
    <definedName name="_xleta.COUNTA" hidden="1" xlm="1">#NAME?</definedName>
    <definedName name="_xleta.IF" hidden="1" xlm="1">#NAME?</definedName>
    <definedName name="_xleta.TYPE" hidden="1" xlm="1">#NAME?</definedName>
    <definedName name="_xlpm.data" hidden="1" xlm="1">#NAME?</definedName>
    <definedName name="_xlpm.s" hidden="1" xlm="1">#NAME?</definedName>
    <definedName name="_xlpm.type" hidden="1" xlm="1">#NAME?</definedName>
    <definedName name="_xlnm.Print_Area" localSheetId="0">Log!$B$17:$J$34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7" l="1"/>
  <c r="E50" i="7"/>
  <c r="E51" i="7"/>
  <c r="E52" i="7"/>
  <c r="E53" i="7"/>
  <c r="E54" i="7"/>
  <c r="E48" i="7"/>
  <c r="D49" i="7"/>
  <c r="D50" i="7"/>
  <c r="D51" i="7"/>
  <c r="D52" i="7"/>
  <c r="D53" i="7"/>
  <c r="D54" i="7"/>
  <c r="D48" i="7"/>
  <c r="C49" i="7"/>
  <c r="C50" i="7"/>
  <c r="C51" i="7"/>
  <c r="C52" i="7"/>
  <c r="C53" i="7"/>
  <c r="C54" i="7"/>
  <c r="C48" i="7"/>
  <c r="E15" i="11"/>
  <c r="B5" i="6"/>
  <c r="B6" i="6"/>
  <c r="B7" i="6"/>
  <c r="B8" i="6"/>
  <c r="B9" i="6"/>
  <c r="B4" i="6"/>
  <c r="E36" i="6"/>
  <c r="P4" i="5"/>
  <c r="P5" i="5"/>
  <c r="P6" i="5"/>
  <c r="P7" i="5"/>
  <c r="P8" i="5"/>
  <c r="P3" i="5"/>
  <c r="I4" i="5"/>
  <c r="I5" i="5"/>
  <c r="I6" i="5"/>
  <c r="I7" i="5"/>
  <c r="I8" i="5"/>
  <c r="I3" i="5"/>
  <c r="B4" i="5"/>
  <c r="B5" i="5"/>
  <c r="B6" i="5"/>
  <c r="B7" i="5"/>
  <c r="B8" i="5"/>
  <c r="B3" i="5"/>
  <c r="B5" i="19"/>
  <c r="B6" i="19"/>
  <c r="B7" i="19"/>
  <c r="B8" i="19"/>
  <c r="B9" i="19"/>
  <c r="B4" i="19"/>
  <c r="I5" i="19"/>
  <c r="I6" i="19"/>
  <c r="I7" i="19"/>
  <c r="I8" i="19"/>
  <c r="I9" i="19"/>
  <c r="I4" i="19"/>
  <c r="P5" i="19"/>
  <c r="P6" i="19"/>
  <c r="P7" i="19"/>
  <c r="P8" i="19"/>
  <c r="P9" i="19"/>
  <c r="P4" i="19"/>
  <c r="B5" i="18"/>
  <c r="B6" i="18"/>
  <c r="B7" i="18"/>
  <c r="B8" i="18"/>
  <c r="B9" i="18"/>
  <c r="I5" i="18"/>
  <c r="I6" i="18"/>
  <c r="I7" i="18"/>
  <c r="I8" i="18"/>
  <c r="I9" i="18"/>
  <c r="I4" i="18"/>
  <c r="P5" i="18"/>
  <c r="P6" i="18"/>
  <c r="P7" i="18"/>
  <c r="P8" i="18"/>
  <c r="P9" i="18"/>
  <c r="I5" i="17"/>
  <c r="I6" i="17"/>
  <c r="I7" i="17"/>
  <c r="I8" i="17"/>
  <c r="I9" i="17"/>
  <c r="B5" i="17"/>
  <c r="B6" i="17"/>
  <c r="B7" i="17"/>
  <c r="B8" i="17"/>
  <c r="B9" i="17"/>
  <c r="B4" i="17"/>
  <c r="I5" i="6"/>
  <c r="I6" i="6"/>
  <c r="I7" i="6"/>
  <c r="I8" i="6"/>
  <c r="I9" i="6"/>
  <c r="P5" i="6"/>
  <c r="P6" i="6"/>
  <c r="P7" i="6"/>
  <c r="P8" i="6"/>
  <c r="P9" i="6"/>
  <c r="P4" i="6"/>
  <c r="I5" i="8"/>
  <c r="I6" i="8"/>
  <c r="I7" i="8"/>
  <c r="I8" i="8"/>
  <c r="I9" i="8"/>
  <c r="I4" i="8"/>
  <c r="B5" i="8"/>
  <c r="B6" i="8"/>
  <c r="B7" i="8"/>
  <c r="B8" i="8"/>
  <c r="B9" i="8"/>
  <c r="P5" i="8"/>
  <c r="P6" i="8"/>
  <c r="P7" i="8"/>
  <c r="P8" i="8"/>
  <c r="P9" i="8"/>
  <c r="P4" i="8"/>
  <c r="B4" i="8"/>
  <c r="I5" i="16"/>
  <c r="I6" i="16"/>
  <c r="I7" i="16"/>
  <c r="I8" i="16"/>
  <c r="I9" i="16"/>
  <c r="B5" i="16"/>
  <c r="B6" i="16"/>
  <c r="B7" i="16"/>
  <c r="B8" i="16"/>
  <c r="B9" i="16"/>
  <c r="P5" i="16"/>
  <c r="P6" i="16"/>
  <c r="P7" i="16"/>
  <c r="P8" i="16"/>
  <c r="P9" i="16"/>
  <c r="P4" i="16"/>
  <c r="I4" i="16"/>
  <c r="B4" i="16"/>
  <c r="I5" i="15"/>
  <c r="I6" i="15"/>
  <c r="I7" i="15"/>
  <c r="I8" i="15"/>
  <c r="I9" i="15"/>
  <c r="B5" i="15"/>
  <c r="B6" i="15"/>
  <c r="B7" i="15"/>
  <c r="B8" i="15"/>
  <c r="B9" i="15"/>
  <c r="I4" i="15"/>
  <c r="B4" i="15"/>
  <c r="I5" i="14"/>
  <c r="I6" i="14"/>
  <c r="I7" i="14"/>
  <c r="I8" i="14"/>
  <c r="I9" i="14"/>
  <c r="B5" i="14"/>
  <c r="B6" i="14"/>
  <c r="B7" i="14"/>
  <c r="B8" i="14"/>
  <c r="B9" i="14"/>
  <c r="P5" i="14"/>
  <c r="P6" i="14"/>
  <c r="P7" i="14"/>
  <c r="P8" i="14"/>
  <c r="P9" i="14"/>
  <c r="P4" i="14"/>
  <c r="I5" i="12"/>
  <c r="I6" i="12"/>
  <c r="I7" i="12"/>
  <c r="I8" i="12"/>
  <c r="I9" i="12"/>
  <c r="B5" i="12"/>
  <c r="B6" i="12"/>
  <c r="B7" i="12"/>
  <c r="B8" i="12"/>
  <c r="B9" i="12"/>
  <c r="I5" i="20"/>
  <c r="I6" i="20"/>
  <c r="I7" i="20"/>
  <c r="I8" i="20"/>
  <c r="I9" i="20"/>
  <c r="B5" i="20"/>
  <c r="B6" i="20"/>
  <c r="B7" i="20"/>
  <c r="B8" i="20"/>
  <c r="B9" i="20"/>
  <c r="I5" i="11"/>
  <c r="I6" i="11"/>
  <c r="I7" i="11"/>
  <c r="I8" i="11"/>
  <c r="I9" i="11"/>
  <c r="B5" i="11"/>
  <c r="B6" i="11"/>
  <c r="B7" i="11"/>
  <c r="B8" i="11"/>
  <c r="B9" i="11"/>
  <c r="P5" i="13"/>
  <c r="P6" i="13"/>
  <c r="P7" i="13"/>
  <c r="P8" i="13"/>
  <c r="P9" i="13"/>
  <c r="P4" i="13"/>
  <c r="I5" i="13"/>
  <c r="I6" i="13"/>
  <c r="I7" i="13"/>
  <c r="I8" i="13"/>
  <c r="I9" i="13"/>
  <c r="B5" i="13"/>
  <c r="B6" i="13"/>
  <c r="B7" i="13"/>
  <c r="B8" i="13"/>
  <c r="B9" i="13"/>
  <c r="P5" i="12"/>
  <c r="P6" i="12"/>
  <c r="P7" i="12"/>
  <c r="P8" i="12"/>
  <c r="P9" i="12"/>
  <c r="P5" i="20"/>
  <c r="P6" i="20"/>
  <c r="P7" i="20"/>
  <c r="P8" i="20"/>
  <c r="P9" i="20"/>
  <c r="P4" i="20"/>
  <c r="I4" i="20"/>
  <c r="B4" i="11"/>
  <c r="B4" i="13"/>
  <c r="P4" i="12"/>
  <c r="I4" i="12"/>
  <c r="B4" i="12"/>
  <c r="B4" i="20"/>
  <c r="S29" i="11"/>
  <c r="S23" i="11"/>
  <c r="P5" i="11"/>
  <c r="P6" i="11"/>
  <c r="P7" i="11"/>
  <c r="P8" i="11"/>
  <c r="P9" i="11"/>
  <c r="P4" i="11"/>
  <c r="P4" i="18"/>
  <c r="E35" i="18"/>
  <c r="L14" i="18"/>
  <c r="S19" i="18"/>
  <c r="S22" i="18"/>
  <c r="S25" i="18"/>
  <c r="S29" i="18"/>
  <c r="S31" i="18"/>
  <c r="S40" i="18"/>
  <c r="S15" i="18"/>
  <c r="L14" i="8"/>
  <c r="L14" i="16"/>
  <c r="L21" i="15"/>
  <c r="S15" i="14"/>
  <c r="S47" i="12"/>
  <c r="S17" i="12"/>
  <c r="E16" i="12"/>
  <c r="L15" i="20"/>
  <c r="L23" i="20"/>
  <c r="E26" i="11"/>
  <c r="D43" i="7" l="1"/>
  <c r="D55" i="7"/>
  <c r="D44" i="7" s="1"/>
  <c r="E55" i="7"/>
  <c r="E41" i="7" s="1"/>
  <c r="C55" i="7"/>
  <c r="C44" i="7" s="1"/>
  <c r="P9" i="17"/>
  <c r="P8" i="17"/>
  <c r="P9" i="15"/>
  <c r="P8" i="15"/>
  <c r="B4" i="18"/>
  <c r="P7" i="17"/>
  <c r="P6" i="17"/>
  <c r="P5" i="17"/>
  <c r="P4" i="17"/>
  <c r="I4" i="17"/>
  <c r="I4" i="6"/>
  <c r="P5" i="15"/>
  <c r="P6" i="15"/>
  <c r="P7" i="15"/>
  <c r="P4" i="15"/>
  <c r="I4" i="14"/>
  <c r="B4" i="14"/>
  <c r="I4" i="13"/>
  <c r="E29" i="11"/>
  <c r="S6" i="5"/>
  <c r="L6" i="5"/>
  <c r="E6" i="5"/>
  <c r="L16" i="11"/>
  <c r="A73" i="11"/>
  <c r="A74" i="11" s="1"/>
  <c r="I4" i="11"/>
  <c r="E31" i="18"/>
  <c r="E22" i="17"/>
  <c r="E21" i="17"/>
  <c r="E23" i="17"/>
  <c r="Q15" i="5"/>
  <c r="S14" i="5"/>
  <c r="Q14" i="5"/>
  <c r="S15" i="5"/>
  <c r="E33" i="8"/>
  <c r="E16" i="16"/>
  <c r="E15" i="16"/>
  <c r="S19" i="11"/>
  <c r="S21" i="11"/>
  <c r="S22" i="11"/>
  <c r="S24" i="11"/>
  <c r="S25" i="11"/>
  <c r="S27" i="11"/>
  <c r="S28" i="11"/>
  <c r="S46" i="12"/>
  <c r="S48" i="12"/>
  <c r="L32" i="12"/>
  <c r="S20" i="19"/>
  <c r="S23" i="19"/>
  <c r="S25" i="19"/>
  <c r="S29" i="19"/>
  <c r="S31" i="19"/>
  <c r="S33" i="19"/>
  <c r="L21" i="19"/>
  <c r="E22" i="19"/>
  <c r="E30" i="19"/>
  <c r="E32" i="19"/>
  <c r="E36" i="19"/>
  <c r="E41" i="19"/>
  <c r="L23" i="18"/>
  <c r="L27" i="18"/>
  <c r="L31" i="18"/>
  <c r="E21" i="18"/>
  <c r="E23" i="18"/>
  <c r="E26" i="18"/>
  <c r="E28" i="18"/>
  <c r="E34" i="18"/>
  <c r="E25" i="17"/>
  <c r="E27" i="17"/>
  <c r="E16" i="17"/>
  <c r="S19" i="6"/>
  <c r="S29" i="6"/>
  <c r="S31" i="6"/>
  <c r="L27" i="6"/>
  <c r="E27" i="6"/>
  <c r="E31" i="6"/>
  <c r="E32" i="6"/>
  <c r="S26" i="5"/>
  <c r="E18" i="16"/>
  <c r="S32" i="15"/>
  <c r="S33" i="15"/>
  <c r="Q27" i="15"/>
  <c r="L15" i="6"/>
  <c r="E15" i="6"/>
  <c r="E15" i="5"/>
  <c r="E15" i="8"/>
  <c r="S15" i="8"/>
  <c r="E15" i="12"/>
  <c r="L15" i="12"/>
  <c r="S15" i="12"/>
  <c r="E15" i="13"/>
  <c r="L15" i="13"/>
  <c r="S15" i="13"/>
  <c r="L15" i="14"/>
  <c r="E15" i="14"/>
  <c r="E15" i="15"/>
  <c r="L15" i="15"/>
  <c r="S15" i="15"/>
  <c r="S15" i="16"/>
  <c r="L15" i="17"/>
  <c r="L15" i="18"/>
  <c r="E15" i="18"/>
  <c r="E16" i="18" s="1"/>
  <c r="E17" i="18" s="1"/>
  <c r="E18" i="18" s="1"/>
  <c r="E19" i="18" s="1"/>
  <c r="E20" i="18" s="1"/>
  <c r="E15" i="19"/>
  <c r="E16" i="19" s="1"/>
  <c r="E17" i="19" s="1"/>
  <c r="E18" i="19" s="1"/>
  <c r="E19" i="19" s="1"/>
  <c r="E20" i="19" s="1"/>
  <c r="E21" i="19" s="1"/>
  <c r="L15" i="19"/>
  <c r="L16" i="19" s="1"/>
  <c r="L17" i="19" s="1"/>
  <c r="L18" i="19" s="1"/>
  <c r="L19" i="19" s="1"/>
  <c r="L20" i="19" s="1"/>
  <c r="S15" i="19"/>
  <c r="L15" i="11"/>
  <c r="S15" i="11"/>
  <c r="S16" i="11" s="1"/>
  <c r="S17" i="11" s="1"/>
  <c r="S15" i="20"/>
  <c r="E15" i="20"/>
  <c r="S15" i="6"/>
  <c r="S16" i="6" s="1"/>
  <c r="S17" i="6" s="1"/>
  <c r="S18" i="6" s="1"/>
  <c r="S14" i="6"/>
  <c r="L14" i="6"/>
  <c r="E14" i="6"/>
  <c r="L15" i="5"/>
  <c r="L14" i="5"/>
  <c r="E14" i="5"/>
  <c r="S21" i="8"/>
  <c r="S14" i="8"/>
  <c r="L15" i="8"/>
  <c r="L16" i="8" s="1"/>
  <c r="L17" i="8" s="1"/>
  <c r="E28" i="8"/>
  <c r="E31" i="8"/>
  <c r="E38" i="8"/>
  <c r="E14" i="8"/>
  <c r="S40" i="12"/>
  <c r="S37" i="12"/>
  <c r="S16" i="12"/>
  <c r="S14" i="12"/>
  <c r="L14" i="12"/>
  <c r="E14" i="12"/>
  <c r="S15" i="17"/>
  <c r="S16" i="17" s="1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E15" i="17"/>
  <c r="L15" i="16"/>
  <c r="L16" i="16" s="1"/>
  <c r="L17" i="16" s="1"/>
  <c r="L18" i="16" s="1"/>
  <c r="E29" i="13"/>
  <c r="S14" i="13"/>
  <c r="L14" i="13"/>
  <c r="E14" i="13"/>
  <c r="S18" i="14"/>
  <c r="L16" i="14"/>
  <c r="S14" i="14"/>
  <c r="L14" i="14"/>
  <c r="E26" i="14"/>
  <c r="E14" i="14"/>
  <c r="S16" i="15"/>
  <c r="S14" i="15"/>
  <c r="L14" i="15"/>
  <c r="E30" i="15"/>
  <c r="E14" i="15"/>
  <c r="S14" i="16"/>
  <c r="E14" i="16"/>
  <c r="S14" i="17"/>
  <c r="L14" i="17"/>
  <c r="E14" i="17"/>
  <c r="S14" i="18"/>
  <c r="E14" i="18"/>
  <c r="S14" i="19"/>
  <c r="L14" i="19"/>
  <c r="E14" i="19"/>
  <c r="S14" i="11"/>
  <c r="L14" i="11"/>
  <c r="E14" i="11"/>
  <c r="J23" i="20"/>
  <c r="L14" i="20"/>
  <c r="S21" i="20"/>
  <c r="S33" i="20"/>
  <c r="S42" i="20"/>
  <c r="Q20" i="20"/>
  <c r="D41" i="7" l="1"/>
  <c r="D42" i="7"/>
  <c r="C42" i="7"/>
  <c r="C41" i="7"/>
  <c r="E42" i="7"/>
  <c r="E43" i="7"/>
  <c r="E44" i="7"/>
  <c r="C43" i="7"/>
  <c r="C45" i="7" s="1"/>
  <c r="E45" i="7"/>
  <c r="L16" i="18"/>
  <c r="A75" i="11"/>
  <c r="A76" i="11" s="1"/>
  <c r="S16" i="13"/>
  <c r="S17" i="13" s="1"/>
  <c r="S18" i="13" s="1"/>
  <c r="E23" i="19"/>
  <c r="E24" i="19" s="1"/>
  <c r="E25" i="19" s="1"/>
  <c r="E26" i="19" s="1"/>
  <c r="E27" i="19" s="1"/>
  <c r="E28" i="19" s="1"/>
  <c r="E29" i="19" s="1"/>
  <c r="E31" i="19" s="1"/>
  <c r="E33" i="19" s="1"/>
  <c r="E34" i="19" s="1"/>
  <c r="E35" i="19" s="1"/>
  <c r="E37" i="19" s="1"/>
  <c r="E38" i="19" s="1"/>
  <c r="E39" i="19" s="1"/>
  <c r="E40" i="19" s="1"/>
  <c r="E42" i="19" s="1"/>
  <c r="E43" i="19" s="1"/>
  <c r="S16" i="19"/>
  <c r="S17" i="19" s="1"/>
  <c r="S18" i="19" s="1"/>
  <c r="S19" i="19" s="1"/>
  <c r="S21" i="19" s="1"/>
  <c r="S22" i="19" s="1"/>
  <c r="S24" i="19" s="1"/>
  <c r="S26" i="19" s="1"/>
  <c r="S27" i="19" s="1"/>
  <c r="S28" i="19" s="1"/>
  <c r="S30" i="19" s="1"/>
  <c r="S32" i="19" s="1"/>
  <c r="S34" i="19" s="1"/>
  <c r="S35" i="19" s="1"/>
  <c r="S36" i="19" s="1"/>
  <c r="S37" i="19" s="1"/>
  <c r="S38" i="19" s="1"/>
  <c r="S18" i="11"/>
  <c r="S20" i="11" s="1"/>
  <c r="E16" i="5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S30" i="11"/>
  <c r="S31" i="11" s="1"/>
  <c r="S26" i="11"/>
  <c r="E33" i="6"/>
  <c r="E34" i="6" s="1"/>
  <c r="E35" i="6" s="1"/>
  <c r="E37" i="6" s="1"/>
  <c r="E38" i="6" s="1"/>
  <c r="E24" i="17"/>
  <c r="E26" i="17" s="1"/>
  <c r="E28" i="17" s="1"/>
  <c r="E36" i="18"/>
  <c r="E37" i="18" s="1"/>
  <c r="E38" i="18" s="1"/>
  <c r="S16" i="18"/>
  <c r="L17" i="18"/>
  <c r="L18" i="18" s="1"/>
  <c r="L19" i="18" s="1"/>
  <c r="L20" i="18" s="1"/>
  <c r="L22" i="19"/>
  <c r="L23" i="19" s="1"/>
  <c r="L24" i="19" s="1"/>
  <c r="L25" i="19" s="1"/>
  <c r="L26" i="19" s="1"/>
  <c r="L27" i="19" s="1"/>
  <c r="L28" i="19" s="1"/>
  <c r="E22" i="18"/>
  <c r="E24" i="18" s="1"/>
  <c r="E25" i="18" s="1"/>
  <c r="E27" i="18" s="1"/>
  <c r="E29" i="18" s="1"/>
  <c r="E30" i="18" s="1"/>
  <c r="E32" i="18" s="1"/>
  <c r="E33" i="18" s="1"/>
  <c r="E17" i="17"/>
  <c r="E18" i="17" s="1"/>
  <c r="E19" i="17" s="1"/>
  <c r="E20" i="17" s="1"/>
  <c r="S34" i="15"/>
  <c r="S20" i="6"/>
  <c r="S21" i="6" s="1"/>
  <c r="S22" i="6" s="1"/>
  <c r="S23" i="6" s="1"/>
  <c r="S24" i="6" s="1"/>
  <c r="S25" i="6" s="1"/>
  <c r="S26" i="6" s="1"/>
  <c r="S27" i="6" s="1"/>
  <c r="S28" i="6" s="1"/>
  <c r="S30" i="6" s="1"/>
  <c r="S32" i="6" s="1"/>
  <c r="L16" i="12"/>
  <c r="L17" i="12" s="1"/>
  <c r="L18" i="12" s="1"/>
  <c r="S16" i="14"/>
  <c r="S17" i="14" s="1"/>
  <c r="S19" i="14" s="1"/>
  <c r="E16" i="6"/>
  <c r="L16" i="6"/>
  <c r="L17" i="6" s="1"/>
  <c r="E16" i="14"/>
  <c r="S16" i="8"/>
  <c r="S17" i="8" s="1"/>
  <c r="S18" i="8" s="1"/>
  <c r="S16" i="16"/>
  <c r="S17" i="16" s="1"/>
  <c r="E16" i="13"/>
  <c r="E17" i="13" s="1"/>
  <c r="E18" i="13" s="1"/>
  <c r="E19" i="13" s="1"/>
  <c r="E17" i="12"/>
  <c r="E18" i="12" s="1"/>
  <c r="E19" i="12" s="1"/>
  <c r="L17" i="11"/>
  <c r="L18" i="11" s="1"/>
  <c r="L16" i="15"/>
  <c r="L17" i="15" s="1"/>
  <c r="L18" i="15" s="1"/>
  <c r="E16" i="15"/>
  <c r="E17" i="15" s="1"/>
  <c r="E18" i="15" s="1"/>
  <c r="L16" i="17"/>
  <c r="L17" i="17" s="1"/>
  <c r="L18" i="17" s="1"/>
  <c r="L8" i="17" s="1"/>
  <c r="E17" i="6"/>
  <c r="L16" i="13"/>
  <c r="E16" i="8"/>
  <c r="E17" i="8" s="1"/>
  <c r="E18" i="8" s="1"/>
  <c r="S28" i="17"/>
  <c r="E16" i="11"/>
  <c r="E17" i="11" s="1"/>
  <c r="E18" i="11" s="1"/>
  <c r="E19" i="11" s="1"/>
  <c r="E20" i="11" s="1"/>
  <c r="S16" i="5"/>
  <c r="T14" i="5" s="1"/>
  <c r="L16" i="5"/>
  <c r="L17" i="5" s="1"/>
  <c r="S17" i="15"/>
  <c r="S18" i="15" s="1"/>
  <c r="S19" i="15" s="1"/>
  <c r="S20" i="15" s="1"/>
  <c r="L17" i="14"/>
  <c r="L18" i="14" s="1"/>
  <c r="L19" i="14" s="1"/>
  <c r="L20" i="14" s="1"/>
  <c r="L21" i="14" s="1"/>
  <c r="L16" i="20"/>
  <c r="L17" i="20" s="1"/>
  <c r="L18" i="20" s="1"/>
  <c r="L19" i="20" s="1"/>
  <c r="L20" i="20" s="1"/>
  <c r="E17" i="16"/>
  <c r="L18" i="8"/>
  <c r="L19" i="16"/>
  <c r="C22" i="20"/>
  <c r="C14" i="20"/>
  <c r="E14" i="20"/>
  <c r="E16" i="20" s="1"/>
  <c r="C19" i="19"/>
  <c r="C29" i="19"/>
  <c r="C31" i="19"/>
  <c r="C35" i="19"/>
  <c r="C39" i="19"/>
  <c r="S14" i="20"/>
  <c r="S16" i="20" s="1"/>
  <c r="S8" i="17"/>
  <c r="B23" i="7"/>
  <c r="Q41" i="20"/>
  <c r="Q42" i="20"/>
  <c r="Q43" i="20"/>
  <c r="Q44" i="20"/>
  <c r="Q45" i="20"/>
  <c r="Q46" i="20"/>
  <c r="Q47" i="20"/>
  <c r="Q48" i="20"/>
  <c r="J22" i="20"/>
  <c r="J29" i="20"/>
  <c r="J30" i="20"/>
  <c r="C28" i="20"/>
  <c r="Q40" i="20"/>
  <c r="Q39" i="20"/>
  <c r="Q38" i="20"/>
  <c r="Q37" i="20"/>
  <c r="Q36" i="20"/>
  <c r="Q35" i="20"/>
  <c r="Q34" i="20"/>
  <c r="C34" i="20"/>
  <c r="Q33" i="20"/>
  <c r="C33" i="20"/>
  <c r="Q32" i="20"/>
  <c r="C32" i="20"/>
  <c r="Q31" i="20"/>
  <c r="C31" i="20"/>
  <c r="Q30" i="20"/>
  <c r="C30" i="20"/>
  <c r="Q29" i="20"/>
  <c r="C29" i="20"/>
  <c r="Q28" i="20"/>
  <c r="J28" i="20"/>
  <c r="Q27" i="20"/>
  <c r="J27" i="20"/>
  <c r="C27" i="20"/>
  <c r="Q26" i="20"/>
  <c r="J26" i="20"/>
  <c r="C26" i="20"/>
  <c r="Q25" i="20"/>
  <c r="J25" i="20"/>
  <c r="C25" i="20"/>
  <c r="Q24" i="20"/>
  <c r="J24" i="20"/>
  <c r="C24" i="20"/>
  <c r="Q23" i="20"/>
  <c r="C23" i="20"/>
  <c r="Q22" i="20"/>
  <c r="Q21" i="20"/>
  <c r="J21" i="20"/>
  <c r="C21" i="20"/>
  <c r="J20" i="20"/>
  <c r="C20" i="20"/>
  <c r="Q19" i="20"/>
  <c r="J19" i="20"/>
  <c r="C19" i="20"/>
  <c r="Q18" i="20"/>
  <c r="J18" i="20"/>
  <c r="C18" i="20"/>
  <c r="Q17" i="20"/>
  <c r="J17" i="20"/>
  <c r="C17" i="20"/>
  <c r="Q16" i="20"/>
  <c r="J16" i="20"/>
  <c r="C16" i="20"/>
  <c r="Q15" i="20"/>
  <c r="J15" i="20"/>
  <c r="C15" i="20"/>
  <c r="Q14" i="20"/>
  <c r="J14" i="20"/>
  <c r="Q13" i="20"/>
  <c r="J13" i="20"/>
  <c r="C13" i="20"/>
  <c r="B34" i="7"/>
  <c r="B33" i="7"/>
  <c r="B32" i="7"/>
  <c r="B28" i="7"/>
  <c r="B27" i="7"/>
  <c r="Q13" i="19"/>
  <c r="Q14" i="19"/>
  <c r="T14" i="19" s="1"/>
  <c r="Q15" i="19"/>
  <c r="Q16" i="19"/>
  <c r="Q17" i="19"/>
  <c r="Q18" i="19"/>
  <c r="C40" i="19"/>
  <c r="C41" i="19"/>
  <c r="C42" i="19"/>
  <c r="C43" i="19"/>
  <c r="Q40" i="19"/>
  <c r="Q39" i="19"/>
  <c r="Q38" i="19"/>
  <c r="C38" i="19"/>
  <c r="Q37" i="19"/>
  <c r="C37" i="19"/>
  <c r="Q36" i="19"/>
  <c r="C36" i="19"/>
  <c r="Q35" i="19"/>
  <c r="Q34" i="19"/>
  <c r="C34" i="19"/>
  <c r="Q33" i="19"/>
  <c r="C33" i="19"/>
  <c r="Q32" i="19"/>
  <c r="C32" i="19"/>
  <c r="Q31" i="19"/>
  <c r="Q30" i="19"/>
  <c r="C30" i="19"/>
  <c r="Q29" i="19"/>
  <c r="Q28" i="19"/>
  <c r="J28" i="19"/>
  <c r="C28" i="19"/>
  <c r="Q27" i="19"/>
  <c r="J27" i="19"/>
  <c r="C27" i="19"/>
  <c r="Q26" i="19"/>
  <c r="J26" i="19"/>
  <c r="C26" i="19"/>
  <c r="Q25" i="19"/>
  <c r="J25" i="19"/>
  <c r="C25" i="19"/>
  <c r="Q24" i="19"/>
  <c r="J24" i="19"/>
  <c r="C24" i="19"/>
  <c r="Q23" i="19"/>
  <c r="J23" i="19"/>
  <c r="C23" i="19"/>
  <c r="Q22" i="19"/>
  <c r="J22" i="19"/>
  <c r="C22" i="19"/>
  <c r="Q21" i="19"/>
  <c r="J21" i="19"/>
  <c r="C21" i="19"/>
  <c r="Q20" i="19"/>
  <c r="J20" i="19"/>
  <c r="C20" i="19"/>
  <c r="Q19" i="19"/>
  <c r="J19" i="19"/>
  <c r="J18" i="19"/>
  <c r="C18" i="19"/>
  <c r="J17" i="19"/>
  <c r="C17" i="19"/>
  <c r="J16" i="19"/>
  <c r="C16" i="19"/>
  <c r="J15" i="19"/>
  <c r="C15" i="19"/>
  <c r="J14" i="19"/>
  <c r="M14" i="19" s="1"/>
  <c r="C14" i="19"/>
  <c r="F14" i="19" s="1"/>
  <c r="J13" i="19"/>
  <c r="C13" i="19"/>
  <c r="Q39" i="18"/>
  <c r="Q42" i="18"/>
  <c r="Q43" i="18"/>
  <c r="Q29" i="18"/>
  <c r="Q30" i="18"/>
  <c r="Q31" i="18"/>
  <c r="Q32" i="18"/>
  <c r="Q33" i="18"/>
  <c r="Q34" i="18"/>
  <c r="Q35" i="18"/>
  <c r="Q36" i="18"/>
  <c r="Q37" i="18"/>
  <c r="Q38" i="18"/>
  <c r="Q40" i="18"/>
  <c r="Q41" i="18"/>
  <c r="C20" i="18"/>
  <c r="J28" i="18"/>
  <c r="J29" i="18"/>
  <c r="J30" i="18"/>
  <c r="J31" i="18"/>
  <c r="J32" i="18"/>
  <c r="J33" i="18"/>
  <c r="J34" i="18"/>
  <c r="J35" i="18"/>
  <c r="C37" i="18"/>
  <c r="C38" i="18"/>
  <c r="C36" i="18"/>
  <c r="C35" i="18"/>
  <c r="C34" i="18"/>
  <c r="C33" i="18"/>
  <c r="C32" i="18"/>
  <c r="C31" i="18"/>
  <c r="C30" i="18"/>
  <c r="C29" i="18"/>
  <c r="Q28" i="18"/>
  <c r="C28" i="18"/>
  <c r="Q27" i="18"/>
  <c r="J27" i="18"/>
  <c r="C27" i="18"/>
  <c r="Q26" i="18"/>
  <c r="J26" i="18"/>
  <c r="C26" i="18"/>
  <c r="Q25" i="18"/>
  <c r="J25" i="18"/>
  <c r="C25" i="18"/>
  <c r="Q24" i="18"/>
  <c r="J24" i="18"/>
  <c r="C24" i="18"/>
  <c r="Q23" i="18"/>
  <c r="J23" i="18"/>
  <c r="C23" i="18"/>
  <c r="Q22" i="18"/>
  <c r="J22" i="18"/>
  <c r="C22" i="18"/>
  <c r="Q21" i="18"/>
  <c r="J21" i="18"/>
  <c r="C21" i="18"/>
  <c r="Q20" i="18"/>
  <c r="J20" i="18"/>
  <c r="Q19" i="18"/>
  <c r="J19" i="18"/>
  <c r="C19" i="18"/>
  <c r="Q18" i="18"/>
  <c r="J18" i="18"/>
  <c r="C18" i="18"/>
  <c r="Q17" i="18"/>
  <c r="J17" i="18"/>
  <c r="C17" i="18"/>
  <c r="Q16" i="18"/>
  <c r="J16" i="18"/>
  <c r="C16" i="18"/>
  <c r="Q15" i="18"/>
  <c r="J15" i="18"/>
  <c r="C15" i="18"/>
  <c r="Q14" i="18"/>
  <c r="J14" i="18"/>
  <c r="C14" i="18"/>
  <c r="F14" i="18" s="1"/>
  <c r="Q13" i="18"/>
  <c r="J13" i="18"/>
  <c r="C13" i="18"/>
  <c r="Q27" i="17"/>
  <c r="Q13" i="17"/>
  <c r="C15" i="17"/>
  <c r="J20" i="17"/>
  <c r="C20" i="17"/>
  <c r="C32" i="17"/>
  <c r="C33" i="17"/>
  <c r="C34" i="17"/>
  <c r="C35" i="17"/>
  <c r="C36" i="17"/>
  <c r="C31" i="17"/>
  <c r="S52" i="17"/>
  <c r="S53" i="17" s="1"/>
  <c r="C30" i="17"/>
  <c r="C29" i="17"/>
  <c r="Q28" i="17"/>
  <c r="C28" i="17"/>
  <c r="J27" i="17"/>
  <c r="C27" i="17"/>
  <c r="Q26" i="17"/>
  <c r="T26" i="17" s="1"/>
  <c r="J26" i="17"/>
  <c r="C26" i="17"/>
  <c r="Q25" i="17"/>
  <c r="T25" i="17" s="1"/>
  <c r="J25" i="17"/>
  <c r="C25" i="17"/>
  <c r="Q24" i="17"/>
  <c r="T24" i="17" s="1"/>
  <c r="J24" i="17"/>
  <c r="C24" i="17"/>
  <c r="Q23" i="17"/>
  <c r="T23" i="17" s="1"/>
  <c r="J23" i="17"/>
  <c r="C23" i="17"/>
  <c r="Q22" i="17"/>
  <c r="T22" i="17" s="1"/>
  <c r="J22" i="17"/>
  <c r="C22" i="17"/>
  <c r="S7" i="17"/>
  <c r="Q21" i="17"/>
  <c r="T21" i="17" s="1"/>
  <c r="J21" i="17"/>
  <c r="C21" i="17"/>
  <c r="Q20" i="17"/>
  <c r="T20" i="17" s="1"/>
  <c r="Q19" i="17"/>
  <c r="T19" i="17" s="1"/>
  <c r="J19" i="17"/>
  <c r="C19" i="17"/>
  <c r="Q18" i="17"/>
  <c r="T18" i="17" s="1"/>
  <c r="J18" i="17"/>
  <c r="C18" i="17"/>
  <c r="Q17" i="17"/>
  <c r="T17" i="17" s="1"/>
  <c r="J17" i="17"/>
  <c r="C17" i="17"/>
  <c r="Q16" i="17"/>
  <c r="T16" i="17" s="1"/>
  <c r="J16" i="17"/>
  <c r="C16" i="17"/>
  <c r="Q15" i="17"/>
  <c r="T15" i="17" s="1"/>
  <c r="J15" i="17"/>
  <c r="Q14" i="17"/>
  <c r="T14" i="17" s="1"/>
  <c r="J14" i="17"/>
  <c r="M14" i="17" s="1"/>
  <c r="C14" i="17"/>
  <c r="F14" i="17" s="1"/>
  <c r="J13" i="17"/>
  <c r="C13" i="17"/>
  <c r="C31" i="16"/>
  <c r="Q29" i="16"/>
  <c r="C30" i="16"/>
  <c r="Q28" i="16"/>
  <c r="J29" i="16"/>
  <c r="C29" i="16"/>
  <c r="Q27" i="16"/>
  <c r="J28" i="16"/>
  <c r="C28" i="16"/>
  <c r="Q26" i="16"/>
  <c r="J27" i="16"/>
  <c r="C27" i="16"/>
  <c r="J26" i="16"/>
  <c r="C26" i="16"/>
  <c r="Q25" i="16"/>
  <c r="J25" i="16"/>
  <c r="C25" i="16"/>
  <c r="Q24" i="16"/>
  <c r="J24" i="16"/>
  <c r="C24" i="16"/>
  <c r="Q23" i="16"/>
  <c r="J23" i="16"/>
  <c r="C23" i="16"/>
  <c r="Q22" i="16"/>
  <c r="J22" i="16"/>
  <c r="C22" i="16"/>
  <c r="Q21" i="16"/>
  <c r="J21" i="16"/>
  <c r="C21" i="16"/>
  <c r="Q20" i="16"/>
  <c r="J20" i="16"/>
  <c r="C20" i="16"/>
  <c r="Q19" i="16"/>
  <c r="J19" i="16"/>
  <c r="C19" i="16"/>
  <c r="Q18" i="16"/>
  <c r="J18" i="16"/>
  <c r="C18" i="16"/>
  <c r="Q17" i="16"/>
  <c r="J17" i="16"/>
  <c r="C17" i="16"/>
  <c r="Q16" i="16"/>
  <c r="J16" i="16"/>
  <c r="M16" i="16" s="1"/>
  <c r="C16" i="16"/>
  <c r="Q15" i="16"/>
  <c r="J15" i="16"/>
  <c r="M15" i="16" s="1"/>
  <c r="C15" i="16"/>
  <c r="Q14" i="16"/>
  <c r="T14" i="16" s="1"/>
  <c r="J14" i="16"/>
  <c r="M14" i="16" s="1"/>
  <c r="C14" i="16"/>
  <c r="Q13" i="16"/>
  <c r="J13" i="16"/>
  <c r="C13" i="16"/>
  <c r="Q32" i="15"/>
  <c r="Q33" i="15"/>
  <c r="Q34" i="15"/>
  <c r="Q35" i="15"/>
  <c r="Q36" i="15"/>
  <c r="Q37" i="15"/>
  <c r="Q38" i="15"/>
  <c r="J20" i="15"/>
  <c r="J24" i="15"/>
  <c r="J26" i="15"/>
  <c r="C35" i="15"/>
  <c r="C34" i="15"/>
  <c r="C33" i="15"/>
  <c r="C32" i="15"/>
  <c r="C31" i="15"/>
  <c r="Q31" i="15"/>
  <c r="J30" i="15"/>
  <c r="C30" i="15"/>
  <c r="Q30" i="15"/>
  <c r="J29" i="15"/>
  <c r="C29" i="15"/>
  <c r="Q29" i="15"/>
  <c r="J28" i="15"/>
  <c r="C28" i="15"/>
  <c r="Q28" i="15"/>
  <c r="J27" i="15"/>
  <c r="C27" i="15"/>
  <c r="Q26" i="15"/>
  <c r="C26" i="15"/>
  <c r="Q25" i="15"/>
  <c r="J25" i="15"/>
  <c r="C25" i="15"/>
  <c r="Q24" i="15"/>
  <c r="C24" i="15"/>
  <c r="Q23" i="15"/>
  <c r="J23" i="15"/>
  <c r="C23" i="15"/>
  <c r="Q22" i="15"/>
  <c r="J22" i="15"/>
  <c r="C22" i="15"/>
  <c r="Q21" i="15"/>
  <c r="J21" i="15"/>
  <c r="C21" i="15"/>
  <c r="Q20" i="15"/>
  <c r="C20" i="15"/>
  <c r="Q19" i="15"/>
  <c r="J19" i="15"/>
  <c r="C19" i="15"/>
  <c r="Q18" i="15"/>
  <c r="J18" i="15"/>
  <c r="C18" i="15"/>
  <c r="Q17" i="15"/>
  <c r="J17" i="15"/>
  <c r="C17" i="15"/>
  <c r="Q16" i="15"/>
  <c r="J16" i="15"/>
  <c r="C16" i="15"/>
  <c r="Q15" i="15"/>
  <c r="J15" i="15"/>
  <c r="C15" i="15"/>
  <c r="Q14" i="15"/>
  <c r="T14" i="15" s="1"/>
  <c r="J14" i="15"/>
  <c r="M14" i="15" s="1"/>
  <c r="C14" i="15"/>
  <c r="F14" i="15" s="1"/>
  <c r="Q13" i="15"/>
  <c r="J13" i="15"/>
  <c r="C13" i="15"/>
  <c r="Q17" i="14"/>
  <c r="J15" i="14"/>
  <c r="J25" i="14"/>
  <c r="J28" i="14"/>
  <c r="J31" i="14"/>
  <c r="J29" i="14"/>
  <c r="J30" i="14"/>
  <c r="J32" i="14"/>
  <c r="J33" i="14"/>
  <c r="C22" i="14"/>
  <c r="C25" i="14"/>
  <c r="C27" i="14"/>
  <c r="C34" i="14"/>
  <c r="C32" i="14"/>
  <c r="C29" i="14"/>
  <c r="C14" i="14"/>
  <c r="F14" i="14" s="1"/>
  <c r="B26" i="7"/>
  <c r="C36" i="14"/>
  <c r="C35" i="14"/>
  <c r="C33" i="14"/>
  <c r="C31" i="14"/>
  <c r="Q30" i="14"/>
  <c r="C30" i="14"/>
  <c r="Q29" i="14"/>
  <c r="Q28" i="14"/>
  <c r="C28" i="14"/>
  <c r="Q27" i="14"/>
  <c r="J27" i="14"/>
  <c r="Q26" i="14"/>
  <c r="J26" i="14"/>
  <c r="C26" i="14"/>
  <c r="Q25" i="14"/>
  <c r="Q24" i="14"/>
  <c r="J24" i="14"/>
  <c r="C24" i="14"/>
  <c r="Q23" i="14"/>
  <c r="J23" i="14"/>
  <c r="C23" i="14"/>
  <c r="Q22" i="14"/>
  <c r="J22" i="14"/>
  <c r="Q21" i="14"/>
  <c r="J21" i="14"/>
  <c r="C21" i="14"/>
  <c r="Q20" i="14"/>
  <c r="J20" i="14"/>
  <c r="C20" i="14"/>
  <c r="Q19" i="14"/>
  <c r="J19" i="14"/>
  <c r="C19" i="14"/>
  <c r="Q18" i="14"/>
  <c r="J18" i="14"/>
  <c r="C18" i="14"/>
  <c r="J17" i="14"/>
  <c r="C17" i="14"/>
  <c r="Q16" i="14"/>
  <c r="J16" i="14"/>
  <c r="C16" i="14"/>
  <c r="Q15" i="14"/>
  <c r="C15" i="14"/>
  <c r="Q14" i="14"/>
  <c r="J14" i="14"/>
  <c r="M14" i="14" s="1"/>
  <c r="Q13" i="14"/>
  <c r="J13" i="14"/>
  <c r="C13" i="14"/>
  <c r="Q15" i="13"/>
  <c r="Q21" i="13"/>
  <c r="Q20" i="13"/>
  <c r="C27" i="13"/>
  <c r="C28" i="13"/>
  <c r="C29" i="13"/>
  <c r="C30" i="13"/>
  <c r="C31" i="13"/>
  <c r="C32" i="13"/>
  <c r="C33" i="13"/>
  <c r="C34" i="13"/>
  <c r="C35" i="13"/>
  <c r="C36" i="13"/>
  <c r="C37" i="13"/>
  <c r="B25" i="7"/>
  <c r="Q32" i="13"/>
  <c r="Q31" i="13"/>
  <c r="Q30" i="13"/>
  <c r="Q29" i="13"/>
  <c r="Q28" i="13"/>
  <c r="Q27" i="13"/>
  <c r="J27" i="13"/>
  <c r="Q26" i="13"/>
  <c r="J26" i="13"/>
  <c r="C26" i="13"/>
  <c r="Q25" i="13"/>
  <c r="J25" i="13"/>
  <c r="C25" i="13"/>
  <c r="Q24" i="13"/>
  <c r="J24" i="13"/>
  <c r="C24" i="13"/>
  <c r="Q23" i="13"/>
  <c r="J23" i="13"/>
  <c r="C23" i="13"/>
  <c r="Q22" i="13"/>
  <c r="J22" i="13"/>
  <c r="C22" i="13"/>
  <c r="J21" i="13"/>
  <c r="C21" i="13"/>
  <c r="J20" i="13"/>
  <c r="C20" i="13"/>
  <c r="Q19" i="13"/>
  <c r="J19" i="13"/>
  <c r="C19" i="13"/>
  <c r="Q18" i="13"/>
  <c r="J18" i="13"/>
  <c r="C18" i="13"/>
  <c r="Q17" i="13"/>
  <c r="J17" i="13"/>
  <c r="C17" i="13"/>
  <c r="Q16" i="13"/>
  <c r="J16" i="13"/>
  <c r="C16" i="13"/>
  <c r="J15" i="13"/>
  <c r="C15" i="13"/>
  <c r="Q14" i="13"/>
  <c r="J14" i="13"/>
  <c r="M14" i="13" s="1"/>
  <c r="C14" i="13"/>
  <c r="F14" i="13" s="1"/>
  <c r="Q13" i="13"/>
  <c r="J13" i="13"/>
  <c r="C13" i="13"/>
  <c r="B24" i="7"/>
  <c r="Q14" i="12"/>
  <c r="Q47" i="12"/>
  <c r="Q44" i="12"/>
  <c r="Q39" i="12"/>
  <c r="Q37" i="12"/>
  <c r="Q33" i="12"/>
  <c r="Q29" i="12"/>
  <c r="Q27" i="12"/>
  <c r="Q24" i="12"/>
  <c r="Q21" i="12"/>
  <c r="Q17" i="12"/>
  <c r="C28" i="11"/>
  <c r="C27" i="11"/>
  <c r="C14" i="11"/>
  <c r="D13" i="7"/>
  <c r="C20" i="11"/>
  <c r="C23" i="11"/>
  <c r="C25" i="11"/>
  <c r="C19" i="11"/>
  <c r="D12" i="7"/>
  <c r="Q40" i="12"/>
  <c r="Q41" i="12"/>
  <c r="Q42" i="12"/>
  <c r="Q43" i="12"/>
  <c r="Q45" i="12"/>
  <c r="Q46" i="12"/>
  <c r="Q48" i="12"/>
  <c r="Q49" i="12"/>
  <c r="Q50" i="12"/>
  <c r="J28" i="12"/>
  <c r="J29" i="12"/>
  <c r="J30" i="12"/>
  <c r="J31" i="12"/>
  <c r="J32" i="12"/>
  <c r="C31" i="12"/>
  <c r="C32" i="12"/>
  <c r="C33" i="12"/>
  <c r="C34" i="12"/>
  <c r="C35" i="12"/>
  <c r="C36" i="12"/>
  <c r="C37" i="12"/>
  <c r="C38" i="12"/>
  <c r="Q38" i="12"/>
  <c r="Q36" i="12"/>
  <c r="Q35" i="12"/>
  <c r="Q34" i="12"/>
  <c r="Q32" i="12"/>
  <c r="Q31" i="12"/>
  <c r="Q30" i="12"/>
  <c r="C30" i="12"/>
  <c r="C29" i="12"/>
  <c r="Q28" i="12"/>
  <c r="C28" i="12"/>
  <c r="J27" i="12"/>
  <c r="C27" i="12"/>
  <c r="Q26" i="12"/>
  <c r="J26" i="12"/>
  <c r="C26" i="12"/>
  <c r="Q25" i="12"/>
  <c r="J25" i="12"/>
  <c r="C25" i="12"/>
  <c r="J24" i="12"/>
  <c r="C24" i="12"/>
  <c r="Q23" i="12"/>
  <c r="J23" i="12"/>
  <c r="C23" i="12"/>
  <c r="Q22" i="12"/>
  <c r="J22" i="12"/>
  <c r="C22" i="12"/>
  <c r="J21" i="12"/>
  <c r="C21" i="12"/>
  <c r="Q20" i="12"/>
  <c r="J20" i="12"/>
  <c r="C20" i="12"/>
  <c r="Q19" i="12"/>
  <c r="J19" i="12"/>
  <c r="C19" i="12"/>
  <c r="Q18" i="12"/>
  <c r="J18" i="12"/>
  <c r="C18" i="12"/>
  <c r="J17" i="12"/>
  <c r="C17" i="12"/>
  <c r="Q16" i="12"/>
  <c r="J16" i="12"/>
  <c r="C16" i="12"/>
  <c r="Q15" i="12"/>
  <c r="J15" i="12"/>
  <c r="C15" i="12"/>
  <c r="J14" i="12"/>
  <c r="M14" i="12" s="1"/>
  <c r="C14" i="12"/>
  <c r="F14" i="12" s="1"/>
  <c r="Q13" i="12"/>
  <c r="J13" i="12"/>
  <c r="C13" i="12"/>
  <c r="Q14" i="6"/>
  <c r="T14" i="6" s="1"/>
  <c r="Q15" i="6"/>
  <c r="T15" i="6" s="1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13" i="6"/>
  <c r="J14" i="6"/>
  <c r="M14" i="6" s="1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13" i="6"/>
  <c r="C14" i="6"/>
  <c r="F14" i="6" s="1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13" i="6"/>
  <c r="C14" i="5"/>
  <c r="F14" i="5" s="1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13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13" i="5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J14" i="8"/>
  <c r="M14" i="8" s="1"/>
  <c r="J15" i="8"/>
  <c r="M15" i="8" s="1"/>
  <c r="J16" i="8"/>
  <c r="M16" i="8" s="1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13" i="8"/>
  <c r="J13" i="8"/>
  <c r="C13" i="8"/>
  <c r="Q33" i="11"/>
  <c r="Q34" i="11"/>
  <c r="Q35" i="11"/>
  <c r="Q36" i="11"/>
  <c r="Q37" i="11"/>
  <c r="Q38" i="11"/>
  <c r="Q39" i="11"/>
  <c r="B22" i="7"/>
  <c r="Q14" i="11"/>
  <c r="T14" i="11" s="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13" i="11"/>
  <c r="C15" i="11"/>
  <c r="C16" i="11"/>
  <c r="C17" i="11"/>
  <c r="C18" i="11"/>
  <c r="C21" i="11"/>
  <c r="C22" i="11"/>
  <c r="C24" i="11"/>
  <c r="C26" i="11"/>
  <c r="C29" i="11"/>
  <c r="F29" i="11" s="1"/>
  <c r="C30" i="11"/>
  <c r="C13" i="11"/>
  <c r="B29" i="7"/>
  <c r="B31" i="7"/>
  <c r="B30" i="7"/>
  <c r="D45" i="7" l="1"/>
  <c r="S17" i="18"/>
  <c r="S18" i="18" s="1"/>
  <c r="S20" i="18" s="1"/>
  <c r="S21" i="18" s="1"/>
  <c r="S23" i="18" s="1"/>
  <c r="S24" i="18" s="1"/>
  <c r="S26" i="18" s="1"/>
  <c r="S27" i="18" s="1"/>
  <c r="S28" i="18" s="1"/>
  <c r="S30" i="18" s="1"/>
  <c r="S32" i="18" s="1"/>
  <c r="S33" i="18" s="1"/>
  <c r="S34" i="18" s="1"/>
  <c r="S35" i="18" s="1"/>
  <c r="S36" i="18" s="1"/>
  <c r="S37" i="18" s="1"/>
  <c r="S38" i="18" s="1"/>
  <c r="S39" i="18" s="1"/>
  <c r="S41" i="18" s="1"/>
  <c r="S42" i="18" s="1"/>
  <c r="S43" i="18" s="1"/>
  <c r="E17" i="14"/>
  <c r="E18" i="14" s="1"/>
  <c r="E19" i="14" s="1"/>
  <c r="E20" i="14" s="1"/>
  <c r="E21" i="14" s="1"/>
  <c r="E22" i="14" s="1"/>
  <c r="E23" i="14" s="1"/>
  <c r="F6" i="5"/>
  <c r="T6" i="5"/>
  <c r="M6" i="5"/>
  <c r="C73" i="11" a="1"/>
  <c r="C73" i="11" s="1"/>
  <c r="D75" i="11" a="1"/>
  <c r="D75" i="11" s="1"/>
  <c r="B76" i="11" a="1"/>
  <c r="B76" i="11" s="1"/>
  <c r="C75" i="11" a="1"/>
  <c r="C75" i="11" s="1"/>
  <c r="C76" i="11" a="1"/>
  <c r="C76" i="11" s="1"/>
  <c r="C74" i="11" a="1"/>
  <c r="C74" i="11" s="1"/>
  <c r="M16" i="17"/>
  <c r="S39" i="19"/>
  <c r="S40" i="19" s="1"/>
  <c r="L21" i="18"/>
  <c r="L22" i="18" s="1"/>
  <c r="L24" i="18" s="1"/>
  <c r="L25" i="18" s="1"/>
  <c r="L26" i="18" s="1"/>
  <c r="L28" i="18" s="1"/>
  <c r="L29" i="18" s="1"/>
  <c r="L30" i="18" s="1"/>
  <c r="L32" i="18" s="1"/>
  <c r="L33" i="18" s="1"/>
  <c r="L34" i="18" s="1"/>
  <c r="L35" i="18" s="1"/>
  <c r="D76" i="11" a="1"/>
  <c r="D76" i="11" s="1"/>
  <c r="B73" i="11" a="1"/>
  <c r="B73" i="11" s="1"/>
  <c r="D73" i="11" a="1"/>
  <c r="D73" i="11" s="1"/>
  <c r="B75" i="11" a="1"/>
  <c r="B75" i="11" s="1"/>
  <c r="B74" i="11" a="1"/>
  <c r="B74" i="11" s="1"/>
  <c r="D74" i="11" a="1"/>
  <c r="D74" i="11" s="1"/>
  <c r="A77" i="11"/>
  <c r="B77" i="11" s="1" a="1"/>
  <c r="B77" i="11" s="1"/>
  <c r="D71" i="6" a="1"/>
  <c r="D71" i="6" s="1"/>
  <c r="D70" i="6" a="1"/>
  <c r="D70" i="6" s="1"/>
  <c r="D66" i="6" a="1"/>
  <c r="D66" i="6" s="1"/>
  <c r="D62" i="6" a="1"/>
  <c r="D62" i="6" s="1"/>
  <c r="D69" i="6" a="1"/>
  <c r="D69" i="6" s="1"/>
  <c r="D65" i="6" a="1"/>
  <c r="D65" i="6" s="1"/>
  <c r="D68" i="6" a="1"/>
  <c r="D68" i="6" s="1"/>
  <c r="D64" i="6" a="1"/>
  <c r="D64" i="6" s="1"/>
  <c r="D67" i="6" a="1"/>
  <c r="D67" i="6" s="1"/>
  <c r="D63" i="6" a="1"/>
  <c r="D63" i="6" s="1"/>
  <c r="B67" i="6" a="1"/>
  <c r="B67" i="6" s="1"/>
  <c r="B63" i="6" a="1"/>
  <c r="B63" i="6" s="1"/>
  <c r="B70" i="6" a="1"/>
  <c r="B70" i="6" s="1"/>
  <c r="B66" i="6" a="1"/>
  <c r="B66" i="6" s="1"/>
  <c r="B62" i="6" a="1"/>
  <c r="B62" i="6" s="1"/>
  <c r="B65" i="6" a="1"/>
  <c r="B65" i="6" s="1"/>
  <c r="B69" i="6" a="1"/>
  <c r="B69" i="6" s="1"/>
  <c r="B64" i="6" a="1"/>
  <c r="B64" i="6" s="1"/>
  <c r="B68" i="6" a="1"/>
  <c r="B68" i="6" s="1"/>
  <c r="B71" i="6" a="1"/>
  <c r="B71" i="6" s="1"/>
  <c r="B70" i="5" a="1"/>
  <c r="B70" i="5" s="1"/>
  <c r="B62" i="5" a="1"/>
  <c r="B62" i="5" s="1"/>
  <c r="B65" i="5" a="1"/>
  <c r="B65" i="5" s="1"/>
  <c r="B63" i="5" a="1"/>
  <c r="B63" i="5" s="1"/>
  <c r="B64" i="5" a="1"/>
  <c r="B64" i="5" s="1"/>
  <c r="B66" i="5" a="1"/>
  <c r="B66" i="5" s="1"/>
  <c r="B67" i="5" a="1"/>
  <c r="B67" i="5" s="1"/>
  <c r="B68" i="5" a="1"/>
  <c r="B68" i="5" s="1"/>
  <c r="B71" i="5" a="1"/>
  <c r="B71" i="5" s="1"/>
  <c r="B69" i="5" a="1"/>
  <c r="B69" i="5" s="1"/>
  <c r="F70" i="6" a="1"/>
  <c r="F70" i="6" s="1"/>
  <c r="F69" i="6" a="1"/>
  <c r="F69" i="6" s="1"/>
  <c r="F65" i="6" a="1"/>
  <c r="F65" i="6" s="1"/>
  <c r="F68" i="6" a="1"/>
  <c r="F68" i="6" s="1"/>
  <c r="F64" i="6" a="1"/>
  <c r="F64" i="6" s="1"/>
  <c r="F67" i="6" a="1"/>
  <c r="F67" i="6" s="1"/>
  <c r="F63" i="6" a="1"/>
  <c r="F63" i="6" s="1"/>
  <c r="F66" i="6" a="1"/>
  <c r="F66" i="6" s="1"/>
  <c r="F71" i="6" a="1"/>
  <c r="F71" i="6" s="1"/>
  <c r="F62" i="6" a="1"/>
  <c r="F62" i="6" s="1"/>
  <c r="D69" i="5" a="1"/>
  <c r="D69" i="5" s="1"/>
  <c r="D68" i="5" a="1"/>
  <c r="D68" i="5" s="1"/>
  <c r="D66" i="5" a="1"/>
  <c r="D66" i="5" s="1"/>
  <c r="D67" i="5" a="1"/>
  <c r="D67" i="5" s="1"/>
  <c r="D65" i="5" a="1"/>
  <c r="D65" i="5" s="1"/>
  <c r="D64" i="5" a="1"/>
  <c r="D64" i="5" s="1"/>
  <c r="D62" i="5" a="1"/>
  <c r="D62" i="5" s="1"/>
  <c r="D71" i="5" a="1"/>
  <c r="D71" i="5" s="1"/>
  <c r="D70" i="5" a="1"/>
  <c r="D70" i="5" s="1"/>
  <c r="D63" i="5" a="1"/>
  <c r="D63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68" i="5" a="1"/>
  <c r="F68" i="5" s="1"/>
  <c r="F69" i="5" a="1"/>
  <c r="F69" i="5" s="1"/>
  <c r="F70" i="5" a="1"/>
  <c r="F70" i="5" s="1"/>
  <c r="F71" i="5" a="1"/>
  <c r="F71" i="5" s="1"/>
  <c r="F62" i="5" a="1"/>
  <c r="F62" i="5" s="1"/>
  <c r="F15" i="15"/>
  <c r="F16" i="15"/>
  <c r="S35" i="15"/>
  <c r="S36" i="15" s="1"/>
  <c r="T34" i="15" s="1"/>
  <c r="S32" i="11"/>
  <c r="S33" i="11" s="1"/>
  <c r="M15" i="6"/>
  <c r="T32" i="15"/>
  <c r="T33" i="15"/>
  <c r="T14" i="8"/>
  <c r="T7" i="8"/>
  <c r="M15" i="19"/>
  <c r="M16" i="19"/>
  <c r="F17" i="14"/>
  <c r="T16" i="13"/>
  <c r="T16" i="14"/>
  <c r="F15" i="6"/>
  <c r="E18" i="6"/>
  <c r="F16" i="6" s="1"/>
  <c r="E29" i="17"/>
  <c r="E30" i="17" s="1"/>
  <c r="E31" i="17" s="1"/>
  <c r="E32" i="17" s="1"/>
  <c r="E33" i="17" s="1"/>
  <c r="E34" i="17" s="1"/>
  <c r="E35" i="17" s="1"/>
  <c r="E36" i="17" s="1"/>
  <c r="T16" i="19"/>
  <c r="T15" i="19"/>
  <c r="F18" i="14"/>
  <c r="F15" i="14"/>
  <c r="F16" i="14"/>
  <c r="T16" i="8"/>
  <c r="T15" i="8"/>
  <c r="T15" i="11"/>
  <c r="T16" i="11"/>
  <c r="F15" i="19"/>
  <c r="F16" i="19"/>
  <c r="F18" i="19"/>
  <c r="M16" i="15"/>
  <c r="F17" i="19"/>
  <c r="T18" i="14"/>
  <c r="T17" i="14"/>
  <c r="M15" i="15"/>
  <c r="F15" i="5"/>
  <c r="M15" i="17"/>
  <c r="F15" i="11"/>
  <c r="F14" i="16"/>
  <c r="T17" i="11"/>
  <c r="F14" i="8"/>
  <c r="T14" i="12"/>
  <c r="T15" i="13"/>
  <c r="M15" i="11"/>
  <c r="M14" i="11"/>
  <c r="F15" i="12"/>
  <c r="M15" i="12"/>
  <c r="T14" i="13"/>
  <c r="F15" i="8"/>
  <c r="F14" i="11"/>
  <c r="F16" i="12"/>
  <c r="T14" i="14"/>
  <c r="T15" i="12"/>
  <c r="F18" i="12"/>
  <c r="T15" i="14"/>
  <c r="T15" i="16"/>
  <c r="T28" i="17"/>
  <c r="F16" i="8"/>
  <c r="T17" i="15"/>
  <c r="F20" i="19"/>
  <c r="T15" i="18"/>
  <c r="S17" i="5"/>
  <c r="S18" i="5" s="1"/>
  <c r="S19" i="5" s="1"/>
  <c r="S20" i="5" s="1"/>
  <c r="T18" i="5" s="1"/>
  <c r="M15" i="13"/>
  <c r="L17" i="13"/>
  <c r="L21" i="20"/>
  <c r="L22" i="20" s="1"/>
  <c r="S19" i="8"/>
  <c r="S3" i="17"/>
  <c r="S4" i="17" s="1"/>
  <c r="E20" i="12"/>
  <c r="E21" i="12" s="1"/>
  <c r="S17" i="20"/>
  <c r="S18" i="20" s="1"/>
  <c r="E19" i="16"/>
  <c r="M16" i="12"/>
  <c r="L19" i="12"/>
  <c r="L8" i="12" s="1"/>
  <c r="L9" i="12" s="1"/>
  <c r="F19" i="11"/>
  <c r="E21" i="11"/>
  <c r="E22" i="11" s="1"/>
  <c r="F20" i="11" s="1"/>
  <c r="F16" i="5"/>
  <c r="F15" i="16"/>
  <c r="F17" i="12"/>
  <c r="M16" i="18"/>
  <c r="M15" i="18"/>
  <c r="M14" i="18"/>
  <c r="F18" i="11"/>
  <c r="F16" i="11"/>
  <c r="F17" i="11"/>
  <c r="E8" i="17"/>
  <c r="E9" i="17" s="1"/>
  <c r="F15" i="17"/>
  <c r="F15" i="13"/>
  <c r="F16" i="13"/>
  <c r="F16" i="17"/>
  <c r="T27" i="17"/>
  <c r="F15" i="18"/>
  <c r="M16" i="6"/>
  <c r="L18" i="6"/>
  <c r="L19" i="6" s="1"/>
  <c r="F19" i="19"/>
  <c r="E30" i="5"/>
  <c r="E31" i="5" s="1"/>
  <c r="T16" i="16"/>
  <c r="S18" i="16"/>
  <c r="T17" i="16" s="1"/>
  <c r="F17" i="17"/>
  <c r="L18" i="5"/>
  <c r="L19" i="5" s="1"/>
  <c r="L20" i="5" s="1"/>
  <c r="L21" i="5" s="1"/>
  <c r="L22" i="5" s="1"/>
  <c r="L23" i="5" s="1"/>
  <c r="L24" i="5" s="1"/>
  <c r="L25" i="5" s="1"/>
  <c r="T14" i="18"/>
  <c r="T19" i="15"/>
  <c r="S21" i="15"/>
  <c r="S22" i="15" s="1"/>
  <c r="S23" i="15" s="1"/>
  <c r="S24" i="15" s="1"/>
  <c r="T16" i="15"/>
  <c r="M15" i="5"/>
  <c r="S18" i="12"/>
  <c r="S19" i="12" s="1"/>
  <c r="T17" i="12" s="1"/>
  <c r="M14" i="5"/>
  <c r="T18" i="15"/>
  <c r="T15" i="15"/>
  <c r="M15" i="14"/>
  <c r="L22" i="14"/>
  <c r="M20" i="14"/>
  <c r="M19" i="14"/>
  <c r="M16" i="14"/>
  <c r="F18" i="17"/>
  <c r="T17" i="6"/>
  <c r="T16" i="6"/>
  <c r="M18" i="14"/>
  <c r="M17" i="14"/>
  <c r="E24" i="14"/>
  <c r="F21" i="14"/>
  <c r="S20" i="14"/>
  <c r="T19" i="14" s="1"/>
  <c r="E17" i="20"/>
  <c r="F15" i="20"/>
  <c r="L19" i="17"/>
  <c r="M17" i="17"/>
  <c r="M17" i="12"/>
  <c r="E19" i="15"/>
  <c r="F17" i="15"/>
  <c r="T17" i="8"/>
  <c r="E19" i="8"/>
  <c r="E20" i="8" s="1"/>
  <c r="F17" i="8"/>
  <c r="L19" i="15"/>
  <c r="M17" i="15"/>
  <c r="T18" i="6"/>
  <c r="T19" i="6"/>
  <c r="F17" i="5"/>
  <c r="L19" i="8"/>
  <c r="L20" i="8" s="1"/>
  <c r="L20" i="16"/>
  <c r="M17" i="16"/>
  <c r="M18" i="16"/>
  <c r="F17" i="13"/>
  <c r="E20" i="13"/>
  <c r="S19" i="13"/>
  <c r="T17" i="13"/>
  <c r="M17" i="19"/>
  <c r="M17" i="11"/>
  <c r="L19" i="11"/>
  <c r="M18" i="11" s="1"/>
  <c r="M16" i="11"/>
  <c r="F14" i="20"/>
  <c r="M15" i="20"/>
  <c r="M14" i="20"/>
  <c r="T14" i="20"/>
  <c r="L9" i="17"/>
  <c r="T52" i="17"/>
  <c r="T53" i="17" s="1"/>
  <c r="S2" i="17"/>
  <c r="S9" i="17"/>
  <c r="T8" i="11" l="1"/>
  <c r="F19" i="14"/>
  <c r="F20" i="14"/>
  <c r="M21" i="20"/>
  <c r="M22" i="20"/>
  <c r="D77" i="11" a="1"/>
  <c r="D77" i="11" s="1"/>
  <c r="C77" i="11" a="1"/>
  <c r="C77" i="11" s="1"/>
  <c r="A78" i="11"/>
  <c r="C78" i="11" s="1" a="1"/>
  <c r="C78" i="11" s="1"/>
  <c r="B78" i="11" a="1"/>
  <c r="B78" i="11" s="1"/>
  <c r="D78" i="11" a="1"/>
  <c r="D78" i="11" s="1"/>
  <c r="T35" i="15"/>
  <c r="S37" i="15"/>
  <c r="S38" i="15" s="1"/>
  <c r="T36" i="15" s="1"/>
  <c r="L20" i="6"/>
  <c r="L21" i="6" s="1"/>
  <c r="L21" i="17"/>
  <c r="L20" i="17"/>
  <c r="S34" i="11"/>
  <c r="S35" i="11" s="1"/>
  <c r="S36" i="11" s="1"/>
  <c r="S37" i="11" s="1"/>
  <c r="S38" i="11" s="1"/>
  <c r="S39" i="11" s="1"/>
  <c r="F17" i="6"/>
  <c r="T8" i="17"/>
  <c r="T9" i="17" s="1"/>
  <c r="T20" i="11"/>
  <c r="T19" i="11"/>
  <c r="T18" i="11"/>
  <c r="E19" i="6"/>
  <c r="E20" i="6" s="1"/>
  <c r="E21" i="6" s="1"/>
  <c r="E22" i="6" s="1"/>
  <c r="E23" i="6" s="1"/>
  <c r="E24" i="6" s="1"/>
  <c r="E25" i="6" s="1"/>
  <c r="E26" i="6" s="1"/>
  <c r="E28" i="6" s="1"/>
  <c r="E29" i="6" s="1"/>
  <c r="E30" i="6" s="1"/>
  <c r="T15" i="5"/>
  <c r="S25" i="15"/>
  <c r="T23" i="15"/>
  <c r="T17" i="19"/>
  <c r="F16" i="16"/>
  <c r="M16" i="5"/>
  <c r="M17" i="8"/>
  <c r="T16" i="12"/>
  <c r="L20" i="12"/>
  <c r="L21" i="12" s="1"/>
  <c r="S21" i="5"/>
  <c r="T19" i="5" s="1"/>
  <c r="E22" i="12"/>
  <c r="E23" i="12" s="1"/>
  <c r="F20" i="12"/>
  <c r="F19" i="12"/>
  <c r="T16" i="5"/>
  <c r="S19" i="20"/>
  <c r="S20" i="20" s="1"/>
  <c r="S22" i="20" s="1"/>
  <c r="L24" i="20"/>
  <c r="L18" i="13"/>
  <c r="M16" i="13" s="1"/>
  <c r="F21" i="17"/>
  <c r="F21" i="11"/>
  <c r="E23" i="11"/>
  <c r="E24" i="11" s="1"/>
  <c r="E25" i="11" s="1"/>
  <c r="S20" i="8"/>
  <c r="T18" i="8" s="1"/>
  <c r="M18" i="5"/>
  <c r="T16" i="18"/>
  <c r="E29" i="12"/>
  <c r="M17" i="5"/>
  <c r="E32" i="5"/>
  <c r="E33" i="5" s="1"/>
  <c r="E34" i="5" s="1"/>
  <c r="E35" i="5" s="1"/>
  <c r="E36" i="5" s="1"/>
  <c r="E37" i="5" s="1"/>
  <c r="E38" i="5" s="1"/>
  <c r="M17" i="6"/>
  <c r="T17" i="5"/>
  <c r="M17" i="18"/>
  <c r="M18" i="6"/>
  <c r="S19" i="16"/>
  <c r="S20" i="16" s="1"/>
  <c r="F16" i="18"/>
  <c r="S20" i="12"/>
  <c r="L26" i="5"/>
  <c r="L27" i="5" s="1"/>
  <c r="L28" i="5" s="1"/>
  <c r="L29" i="5" s="1"/>
  <c r="L30" i="5" s="1"/>
  <c r="L31" i="5" s="1"/>
  <c r="L32" i="5" s="1"/>
  <c r="F21" i="19"/>
  <c r="F22" i="19"/>
  <c r="T17" i="18"/>
  <c r="T20" i="15"/>
  <c r="F19" i="17"/>
  <c r="F20" i="17"/>
  <c r="L23" i="14"/>
  <c r="M21" i="14"/>
  <c r="E25" i="14"/>
  <c r="F23" i="14"/>
  <c r="F22" i="14"/>
  <c r="E20" i="16"/>
  <c r="F18" i="16"/>
  <c r="F17" i="16"/>
  <c r="M18" i="17"/>
  <c r="L20" i="15"/>
  <c r="M18" i="15"/>
  <c r="E21" i="8"/>
  <c r="F18" i="8"/>
  <c r="S21" i="14"/>
  <c r="E20" i="15"/>
  <c r="F18" i="15"/>
  <c r="E18" i="20"/>
  <c r="F16" i="20"/>
  <c r="T20" i="6"/>
  <c r="S8" i="6"/>
  <c r="S9" i="6" s="1"/>
  <c r="M19" i="5"/>
  <c r="F18" i="5"/>
  <c r="L21" i="8"/>
  <c r="M18" i="8"/>
  <c r="L21" i="16"/>
  <c r="L22" i="16" s="1"/>
  <c r="M19" i="16"/>
  <c r="F18" i="13"/>
  <c r="F19" i="13"/>
  <c r="E21" i="13"/>
  <c r="S20" i="13"/>
  <c r="T18" i="13"/>
  <c r="M18" i="19"/>
  <c r="T18" i="19"/>
  <c r="L20" i="11"/>
  <c r="L21" i="11" s="1"/>
  <c r="L22" i="11" s="1"/>
  <c r="L8" i="11"/>
  <c r="L9" i="11" s="1"/>
  <c r="M16" i="20"/>
  <c r="T7" i="17"/>
  <c r="T3" i="17"/>
  <c r="T4" i="17" s="1"/>
  <c r="T2" i="17"/>
  <c r="M19" i="17" l="1"/>
  <c r="A79" i="11"/>
  <c r="C79" i="11" s="1" a="1"/>
  <c r="C79" i="11" s="1"/>
  <c r="B79" i="11" a="1"/>
  <c r="B79" i="11" s="1"/>
  <c r="D79" i="11" a="1"/>
  <c r="D79" i="11" s="1"/>
  <c r="L8" i="6"/>
  <c r="L9" i="6" s="1"/>
  <c r="L22" i="17"/>
  <c r="L22" i="6"/>
  <c r="L23" i="6" s="1"/>
  <c r="L24" i="6" s="1"/>
  <c r="L25" i="6" s="1"/>
  <c r="L26" i="6" s="1"/>
  <c r="L28" i="6" s="1"/>
  <c r="L29" i="6" s="1"/>
  <c r="L30" i="6" s="1"/>
  <c r="M19" i="6"/>
  <c r="F20" i="6"/>
  <c r="F18" i="6"/>
  <c r="M18" i="12"/>
  <c r="M19" i="12"/>
  <c r="S26" i="15"/>
  <c r="T24" i="15"/>
  <c r="T37" i="15"/>
  <c r="T38" i="15"/>
  <c r="S22" i="14"/>
  <c r="S23" i="14" s="1"/>
  <c r="T20" i="14"/>
  <c r="S22" i="5"/>
  <c r="F22" i="11"/>
  <c r="F8" i="11" s="1"/>
  <c r="F21" i="12"/>
  <c r="T18" i="16"/>
  <c r="E24" i="12"/>
  <c r="F22" i="12"/>
  <c r="L25" i="20"/>
  <c r="M23" i="20"/>
  <c r="E39" i="5"/>
  <c r="E40" i="5" s="1"/>
  <c r="S23" i="20"/>
  <c r="T21" i="20" s="1"/>
  <c r="L8" i="19"/>
  <c r="L9" i="19" s="1"/>
  <c r="F22" i="17"/>
  <c r="S22" i="8"/>
  <c r="T19" i="8"/>
  <c r="M17" i="13"/>
  <c r="L19" i="13"/>
  <c r="T21" i="18"/>
  <c r="T22" i="18"/>
  <c r="L23" i="11"/>
  <c r="L24" i="11" s="1"/>
  <c r="L25" i="11" s="1"/>
  <c r="L26" i="11" s="1"/>
  <c r="L27" i="11" s="1"/>
  <c r="L33" i="5"/>
  <c r="L34" i="5" s="1"/>
  <c r="L35" i="5" s="1"/>
  <c r="M18" i="18"/>
  <c r="F19" i="6"/>
  <c r="S21" i="12"/>
  <c r="S22" i="12" s="1"/>
  <c r="T19" i="12"/>
  <c r="T18" i="12"/>
  <c r="M20" i="6"/>
  <c r="F23" i="19"/>
  <c r="F21" i="6"/>
  <c r="F17" i="18"/>
  <c r="T19" i="18"/>
  <c r="T18" i="18"/>
  <c r="T20" i="18"/>
  <c r="S7" i="18"/>
  <c r="T22" i="15"/>
  <c r="T21" i="15"/>
  <c r="S7" i="15"/>
  <c r="E27" i="14"/>
  <c r="E28" i="14" s="1"/>
  <c r="F24" i="14"/>
  <c r="L24" i="14"/>
  <c r="M22" i="14"/>
  <c r="T21" i="11"/>
  <c r="S7" i="11"/>
  <c r="E21" i="15"/>
  <c r="F19" i="15"/>
  <c r="L22" i="15"/>
  <c r="M19" i="15"/>
  <c r="L22" i="12"/>
  <c r="L23" i="12" s="1"/>
  <c r="M20" i="12"/>
  <c r="E27" i="11"/>
  <c r="E28" i="11" s="1"/>
  <c r="F24" i="11"/>
  <c r="F23" i="11"/>
  <c r="E19" i="20"/>
  <c r="F17" i="20"/>
  <c r="E22" i="8"/>
  <c r="F20" i="8"/>
  <c r="F19" i="8"/>
  <c r="E21" i="16"/>
  <c r="F19" i="16"/>
  <c r="S7" i="6"/>
  <c r="T21" i="6"/>
  <c r="M20" i="5"/>
  <c r="F19" i="5"/>
  <c r="M20" i="8"/>
  <c r="L22" i="8"/>
  <c r="L7" i="8" s="1"/>
  <c r="M19" i="8"/>
  <c r="L23" i="16"/>
  <c r="M20" i="16"/>
  <c r="M8" i="16" s="1"/>
  <c r="F20" i="13"/>
  <c r="E22" i="13"/>
  <c r="E23" i="13" s="1"/>
  <c r="S21" i="13"/>
  <c r="S22" i="13" s="1"/>
  <c r="T19" i="13"/>
  <c r="S21" i="16"/>
  <c r="T19" i="16"/>
  <c r="M19" i="19"/>
  <c r="T19" i="19"/>
  <c r="T20" i="19"/>
  <c r="M19" i="11"/>
  <c r="M8" i="11" s="1"/>
  <c r="M20" i="11"/>
  <c r="M17" i="20"/>
  <c r="T15" i="20"/>
  <c r="E8" i="14" l="1"/>
  <c r="E9" i="14" s="1"/>
  <c r="A80" i="11"/>
  <c r="D80" i="11" a="1"/>
  <c r="D80" i="11" s="1"/>
  <c r="L23" i="17"/>
  <c r="M20" i="17"/>
  <c r="M21" i="17"/>
  <c r="M8" i="6"/>
  <c r="M9" i="6" s="1"/>
  <c r="T22" i="11"/>
  <c r="T3" i="15"/>
  <c r="S27" i="15"/>
  <c r="T25" i="15"/>
  <c r="S24" i="14"/>
  <c r="S25" i="14" s="1"/>
  <c r="T22" i="14"/>
  <c r="T21" i="14"/>
  <c r="S23" i="5"/>
  <c r="T21" i="5" s="1"/>
  <c r="T20" i="5"/>
  <c r="E25" i="12"/>
  <c r="F23" i="12" s="1"/>
  <c r="L24" i="12"/>
  <c r="L25" i="12" s="1"/>
  <c r="S24" i="20"/>
  <c r="T22" i="20" s="1"/>
  <c r="F22" i="6"/>
  <c r="F23" i="17"/>
  <c r="S7" i="19"/>
  <c r="T23" i="11"/>
  <c r="L20" i="13"/>
  <c r="M18" i="13" s="1"/>
  <c r="L8" i="13"/>
  <c r="L9" i="13" s="1"/>
  <c r="T23" i="18"/>
  <c r="S23" i="8"/>
  <c r="T20" i="8"/>
  <c r="T21" i="8"/>
  <c r="L26" i="20"/>
  <c r="M24" i="20"/>
  <c r="M19" i="18"/>
  <c r="M21" i="6"/>
  <c r="F24" i="19"/>
  <c r="S23" i="12"/>
  <c r="T20" i="12"/>
  <c r="L25" i="14"/>
  <c r="L26" i="14" s="1"/>
  <c r="M23" i="14"/>
  <c r="F26" i="14"/>
  <c r="E29" i="14"/>
  <c r="E30" i="14" s="1"/>
  <c r="E7" i="14" s="1"/>
  <c r="F25" i="14"/>
  <c r="E23" i="8"/>
  <c r="E24" i="8" s="1"/>
  <c r="F21" i="8"/>
  <c r="L23" i="15"/>
  <c r="M21" i="15"/>
  <c r="M20" i="15"/>
  <c r="L8" i="8"/>
  <c r="L9" i="8" s="1"/>
  <c r="F26" i="11"/>
  <c r="F25" i="11"/>
  <c r="S7" i="14"/>
  <c r="E22" i="15"/>
  <c r="F20" i="15" s="1"/>
  <c r="E8" i="15"/>
  <c r="E9" i="15" s="1"/>
  <c r="E20" i="20"/>
  <c r="F18" i="20"/>
  <c r="E22" i="16"/>
  <c r="E23" i="16" s="1"/>
  <c r="E24" i="16" s="1"/>
  <c r="F20" i="16"/>
  <c r="M21" i="12"/>
  <c r="T22" i="6"/>
  <c r="M21" i="5"/>
  <c r="F20" i="5"/>
  <c r="F21" i="5"/>
  <c r="L23" i="8"/>
  <c r="L24" i="8" s="1"/>
  <c r="M21" i="8"/>
  <c r="L24" i="16"/>
  <c r="M21" i="16"/>
  <c r="M22" i="16"/>
  <c r="F21" i="13"/>
  <c r="E24" i="13"/>
  <c r="T20" i="13"/>
  <c r="S23" i="13"/>
  <c r="S7" i="13" s="1"/>
  <c r="S22" i="16"/>
  <c r="T20" i="16"/>
  <c r="M20" i="19"/>
  <c r="M3" i="19" s="1"/>
  <c r="M4" i="19" s="1"/>
  <c r="M21" i="19"/>
  <c r="T21" i="19"/>
  <c r="M21" i="11"/>
  <c r="M18" i="20"/>
  <c r="T16" i="20"/>
  <c r="T17" i="20"/>
  <c r="M8" i="19" l="1"/>
  <c r="M9" i="19" s="1"/>
  <c r="D34" i="7" s="1"/>
  <c r="A81" i="11"/>
  <c r="D81" i="11" s="1" a="1"/>
  <c r="D81" i="11" s="1"/>
  <c r="C80" i="11" a="1"/>
  <c r="C80" i="11" s="1"/>
  <c r="B80" i="11" a="1"/>
  <c r="B80" i="11" s="1"/>
  <c r="L24" i="17"/>
  <c r="M22" i="17"/>
  <c r="M3" i="17" s="1"/>
  <c r="M4" i="17" s="1"/>
  <c r="T7" i="18"/>
  <c r="E25" i="16"/>
  <c r="E26" i="16" s="1"/>
  <c r="S28" i="15"/>
  <c r="T26" i="15"/>
  <c r="T23" i="14"/>
  <c r="T7" i="14" s="1"/>
  <c r="M22" i="12"/>
  <c r="S24" i="5"/>
  <c r="T22" i="5" s="1"/>
  <c r="F18" i="18"/>
  <c r="E7" i="6"/>
  <c r="T7" i="11"/>
  <c r="S8" i="19"/>
  <c r="S9" i="19" s="1"/>
  <c r="M23" i="12"/>
  <c r="E26" i="12"/>
  <c r="F24" i="12"/>
  <c r="L26" i="12"/>
  <c r="L3" i="12" s="1"/>
  <c r="L4" i="12" s="1"/>
  <c r="M24" i="12"/>
  <c r="E31" i="14"/>
  <c r="E32" i="14" s="1"/>
  <c r="S8" i="8"/>
  <c r="S9" i="8" s="1"/>
  <c r="S24" i="8"/>
  <c r="T22" i="8" s="1"/>
  <c r="T8" i="8" s="1"/>
  <c r="S7" i="8"/>
  <c r="F24" i="17"/>
  <c r="L27" i="14"/>
  <c r="L28" i="14" s="1"/>
  <c r="T25" i="18"/>
  <c r="T24" i="18"/>
  <c r="M19" i="13"/>
  <c r="L21" i="13"/>
  <c r="S25" i="20"/>
  <c r="T23" i="20" s="1"/>
  <c r="L27" i="20"/>
  <c r="M25" i="20" s="1"/>
  <c r="L3" i="20"/>
  <c r="L4" i="20" s="1"/>
  <c r="M21" i="18"/>
  <c r="M20" i="18"/>
  <c r="M3" i="18" s="1"/>
  <c r="M4" i="18" s="1"/>
  <c r="E8" i="18"/>
  <c r="E9" i="18" s="1"/>
  <c r="F19" i="18"/>
  <c r="L3" i="14"/>
  <c r="L4" i="14" s="1"/>
  <c r="S24" i="12"/>
  <c r="T21" i="12"/>
  <c r="T22" i="12"/>
  <c r="S7" i="12"/>
  <c r="F25" i="19"/>
  <c r="M22" i="6"/>
  <c r="T7" i="15"/>
  <c r="F27" i="14"/>
  <c r="F28" i="14"/>
  <c r="M24" i="14"/>
  <c r="L24" i="15"/>
  <c r="L25" i="15" s="1"/>
  <c r="M22" i="15"/>
  <c r="E23" i="15"/>
  <c r="E24" i="15" s="1"/>
  <c r="E30" i="11"/>
  <c r="E7" i="11" s="1"/>
  <c r="F27" i="11"/>
  <c r="F22" i="8"/>
  <c r="E25" i="8"/>
  <c r="E26" i="8" s="1"/>
  <c r="E21" i="20"/>
  <c r="F19" i="20"/>
  <c r="F21" i="16"/>
  <c r="S26" i="14"/>
  <c r="T24" i="14" s="1"/>
  <c r="T23" i="6"/>
  <c r="F23" i="6"/>
  <c r="F7" i="6" s="1"/>
  <c r="M22" i="5"/>
  <c r="F22" i="5"/>
  <c r="M22" i="8"/>
  <c r="M8" i="8" s="1"/>
  <c r="L25" i="8"/>
  <c r="L26" i="8" s="1"/>
  <c r="L25" i="16"/>
  <c r="M23" i="16"/>
  <c r="F22" i="13"/>
  <c r="E25" i="13"/>
  <c r="F23" i="13" s="1"/>
  <c r="S24" i="13"/>
  <c r="T22" i="13"/>
  <c r="T21" i="13"/>
  <c r="S23" i="16"/>
  <c r="T21" i="16"/>
  <c r="M22" i="19"/>
  <c r="T23" i="19"/>
  <c r="T22" i="19"/>
  <c r="M23" i="11"/>
  <c r="M22" i="11"/>
  <c r="M19" i="20"/>
  <c r="M20" i="20"/>
  <c r="T19" i="20"/>
  <c r="T18" i="20"/>
  <c r="T20" i="20"/>
  <c r="S7" i="20"/>
  <c r="M8" i="20" l="1"/>
  <c r="C81" i="11" a="1"/>
  <c r="C81" i="11" s="1"/>
  <c r="M7" i="8"/>
  <c r="A82" i="11"/>
  <c r="D82" i="11" a="1"/>
  <c r="D82" i="11" s="1"/>
  <c r="B81" i="11" a="1"/>
  <c r="B81" i="11" s="1"/>
  <c r="M23" i="17"/>
  <c r="L25" i="17"/>
  <c r="E27" i="16"/>
  <c r="E28" i="16" s="1"/>
  <c r="E29" i="16" s="1"/>
  <c r="E30" i="16" s="1"/>
  <c r="E31" i="16" s="1"/>
  <c r="F21" i="15"/>
  <c r="S7" i="16"/>
  <c r="T22" i="16"/>
  <c r="S29" i="15"/>
  <c r="T27" i="15"/>
  <c r="M9" i="8"/>
  <c r="S27" i="14"/>
  <c r="S28" i="14" s="1"/>
  <c r="T27" i="14" s="1"/>
  <c r="T25" i="14"/>
  <c r="S25" i="5"/>
  <c r="F28" i="11"/>
  <c r="F29" i="14"/>
  <c r="L27" i="12"/>
  <c r="M25" i="12"/>
  <c r="M25" i="14"/>
  <c r="F22" i="16"/>
  <c r="L2" i="14"/>
  <c r="M26" i="14"/>
  <c r="E33" i="14"/>
  <c r="E34" i="14" s="1"/>
  <c r="E35" i="14" s="1"/>
  <c r="E36" i="14" s="1"/>
  <c r="F30" i="14"/>
  <c r="F31" i="14"/>
  <c r="T24" i="11"/>
  <c r="E27" i="12"/>
  <c r="F25" i="12"/>
  <c r="E33" i="12"/>
  <c r="S26" i="20"/>
  <c r="F25" i="17"/>
  <c r="M20" i="13"/>
  <c r="L22" i="13"/>
  <c r="L29" i="14"/>
  <c r="L30" i="14" s="1"/>
  <c r="M28" i="14" s="1"/>
  <c r="S25" i="8"/>
  <c r="S3" i="8" s="1"/>
  <c r="S4" i="8" s="1"/>
  <c r="T23" i="8"/>
  <c r="M27" i="14"/>
  <c r="T25" i="11"/>
  <c r="L28" i="20"/>
  <c r="M26" i="20"/>
  <c r="F23" i="16"/>
  <c r="T26" i="18"/>
  <c r="M23" i="18"/>
  <c r="M22" i="18"/>
  <c r="E25" i="15"/>
  <c r="F23" i="15" s="1"/>
  <c r="M23" i="6"/>
  <c r="M24" i="6"/>
  <c r="S25" i="12"/>
  <c r="T23" i="12"/>
  <c r="T7" i="12" s="1"/>
  <c r="F26" i="19"/>
  <c r="F20" i="18"/>
  <c r="F21" i="18"/>
  <c r="L26" i="15"/>
  <c r="L3" i="15" s="1"/>
  <c r="L4" i="15" s="1"/>
  <c r="M23" i="15"/>
  <c r="E27" i="8"/>
  <c r="F24" i="8"/>
  <c r="F23" i="8"/>
  <c r="F22" i="15"/>
  <c r="F30" i="11"/>
  <c r="E8" i="11"/>
  <c r="E9" i="11" s="1"/>
  <c r="E22" i="20"/>
  <c r="E23" i="20" s="1"/>
  <c r="F20" i="20"/>
  <c r="T24" i="6"/>
  <c r="T7" i="6"/>
  <c r="M23" i="5"/>
  <c r="F23" i="5"/>
  <c r="M24" i="8"/>
  <c r="M23" i="8"/>
  <c r="L27" i="8"/>
  <c r="L3" i="8"/>
  <c r="L4" i="8" s="1"/>
  <c r="L26" i="16"/>
  <c r="L3" i="16" s="1"/>
  <c r="L4" i="16" s="1"/>
  <c r="M24" i="16"/>
  <c r="E26" i="13"/>
  <c r="E8" i="13" s="1"/>
  <c r="E9" i="13" s="1"/>
  <c r="S25" i="13"/>
  <c r="T23" i="13" s="1"/>
  <c r="T7" i="13" s="1"/>
  <c r="S24" i="16"/>
  <c r="T23" i="16" s="1"/>
  <c r="M23" i="19"/>
  <c r="T25" i="19"/>
  <c r="T24" i="19"/>
  <c r="T7" i="19"/>
  <c r="M24" i="11"/>
  <c r="L3" i="11"/>
  <c r="L4" i="11" s="1"/>
  <c r="T7" i="20"/>
  <c r="M8" i="18" l="1"/>
  <c r="F7" i="14"/>
  <c r="F9" i="11"/>
  <c r="C22" i="7" s="1"/>
  <c r="D83" i="11" a="1"/>
  <c r="D83" i="11" s="1"/>
  <c r="A83" i="11"/>
  <c r="B83" i="11" a="1"/>
  <c r="B83" i="11" s="1"/>
  <c r="C82" i="11" a="1"/>
  <c r="C82" i="11" s="1"/>
  <c r="B82" i="11" a="1"/>
  <c r="B82" i="11" s="1"/>
  <c r="L26" i="17"/>
  <c r="L3" i="17" s="1"/>
  <c r="L4" i="17" s="1"/>
  <c r="M24" i="17"/>
  <c r="T23" i="5"/>
  <c r="S27" i="5"/>
  <c r="T25" i="5" s="1"/>
  <c r="S30" i="15"/>
  <c r="T28" i="15"/>
  <c r="T26" i="14"/>
  <c r="T24" i="5"/>
  <c r="F24" i="13"/>
  <c r="F24" i="6"/>
  <c r="L28" i="12"/>
  <c r="L2" i="12" s="1"/>
  <c r="F32" i="14"/>
  <c r="F33" i="14"/>
  <c r="T26" i="11"/>
  <c r="M3" i="14"/>
  <c r="M4" i="14" s="1"/>
  <c r="M2" i="14"/>
  <c r="S2" i="8"/>
  <c r="T24" i="20"/>
  <c r="S27" i="20"/>
  <c r="S28" i="20" s="1"/>
  <c r="S2" i="20" s="1"/>
  <c r="S2" i="11"/>
  <c r="T27" i="11"/>
  <c r="S3" i="11"/>
  <c r="S4" i="11" s="1"/>
  <c r="S8" i="11"/>
  <c r="S9" i="11" s="1"/>
  <c r="E28" i="12"/>
  <c r="F26" i="12"/>
  <c r="L29" i="20"/>
  <c r="M27" i="20"/>
  <c r="L2" i="20"/>
  <c r="F26" i="17"/>
  <c r="L23" i="13"/>
  <c r="M21" i="13" s="1"/>
  <c r="T27" i="18"/>
  <c r="S3" i="18"/>
  <c r="S4" i="18" s="1"/>
  <c r="S2" i="18"/>
  <c r="T25" i="20"/>
  <c r="T9" i="8"/>
  <c r="F24" i="16"/>
  <c r="S26" i="8"/>
  <c r="T24" i="8"/>
  <c r="M24" i="18"/>
  <c r="F27" i="19"/>
  <c r="S26" i="12"/>
  <c r="T24" i="12"/>
  <c r="F22" i="18"/>
  <c r="F23" i="18"/>
  <c r="L3" i="6"/>
  <c r="L4" i="6" s="1"/>
  <c r="M25" i="6"/>
  <c r="L31" i="14"/>
  <c r="M29" i="14"/>
  <c r="E26" i="15"/>
  <c r="F24" i="15" s="1"/>
  <c r="F26" i="6"/>
  <c r="F7" i="11"/>
  <c r="F35" i="14"/>
  <c r="F34" i="14"/>
  <c r="F36" i="14"/>
  <c r="S8" i="15"/>
  <c r="S9" i="15" s="1"/>
  <c r="M25" i="15"/>
  <c r="L27" i="15"/>
  <c r="M24" i="15"/>
  <c r="E24" i="20"/>
  <c r="F21" i="20"/>
  <c r="S29" i="14"/>
  <c r="T28" i="14" s="1"/>
  <c r="S8" i="14"/>
  <c r="S9" i="14" s="1"/>
  <c r="S2" i="14"/>
  <c r="S3" i="14"/>
  <c r="S4" i="14" s="1"/>
  <c r="F26" i="8"/>
  <c r="F25" i="8"/>
  <c r="E29" i="8"/>
  <c r="T25" i="6"/>
  <c r="F25" i="6"/>
  <c r="M24" i="5"/>
  <c r="F24" i="5"/>
  <c r="L28" i="8"/>
  <c r="L2" i="8" s="1"/>
  <c r="M26" i="8"/>
  <c r="M25" i="8"/>
  <c r="L27" i="16"/>
  <c r="M25" i="16"/>
  <c r="F25" i="13"/>
  <c r="E27" i="13"/>
  <c r="T24" i="13"/>
  <c r="S26" i="13"/>
  <c r="S25" i="16"/>
  <c r="M24" i="19"/>
  <c r="T26" i="19"/>
  <c r="M25" i="11"/>
  <c r="F8" i="8" l="1"/>
  <c r="T8" i="14"/>
  <c r="F8" i="14"/>
  <c r="F9" i="14" s="1"/>
  <c r="C26" i="7" s="1"/>
  <c r="M3" i="20"/>
  <c r="M4" i="20" s="1"/>
  <c r="D84" i="11" a="1"/>
  <c r="D84" i="11" s="1"/>
  <c r="A84" i="11"/>
  <c r="C84" i="11" a="1"/>
  <c r="C84" i="11" s="1"/>
  <c r="C83" i="11" a="1"/>
  <c r="C83" i="11" s="1"/>
  <c r="L27" i="17"/>
  <c r="L2" i="17" s="1"/>
  <c r="M25" i="17"/>
  <c r="S28" i="5"/>
  <c r="T26" i="5"/>
  <c r="M27" i="12"/>
  <c r="L29" i="12"/>
  <c r="L30" i="12" s="1"/>
  <c r="S31" i="15"/>
  <c r="T29" i="15"/>
  <c r="S26" i="16"/>
  <c r="T24" i="16"/>
  <c r="M26" i="12"/>
  <c r="T28" i="11"/>
  <c r="T29" i="11"/>
  <c r="F27" i="12"/>
  <c r="E30" i="12"/>
  <c r="E8" i="12" s="1"/>
  <c r="E9" i="12" s="1"/>
  <c r="S29" i="20"/>
  <c r="T26" i="20"/>
  <c r="T27" i="20"/>
  <c r="S3" i="20"/>
  <c r="S4" i="20" s="1"/>
  <c r="F26" i="18"/>
  <c r="S27" i="8"/>
  <c r="T25" i="8" s="1"/>
  <c r="T2" i="8" s="1"/>
  <c r="L30" i="20"/>
  <c r="M28" i="20"/>
  <c r="L8" i="20"/>
  <c r="L9" i="20" s="1"/>
  <c r="T28" i="18"/>
  <c r="T3" i="18" s="1"/>
  <c r="T4" i="18" s="1"/>
  <c r="T29" i="18"/>
  <c r="L24" i="13"/>
  <c r="M22" i="13"/>
  <c r="F27" i="17"/>
  <c r="F25" i="16"/>
  <c r="L3" i="18"/>
  <c r="L4" i="18" s="1"/>
  <c r="M25" i="18"/>
  <c r="E27" i="15"/>
  <c r="F25" i="15"/>
  <c r="M27" i="6"/>
  <c r="M26" i="6"/>
  <c r="F24" i="18"/>
  <c r="F25" i="18"/>
  <c r="L32" i="14"/>
  <c r="M30" i="14"/>
  <c r="S27" i="12"/>
  <c r="T25" i="12"/>
  <c r="L2" i="6"/>
  <c r="F27" i="6"/>
  <c r="E7" i="19"/>
  <c r="F28" i="19"/>
  <c r="E8" i="19"/>
  <c r="E9" i="19" s="1"/>
  <c r="S2" i="15"/>
  <c r="S3" i="15"/>
  <c r="S4" i="15" s="1"/>
  <c r="S30" i="14"/>
  <c r="E30" i="8"/>
  <c r="F27" i="8"/>
  <c r="F7" i="8" s="1"/>
  <c r="F28" i="8"/>
  <c r="L28" i="15"/>
  <c r="M26" i="15" s="1"/>
  <c r="M3" i="15" s="1"/>
  <c r="M4" i="15" s="1"/>
  <c r="E25" i="20"/>
  <c r="F23" i="20" s="1"/>
  <c r="F22" i="20"/>
  <c r="T26" i="6"/>
  <c r="S2" i="6"/>
  <c r="M26" i="5"/>
  <c r="M25" i="5"/>
  <c r="F25" i="5"/>
  <c r="E7" i="5"/>
  <c r="L29" i="8"/>
  <c r="M27" i="8"/>
  <c r="M3" i="8" s="1"/>
  <c r="M4" i="8" s="1"/>
  <c r="L28" i="16"/>
  <c r="M26" i="16"/>
  <c r="M3" i="16" s="1"/>
  <c r="M4" i="16" s="1"/>
  <c r="E28" i="13"/>
  <c r="E30" i="13" s="1"/>
  <c r="F26" i="13"/>
  <c r="S27" i="13"/>
  <c r="S28" i="13" s="1"/>
  <c r="T7" i="16"/>
  <c r="M25" i="19"/>
  <c r="L3" i="19"/>
  <c r="L4" i="19" s="1"/>
  <c r="T27" i="19"/>
  <c r="S3" i="19"/>
  <c r="S4" i="19" s="1"/>
  <c r="S2" i="19"/>
  <c r="M27" i="11"/>
  <c r="M26" i="11"/>
  <c r="L2" i="11"/>
  <c r="L7" i="11"/>
  <c r="D85" i="11" l="1" a="1"/>
  <c r="D85" i="11" s="1"/>
  <c r="A85" i="11"/>
  <c r="C85" i="11" s="1" a="1"/>
  <c r="C85" i="11" s="1"/>
  <c r="B84" i="11" a="1"/>
  <c r="B84" i="11" s="1"/>
  <c r="L7" i="17"/>
  <c r="M26" i="17"/>
  <c r="M27" i="17"/>
  <c r="S29" i="5"/>
  <c r="T27" i="5"/>
  <c r="M28" i="12"/>
  <c r="T25" i="13"/>
  <c r="S27" i="16"/>
  <c r="T25" i="16"/>
  <c r="T30" i="15"/>
  <c r="T31" i="15"/>
  <c r="T29" i="14"/>
  <c r="T30" i="14"/>
  <c r="T52" i="14" s="1"/>
  <c r="T53" i="14" s="1"/>
  <c r="M9" i="11"/>
  <c r="E7" i="18"/>
  <c r="T30" i="11"/>
  <c r="T2" i="11"/>
  <c r="F28" i="12"/>
  <c r="F29" i="12"/>
  <c r="E31" i="12"/>
  <c r="E7" i="12"/>
  <c r="T30" i="18"/>
  <c r="S8" i="20"/>
  <c r="S9" i="20" s="1"/>
  <c r="E31" i="13"/>
  <c r="F29" i="13" s="1"/>
  <c r="F28" i="17"/>
  <c r="S30" i="20"/>
  <c r="T28" i="20" s="1"/>
  <c r="T3" i="20" s="1"/>
  <c r="T4" i="20" s="1"/>
  <c r="M30" i="20"/>
  <c r="M29" i="20"/>
  <c r="L7" i="20"/>
  <c r="F27" i="18"/>
  <c r="M23" i="13"/>
  <c r="L25" i="13"/>
  <c r="S28" i="8"/>
  <c r="T26" i="8" s="1"/>
  <c r="T2" i="18"/>
  <c r="M27" i="18"/>
  <c r="M26" i="18"/>
  <c r="L2" i="18"/>
  <c r="F28" i="6"/>
  <c r="L31" i="12"/>
  <c r="M32" i="12" s="1"/>
  <c r="M28" i="6"/>
  <c r="M2" i="6" s="1"/>
  <c r="F30" i="19"/>
  <c r="F31" i="19"/>
  <c r="F29" i="19"/>
  <c r="S28" i="12"/>
  <c r="T26" i="12"/>
  <c r="E28" i="15"/>
  <c r="F26" i="15"/>
  <c r="L33" i="14"/>
  <c r="L7" i="14" s="1"/>
  <c r="M31" i="14"/>
  <c r="L2" i="15"/>
  <c r="M7" i="11"/>
  <c r="E32" i="8"/>
  <c r="F29" i="8"/>
  <c r="E26" i="20"/>
  <c r="F24" i="20"/>
  <c r="T9" i="14"/>
  <c r="E26" i="7" s="1"/>
  <c r="T2" i="14"/>
  <c r="S52" i="14"/>
  <c r="S53" i="14" s="1"/>
  <c r="L29" i="15"/>
  <c r="M27" i="15"/>
  <c r="T27" i="6"/>
  <c r="S3" i="6"/>
  <c r="S4" i="6" s="1"/>
  <c r="M27" i="5"/>
  <c r="F26" i="5"/>
  <c r="F7" i="5" s="1"/>
  <c r="M2" i="11"/>
  <c r="L30" i="8"/>
  <c r="M28" i="8"/>
  <c r="M2" i="8" s="1"/>
  <c r="L29" i="16"/>
  <c r="M27" i="16"/>
  <c r="L2" i="16"/>
  <c r="F27" i="13"/>
  <c r="F28" i="13"/>
  <c r="E7" i="13"/>
  <c r="S29" i="13"/>
  <c r="T26" i="13"/>
  <c r="S2" i="13"/>
  <c r="S3" i="13"/>
  <c r="S4" i="13" s="1"/>
  <c r="M26" i="19"/>
  <c r="T28" i="19"/>
  <c r="T29" i="19"/>
  <c r="M3" i="11"/>
  <c r="M4" i="11" s="1"/>
  <c r="T8" i="15" l="1"/>
  <c r="T9" i="15" s="1"/>
  <c r="E27" i="7" s="1"/>
  <c r="A86" i="11"/>
  <c r="B86" i="11" a="1"/>
  <c r="B86" i="11" s="1"/>
  <c r="D86" i="11" a="1"/>
  <c r="D86" i="11" s="1"/>
  <c r="C86" i="11" a="1"/>
  <c r="C86" i="11" s="1"/>
  <c r="B85" i="11" a="1"/>
  <c r="B85" i="11" s="1"/>
  <c r="M7" i="17"/>
  <c r="M8" i="17"/>
  <c r="M9" i="17" s="1"/>
  <c r="M2" i="17"/>
  <c r="M2" i="12"/>
  <c r="S30" i="5"/>
  <c r="T28" i="5"/>
  <c r="M29" i="12"/>
  <c r="M3" i="12" s="1"/>
  <c r="M4" i="12" s="1"/>
  <c r="F28" i="18"/>
  <c r="S28" i="16"/>
  <c r="S8" i="16" s="1"/>
  <c r="S9" i="16" s="1"/>
  <c r="T26" i="16"/>
  <c r="F32" i="19"/>
  <c r="E32" i="12"/>
  <c r="E34" i="12" s="1"/>
  <c r="E7" i="17"/>
  <c r="S52" i="15"/>
  <c r="S53" i="15" s="1"/>
  <c r="S29" i="8"/>
  <c r="T27" i="8"/>
  <c r="F33" i="19"/>
  <c r="F34" i="19"/>
  <c r="F29" i="18"/>
  <c r="M24" i="13"/>
  <c r="L26" i="13"/>
  <c r="T2" i="20"/>
  <c r="F30" i="13"/>
  <c r="F8" i="13" s="1"/>
  <c r="E32" i="13"/>
  <c r="S31" i="20"/>
  <c r="T29" i="20"/>
  <c r="T31" i="18"/>
  <c r="F26" i="16"/>
  <c r="F27" i="16"/>
  <c r="T3" i="14"/>
  <c r="T4" i="14" s="1"/>
  <c r="M28" i="18"/>
  <c r="M2" i="18" s="1"/>
  <c r="L8" i="14"/>
  <c r="L9" i="14" s="1"/>
  <c r="F7" i="19"/>
  <c r="E29" i="15"/>
  <c r="E7" i="15" s="1"/>
  <c r="F27" i="15"/>
  <c r="L7" i="12"/>
  <c r="M30" i="12"/>
  <c r="M31" i="12"/>
  <c r="S2" i="12"/>
  <c r="S29" i="12"/>
  <c r="T27" i="12"/>
  <c r="S3" i="12"/>
  <c r="S4" i="12" s="1"/>
  <c r="F29" i="6"/>
  <c r="M29" i="6"/>
  <c r="M30" i="6"/>
  <c r="L7" i="6"/>
  <c r="M32" i="14"/>
  <c r="M33" i="14"/>
  <c r="T2" i="15"/>
  <c r="E27" i="20"/>
  <c r="E28" i="20" s="1"/>
  <c r="F25" i="20"/>
  <c r="L30" i="15"/>
  <c r="M28" i="15"/>
  <c r="M2" i="15" s="1"/>
  <c r="E34" i="8"/>
  <c r="F31" i="8"/>
  <c r="F30" i="8"/>
  <c r="T28" i="6"/>
  <c r="T2" i="6" s="1"/>
  <c r="T29" i="6"/>
  <c r="M28" i="5"/>
  <c r="F27" i="5"/>
  <c r="L31" i="8"/>
  <c r="M29" i="8"/>
  <c r="M29" i="16"/>
  <c r="M28" i="16"/>
  <c r="M2" i="16" s="1"/>
  <c r="L8" i="16"/>
  <c r="L9" i="16" s="1"/>
  <c r="L7" i="16"/>
  <c r="S30" i="13"/>
  <c r="T27" i="13"/>
  <c r="T28" i="13"/>
  <c r="S8" i="13"/>
  <c r="S9" i="13" s="1"/>
  <c r="S3" i="16"/>
  <c r="S4" i="16" s="1"/>
  <c r="S2" i="16"/>
  <c r="M28" i="19"/>
  <c r="M27" i="19"/>
  <c r="L7" i="19"/>
  <c r="L2" i="19"/>
  <c r="T30" i="19"/>
  <c r="T31" i="19"/>
  <c r="S52" i="19"/>
  <c r="S53" i="19" s="1"/>
  <c r="T3" i="19"/>
  <c r="T4" i="19" s="1"/>
  <c r="T2" i="19"/>
  <c r="M8" i="14" l="1"/>
  <c r="M9" i="14" s="1"/>
  <c r="D26" i="7" s="1"/>
  <c r="F7" i="13"/>
  <c r="F9" i="13"/>
  <c r="C25" i="7" s="1"/>
  <c r="M8" i="12"/>
  <c r="M9" i="12" s="1"/>
  <c r="D24" i="7" s="1"/>
  <c r="S31" i="5"/>
  <c r="T29" i="5"/>
  <c r="M9" i="16"/>
  <c r="D28" i="7" s="1"/>
  <c r="S29" i="16"/>
  <c r="T27" i="16" s="1"/>
  <c r="F30" i="12"/>
  <c r="F7" i="12" s="1"/>
  <c r="T31" i="11"/>
  <c r="E35" i="12"/>
  <c r="F33" i="12" s="1"/>
  <c r="T32" i="11"/>
  <c r="F31" i="12"/>
  <c r="F32" i="12"/>
  <c r="E33" i="13"/>
  <c r="F31" i="13" s="1"/>
  <c r="T28" i="8"/>
  <c r="T3" i="8" s="1"/>
  <c r="T4" i="8" s="1"/>
  <c r="S30" i="8"/>
  <c r="F28" i="16"/>
  <c r="F8" i="16" s="1"/>
  <c r="F29" i="17"/>
  <c r="F30" i="17"/>
  <c r="T32" i="18"/>
  <c r="F30" i="18"/>
  <c r="F7" i="18" s="1"/>
  <c r="F31" i="18"/>
  <c r="M25" i="13"/>
  <c r="L27" i="13"/>
  <c r="F35" i="19"/>
  <c r="L3" i="13"/>
  <c r="L4" i="13" s="1"/>
  <c r="S32" i="20"/>
  <c r="T30" i="20" s="1"/>
  <c r="M7" i="14"/>
  <c r="M29" i="18"/>
  <c r="F31" i="6"/>
  <c r="F30" i="6"/>
  <c r="S30" i="12"/>
  <c r="T28" i="12"/>
  <c r="T2" i="12" s="1"/>
  <c r="M7" i="12"/>
  <c r="M3" i="6"/>
  <c r="M4" i="6" s="1"/>
  <c r="M7" i="6"/>
  <c r="F28" i="15"/>
  <c r="E31" i="15"/>
  <c r="T4" i="15"/>
  <c r="E29" i="20"/>
  <c r="E30" i="20" s="1"/>
  <c r="F26" i="20"/>
  <c r="F8" i="20" s="1"/>
  <c r="E35" i="8"/>
  <c r="E36" i="8" s="1"/>
  <c r="F32" i="8"/>
  <c r="M29" i="15"/>
  <c r="M30" i="15"/>
  <c r="L7" i="15"/>
  <c r="L8" i="15"/>
  <c r="L9" i="15" s="1"/>
  <c r="T30" i="6"/>
  <c r="T31" i="6"/>
  <c r="T32" i="6"/>
  <c r="M29" i="5"/>
  <c r="F28" i="5"/>
  <c r="M30" i="8"/>
  <c r="M31" i="8"/>
  <c r="M7" i="16"/>
  <c r="T2" i="13"/>
  <c r="T29" i="13"/>
  <c r="S31" i="13"/>
  <c r="M2" i="19"/>
  <c r="M7" i="19"/>
  <c r="T32" i="19"/>
  <c r="T33" i="19"/>
  <c r="M8" i="15" l="1"/>
  <c r="S52" i="16"/>
  <c r="S53" i="16" s="1"/>
  <c r="M9" i="15"/>
  <c r="D27" i="7" s="1"/>
  <c r="M8" i="13"/>
  <c r="M9" i="13" s="1"/>
  <c r="S32" i="5"/>
  <c r="T30" i="5"/>
  <c r="T8" i="6"/>
  <c r="T9" i="6" s="1"/>
  <c r="T3" i="11"/>
  <c r="T4" i="11" s="1"/>
  <c r="T8" i="13"/>
  <c r="T9" i="13" s="1"/>
  <c r="T28" i="16"/>
  <c r="T8" i="16" s="1"/>
  <c r="T29" i="16"/>
  <c r="T52" i="16" s="1"/>
  <c r="T53" i="16" s="1"/>
  <c r="T34" i="11"/>
  <c r="F33" i="8"/>
  <c r="E36" i="12"/>
  <c r="F34" i="12" s="1"/>
  <c r="F7" i="17"/>
  <c r="M27" i="13"/>
  <c r="M26" i="13"/>
  <c r="M3" i="13" s="1"/>
  <c r="M4" i="13" s="1"/>
  <c r="L7" i="13"/>
  <c r="L2" i="13"/>
  <c r="T52" i="15"/>
  <c r="T53" i="15" s="1"/>
  <c r="S34" i="20"/>
  <c r="T31" i="20"/>
  <c r="F29" i="16"/>
  <c r="F37" i="19"/>
  <c r="F36" i="19"/>
  <c r="S31" i="8"/>
  <c r="T29" i="8"/>
  <c r="F32" i="18"/>
  <c r="T33" i="18"/>
  <c r="T8" i="18" s="1"/>
  <c r="S52" i="18"/>
  <c r="S53" i="18" s="1"/>
  <c r="F31" i="17"/>
  <c r="F32" i="13"/>
  <c r="E34" i="13"/>
  <c r="E7" i="16"/>
  <c r="M30" i="18"/>
  <c r="M31" i="18"/>
  <c r="F29" i="15"/>
  <c r="F30" i="15"/>
  <c r="E32" i="15"/>
  <c r="S31" i="12"/>
  <c r="T29" i="12" s="1"/>
  <c r="F32" i="6"/>
  <c r="T9" i="16"/>
  <c r="E28" i="7" s="1"/>
  <c r="E37" i="8"/>
  <c r="F34" i="8"/>
  <c r="E7" i="8"/>
  <c r="E8" i="8"/>
  <c r="E9" i="8" s="1"/>
  <c r="T3" i="6"/>
  <c r="T4" i="6" s="1"/>
  <c r="F27" i="20"/>
  <c r="F28" i="20"/>
  <c r="E31" i="20"/>
  <c r="E32" i="20" s="1"/>
  <c r="E8" i="20"/>
  <c r="E9" i="20" s="1"/>
  <c r="E7" i="20"/>
  <c r="M7" i="15"/>
  <c r="F9" i="20"/>
  <c r="C23" i="7" s="1"/>
  <c r="M30" i="5"/>
  <c r="F29" i="5"/>
  <c r="F30" i="5"/>
  <c r="S32" i="13"/>
  <c r="T30" i="13"/>
  <c r="T2" i="16"/>
  <c r="T34" i="19"/>
  <c r="T52" i="19" s="1"/>
  <c r="T53" i="19" s="1"/>
  <c r="T3" i="16" l="1"/>
  <c r="T4" i="16" s="1"/>
  <c r="S33" i="5"/>
  <c r="T31" i="5"/>
  <c r="T33" i="11"/>
  <c r="T35" i="11"/>
  <c r="F35" i="12"/>
  <c r="F8" i="12" s="1"/>
  <c r="E37" i="12"/>
  <c r="M7" i="13"/>
  <c r="F33" i="18"/>
  <c r="T34" i="18"/>
  <c r="T52" i="18" s="1"/>
  <c r="T53" i="18" s="1"/>
  <c r="S35" i="20"/>
  <c r="T32" i="20"/>
  <c r="T33" i="20"/>
  <c r="F34" i="18"/>
  <c r="T30" i="8"/>
  <c r="S32" i="8"/>
  <c r="E35" i="13"/>
  <c r="F33" i="13"/>
  <c r="F32" i="17"/>
  <c r="F38" i="19"/>
  <c r="F31" i="16"/>
  <c r="F30" i="16"/>
  <c r="F7" i="16" s="1"/>
  <c r="E8" i="16"/>
  <c r="E9" i="16" s="1"/>
  <c r="M2" i="13"/>
  <c r="M32" i="18"/>
  <c r="L8" i="18"/>
  <c r="L9" i="18" s="1"/>
  <c r="F33" i="6"/>
  <c r="S32" i="12"/>
  <c r="T30" i="12"/>
  <c r="F31" i="15"/>
  <c r="E33" i="15"/>
  <c r="F7" i="15"/>
  <c r="E33" i="20"/>
  <c r="E34" i="20" s="1"/>
  <c r="F34" i="20" s="1"/>
  <c r="F30" i="20"/>
  <c r="F29" i="20"/>
  <c r="E39" i="8"/>
  <c r="F36" i="8"/>
  <c r="F35" i="8"/>
  <c r="M31" i="5"/>
  <c r="F32" i="5"/>
  <c r="F31" i="5"/>
  <c r="T31" i="13"/>
  <c r="T32" i="13"/>
  <c r="S52" i="13"/>
  <c r="S53" i="13" s="1"/>
  <c r="T35" i="19"/>
  <c r="T8" i="19" s="1"/>
  <c r="F9" i="8" l="1"/>
  <c r="F9" i="16"/>
  <c r="C28" i="7" s="1"/>
  <c r="S34" i="5"/>
  <c r="T32" i="5"/>
  <c r="T9" i="19"/>
  <c r="E34" i="7" s="1"/>
  <c r="T36" i="11"/>
  <c r="E38" i="12"/>
  <c r="F36" i="12" s="1"/>
  <c r="T32" i="8"/>
  <c r="T31" i="8"/>
  <c r="M35" i="18"/>
  <c r="F35" i="18"/>
  <c r="F39" i="19"/>
  <c r="S36" i="20"/>
  <c r="F33" i="17"/>
  <c r="T35" i="18"/>
  <c r="E36" i="13"/>
  <c r="F34" i="13" s="1"/>
  <c r="M33" i="18"/>
  <c r="E34" i="15"/>
  <c r="F32" i="15"/>
  <c r="S33" i="12"/>
  <c r="T31" i="12"/>
  <c r="T3" i="13"/>
  <c r="T4" i="13" s="1"/>
  <c r="F34" i="6"/>
  <c r="T52" i="13"/>
  <c r="T53" i="13" s="1"/>
  <c r="F7" i="20"/>
  <c r="E40" i="8"/>
  <c r="F38" i="8"/>
  <c r="F37" i="8"/>
  <c r="F32" i="20"/>
  <c r="F31" i="20"/>
  <c r="F33" i="20"/>
  <c r="M33" i="5"/>
  <c r="M32" i="5"/>
  <c r="F33" i="5"/>
  <c r="T37" i="19"/>
  <c r="T36" i="19"/>
  <c r="S35" i="5" l="1"/>
  <c r="T37" i="11"/>
  <c r="M34" i="18"/>
  <c r="M9" i="18" s="1"/>
  <c r="D33" i="7" s="1"/>
  <c r="F38" i="12"/>
  <c r="F37" i="12"/>
  <c r="S37" i="20"/>
  <c r="T35" i="20" s="1"/>
  <c r="E37" i="13"/>
  <c r="F35" i="13" s="1"/>
  <c r="F36" i="18"/>
  <c r="L7" i="18"/>
  <c r="T36" i="18"/>
  <c r="F34" i="17"/>
  <c r="F40" i="19"/>
  <c r="F41" i="19"/>
  <c r="T34" i="20"/>
  <c r="F35" i="6"/>
  <c r="F8" i="6" s="1"/>
  <c r="E8" i="6"/>
  <c r="E9" i="6" s="1"/>
  <c r="F36" i="6"/>
  <c r="S34" i="12"/>
  <c r="T32" i="12" s="1"/>
  <c r="E35" i="15"/>
  <c r="F33" i="15"/>
  <c r="E41" i="8"/>
  <c r="F39" i="8"/>
  <c r="M34" i="5"/>
  <c r="M35" i="5"/>
  <c r="L7" i="5"/>
  <c r="L8" i="5"/>
  <c r="L9" i="5" s="1"/>
  <c r="F34" i="5"/>
  <c r="F8" i="5" s="1"/>
  <c r="T39" i="19"/>
  <c r="T40" i="19"/>
  <c r="T38" i="19"/>
  <c r="M8" i="5" l="1"/>
  <c r="F8" i="15"/>
  <c r="F9" i="15" s="1"/>
  <c r="C27" i="7" s="1"/>
  <c r="T33" i="5"/>
  <c r="T35" i="5"/>
  <c r="M9" i="5"/>
  <c r="D30" i="7" s="1"/>
  <c r="I26" i="7" s="1"/>
  <c r="M7" i="18"/>
  <c r="T34" i="5"/>
  <c r="S8" i="5"/>
  <c r="S9" i="5" s="1"/>
  <c r="S7" i="5"/>
  <c r="F9" i="12"/>
  <c r="C24" i="7" s="1"/>
  <c r="T38" i="11"/>
  <c r="T39" i="11"/>
  <c r="T37" i="18"/>
  <c r="F35" i="17"/>
  <c r="F36" i="17"/>
  <c r="F38" i="18"/>
  <c r="F37" i="18"/>
  <c r="F37" i="13"/>
  <c r="F36" i="13"/>
  <c r="F42" i="19"/>
  <c r="F43" i="19"/>
  <c r="S38" i="20"/>
  <c r="T36" i="20"/>
  <c r="T3" i="12"/>
  <c r="T4" i="12" s="1"/>
  <c r="S35" i="12"/>
  <c r="S36" i="12" s="1"/>
  <c r="F35" i="15"/>
  <c r="F34" i="15"/>
  <c r="F38" i="6"/>
  <c r="F37" i="6"/>
  <c r="E42" i="8"/>
  <c r="F40" i="8"/>
  <c r="M7" i="5"/>
  <c r="F35" i="5"/>
  <c r="T8" i="5" l="1"/>
  <c r="F8" i="19"/>
  <c r="F9" i="19" s="1"/>
  <c r="C34" i="7" s="1"/>
  <c r="F8" i="18"/>
  <c r="I27" i="7"/>
  <c r="I28" i="7"/>
  <c r="I22" i="7"/>
  <c r="I23" i="7"/>
  <c r="T9" i="5"/>
  <c r="E30" i="7" s="1"/>
  <c r="F9" i="6"/>
  <c r="C31" i="7" s="1"/>
  <c r="F8" i="17"/>
  <c r="F9" i="17" s="1"/>
  <c r="C32" i="7" s="1"/>
  <c r="T7" i="5"/>
  <c r="F9" i="18"/>
  <c r="C33" i="7" s="1"/>
  <c r="T9" i="11"/>
  <c r="E22" i="7" s="1"/>
  <c r="S39" i="20"/>
  <c r="T37" i="20" s="1"/>
  <c r="S38" i="12"/>
  <c r="T36" i="12" s="1"/>
  <c r="T38" i="18"/>
  <c r="T33" i="12"/>
  <c r="T34" i="12"/>
  <c r="T35" i="12"/>
  <c r="E43" i="8"/>
  <c r="F41" i="8" s="1"/>
  <c r="F36" i="5"/>
  <c r="I24" i="7" l="1"/>
  <c r="S8" i="18"/>
  <c r="S9" i="18" s="1"/>
  <c r="T39" i="18"/>
  <c r="T40" i="18"/>
  <c r="S39" i="12"/>
  <c r="T37" i="12" s="1"/>
  <c r="S40" i="20"/>
  <c r="T38" i="20"/>
  <c r="F42" i="8"/>
  <c r="F43" i="8"/>
  <c r="F37" i="5"/>
  <c r="T38" i="12" l="1"/>
  <c r="S41" i="12"/>
  <c r="S41" i="20"/>
  <c r="T39" i="20"/>
  <c r="T41" i="18"/>
  <c r="T9" i="18" s="1"/>
  <c r="E33" i="7" s="1"/>
  <c r="F38" i="5"/>
  <c r="F39" i="5"/>
  <c r="F40" i="5"/>
  <c r="E8" i="5"/>
  <c r="E9" i="5" s="1"/>
  <c r="F9" i="5" l="1"/>
  <c r="C30" i="7" s="1"/>
  <c r="H26" i="7" s="1"/>
  <c r="T42" i="18"/>
  <c r="T43" i="18"/>
  <c r="S43" i="20"/>
  <c r="T40" i="20"/>
  <c r="S42" i="12"/>
  <c r="T40" i="12"/>
  <c r="T39" i="12"/>
  <c r="H28" i="7" l="1"/>
  <c r="H27" i="7"/>
  <c r="H23" i="7"/>
  <c r="H22" i="7"/>
  <c r="S44" i="20"/>
  <c r="T42" i="20" s="1"/>
  <c r="T41" i="20"/>
  <c r="S43" i="12"/>
  <c r="T41" i="12"/>
  <c r="H24" i="7" l="1"/>
  <c r="S44" i="12"/>
  <c r="T44" i="12" s="1"/>
  <c r="T42" i="12"/>
  <c r="S45" i="20"/>
  <c r="T43" i="20"/>
  <c r="S46" i="20" l="1"/>
  <c r="T44" i="20"/>
  <c r="S45" i="12"/>
  <c r="T43" i="12"/>
  <c r="S47" i="20" l="1"/>
  <c r="T45" i="20"/>
  <c r="S48" i="20" l="1"/>
  <c r="T46" i="20" s="1"/>
  <c r="T46" i="12"/>
  <c r="T45" i="12"/>
  <c r="S49" i="12" l="1"/>
  <c r="T47" i="12" s="1"/>
  <c r="T47" i="20"/>
  <c r="T48" i="20"/>
  <c r="T8" i="20" s="1"/>
  <c r="T9" i="20" s="1"/>
  <c r="E23" i="7" s="1"/>
  <c r="T48" i="12" l="1"/>
  <c r="T8" i="12" s="1"/>
  <c r="S50" i="12"/>
  <c r="S8" i="12" s="1"/>
  <c r="S9" i="12" s="1"/>
  <c r="T49" i="12" l="1"/>
  <c r="T50" i="12"/>
  <c r="T9" i="12" s="1"/>
  <c r="E24" i="7" s="1"/>
  <c r="J26" i="7" s="1"/>
  <c r="J27" i="7" l="1"/>
  <c r="J28" i="7"/>
  <c r="J22" i="7"/>
  <c r="J23" i="7"/>
  <c r="J24" i="7" l="1"/>
  <c r="M9" i="20"/>
  <c r="M2" i="20"/>
  <c r="M7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<sst xmlns="http://schemas.openxmlformats.org/spreadsheetml/2006/main" count="1772" uniqueCount="73">
  <si>
    <t>Headway</t>
  </si>
  <si>
    <t>Saturation flow</t>
  </si>
  <si>
    <t>Time (sec)</t>
  </si>
  <si>
    <t>PCU</t>
  </si>
  <si>
    <t>Car</t>
  </si>
  <si>
    <t>Motorbike</t>
  </si>
  <si>
    <t>CNG</t>
  </si>
  <si>
    <t>Bicycle</t>
  </si>
  <si>
    <t>ID</t>
  </si>
  <si>
    <t>V Cls</t>
  </si>
  <si>
    <t>Lane 2</t>
  </si>
  <si>
    <t>PCU adjusted headway (sec)</t>
  </si>
  <si>
    <r>
      <rPr>
        <sz val="11"/>
        <color theme="1"/>
        <rFont val="Aptos Narrow"/>
        <family val="2"/>
      </rPr>
      <t>∑</t>
    </r>
    <r>
      <rPr>
        <sz val="11"/>
        <color theme="1"/>
        <rFont val="Calibri"/>
        <family val="2"/>
        <scheme val="minor"/>
      </rPr>
      <t>Headway</t>
    </r>
  </si>
  <si>
    <t>Avg. headway</t>
  </si>
  <si>
    <t>Headway following vehicle (sec)</t>
  </si>
  <si>
    <t>Lane 3</t>
  </si>
  <si>
    <t>Lane 1</t>
  </si>
  <si>
    <t>Bus</t>
  </si>
  <si>
    <t>Truck</t>
  </si>
  <si>
    <t>PCU Chart</t>
  </si>
  <si>
    <t>∑Headway</t>
  </si>
  <si>
    <t>PCU adjusted</t>
  </si>
  <si>
    <t>-</t>
  </si>
  <si>
    <t>NMV</t>
  </si>
  <si>
    <t>PCU Adjusted Saturation Flow</t>
  </si>
  <si>
    <t>23 04 2024 Tuesday</t>
  </si>
  <si>
    <t>Min</t>
  </si>
  <si>
    <t>Max</t>
  </si>
  <si>
    <t>Vehicle Type</t>
  </si>
  <si>
    <t>Headway Threshold</t>
  </si>
  <si>
    <t>Heterogenous mix</t>
  </si>
  <si>
    <t>Motorbikes</t>
  </si>
  <si>
    <t>Flow</t>
  </si>
  <si>
    <t>Traffic</t>
  </si>
  <si>
    <t>Max saturation flow IND</t>
  </si>
  <si>
    <t>2600-3200</t>
  </si>
  <si>
    <t>PCU/h/lane</t>
  </si>
  <si>
    <t>2300-2800</t>
  </si>
  <si>
    <t>Max saturation flow~</t>
  </si>
  <si>
    <t>12:07:16-12:07:58 PM</t>
  </si>
  <si>
    <t>12:16:56-12:17:39 PM</t>
  </si>
  <si>
    <t>05:21:28-05:22:11 PM</t>
  </si>
  <si>
    <t>05:11:50-05:12:35 PM</t>
  </si>
  <si>
    <t>05:02:08-05:02:46 PM</t>
  </si>
  <si>
    <t>01:04:04-01:04:39 PM</t>
  </si>
  <si>
    <t>01:00:26-01:01:07 PM</t>
  </si>
  <si>
    <t>08:58:39-08:59:20 AM</t>
  </si>
  <si>
    <t>03:01:17-03:02:06 PM</t>
  </si>
  <si>
    <t>03:40:00-03:40:39 PM</t>
  </si>
  <si>
    <t>08:15:19-08:15:56 AM</t>
  </si>
  <si>
    <t>09:03:36-09:04:19 AM</t>
  </si>
  <si>
    <r>
      <rPr>
        <sz val="11"/>
        <color theme="1"/>
        <rFont val="Aptos Narrow"/>
        <family val="2"/>
      </rPr>
      <t>∑</t>
    </r>
    <r>
      <rPr>
        <sz val="11"/>
        <color theme="1"/>
        <rFont val="Calibri"/>
        <family val="2"/>
        <scheme val="minor"/>
      </rPr>
      <t>PCU</t>
    </r>
  </si>
  <si>
    <t>SD</t>
  </si>
  <si>
    <t>Mean</t>
  </si>
  <si>
    <t>0.4-0.6 optimal</t>
  </si>
  <si>
    <t>0.8-1.0 optimal</t>
  </si>
  <si>
    <t>Lane width = 3.3 meters</t>
  </si>
  <si>
    <t>Green-phase duration ~42 seconds</t>
  </si>
  <si>
    <t>Time of Day</t>
  </si>
  <si>
    <t>23rd April 2024</t>
  </si>
  <si>
    <t>CV</t>
  </si>
  <si>
    <t>03:35:07-03:35:54 PM</t>
  </si>
  <si>
    <t>Time</t>
  </si>
  <si>
    <t>Speed bins</t>
  </si>
  <si>
    <t>Range</t>
  </si>
  <si>
    <t>Discharge</t>
  </si>
  <si>
    <t>Volume</t>
  </si>
  <si>
    <t>Vehicle Composition</t>
  </si>
  <si>
    <t>Vehicle Count</t>
  </si>
  <si>
    <t>Three-wheeler</t>
  </si>
  <si>
    <t>Total Count</t>
  </si>
  <si>
    <t>Median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</si>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</sst>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[Red]0"/>
    <numFmt numFmtId="165" formatCode="0.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Abadi"/>
      <family val="2"/>
    </font>
    <font>
      <i/>
      <sz val="11"/>
      <color theme="2" tint="-0.749992370372631"/>
      <name val="Abadi"/>
      <family val="2"/>
    </font>
    <font>
      <b/>
      <i/>
      <sz val="12"/>
      <color theme="1"/>
      <name val="Abadi"/>
      <family val="2"/>
    </font>
    <font>
      <sz val="11"/>
      <color theme="1"/>
      <name val="Abadi"/>
      <family val="2"/>
    </font>
    <font>
      <sz val="11"/>
      <color theme="2" tint="-0.749992370372631"/>
      <name val="Abadi"/>
      <family val="2"/>
    </font>
    <font>
      <b/>
      <sz val="11"/>
      <color theme="0"/>
      <name val="Abadi"/>
      <family val="2"/>
    </font>
    <font>
      <sz val="8"/>
      <name val="Calibri"/>
      <family val="2"/>
      <scheme val="minor"/>
    </font>
    <font>
      <sz val="11"/>
      <color rgb="FF002060"/>
      <name val="Abadi"/>
      <family val="2"/>
    </font>
    <font>
      <i/>
      <sz val="11"/>
      <name val="Abadi"/>
      <family val="2"/>
    </font>
    <font>
      <sz val="11"/>
      <name val="Abadi"/>
      <family val="2"/>
    </font>
    <font>
      <b/>
      <sz val="11"/>
      <name val="Abadi"/>
      <family val="2"/>
    </font>
    <font>
      <sz val="11"/>
      <color rgb="FFFF0000"/>
      <name val="Abad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0070C0"/>
      <name val="Abadi"/>
      <family val="2"/>
    </font>
    <font>
      <sz val="11"/>
      <color rgb="FF3F3F76"/>
      <name val="Calibri"/>
      <family val="2"/>
      <scheme val="minor"/>
    </font>
    <font>
      <i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AFEA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3" fillId="2" borderId="0" applyNumberFormat="0" applyBorder="0" applyAlignment="0" applyProtection="0"/>
    <xf numFmtId="0" fontId="6" fillId="3" borderId="0" applyNumberFormat="0" applyBorder="0" applyAlignment="0" applyProtection="0"/>
    <xf numFmtId="9" fontId="21" fillId="0" borderId="0" applyFont="0" applyFill="0" applyBorder="0" applyAlignment="0" applyProtection="0"/>
    <xf numFmtId="0" fontId="22" fillId="13" borderId="0" applyNumberFormat="0" applyBorder="0" applyAlignment="0" applyProtection="0"/>
    <xf numFmtId="0" fontId="26" fillId="16" borderId="27" applyNumberFormat="0" applyAlignment="0" applyProtection="0"/>
  </cellStyleXfs>
  <cellXfs count="16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1" fillId="0" borderId="1" xfId="0" applyFont="1" applyBorder="1"/>
    <xf numFmtId="2" fontId="1" fillId="0" borderId="1" xfId="0" applyNumberFormat="1" applyFont="1" applyBorder="1"/>
    <xf numFmtId="1" fontId="1" fillId="0" borderId="1" xfId="0" applyNumberFormat="1" applyFont="1" applyBorder="1"/>
    <xf numFmtId="0" fontId="5" fillId="0" borderId="0" xfId="0" applyFont="1"/>
    <xf numFmtId="0" fontId="7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8" fillId="0" borderId="1" xfId="0" applyFont="1" applyBorder="1"/>
    <xf numFmtId="0" fontId="9" fillId="5" borderId="1" xfId="0" applyFont="1" applyFill="1" applyBorder="1"/>
    <xf numFmtId="0" fontId="10" fillId="6" borderId="1" xfId="0" applyFont="1" applyFill="1" applyBorder="1" applyAlignment="1">
      <alignment horizontal="center" vertical="center"/>
    </xf>
    <xf numFmtId="0" fontId="0" fillId="0" borderId="4" xfId="0" applyBorder="1"/>
    <xf numFmtId="2" fontId="0" fillId="0" borderId="1" xfId="0" applyNumberFormat="1" applyBorder="1"/>
    <xf numFmtId="2" fontId="0" fillId="0" borderId="4" xfId="0" applyNumberFormat="1" applyBorder="1"/>
    <xf numFmtId="1" fontId="0" fillId="0" borderId="1" xfId="0" applyNumberFormat="1" applyBorder="1"/>
    <xf numFmtId="1" fontId="0" fillId="0" borderId="4" xfId="0" applyNumberFormat="1" applyBorder="1"/>
    <xf numFmtId="0" fontId="12" fillId="5" borderId="1" xfId="0" applyFont="1" applyFill="1" applyBorder="1"/>
    <xf numFmtId="2" fontId="13" fillId="6" borderId="1" xfId="0" applyNumberFormat="1" applyFont="1" applyFill="1" applyBorder="1" applyAlignment="1">
      <alignment horizontal="center" vertical="center"/>
    </xf>
    <xf numFmtId="1" fontId="13" fillId="6" borderId="1" xfId="0" applyNumberFormat="1" applyFont="1" applyFill="1" applyBorder="1" applyAlignment="1">
      <alignment horizontal="center" vertical="center"/>
    </xf>
    <xf numFmtId="1" fontId="13" fillId="6" borderId="4" xfId="0" applyNumberFormat="1" applyFont="1" applyFill="1" applyBorder="1" applyAlignment="1">
      <alignment horizontal="center" vertical="center"/>
    </xf>
    <xf numFmtId="2" fontId="13" fillId="6" borderId="3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left" vertical="center"/>
    </xf>
    <xf numFmtId="1" fontId="14" fillId="7" borderId="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left" vertical="center"/>
    </xf>
    <xf numFmtId="0" fontId="8" fillId="0" borderId="1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2" fillId="0" borderId="2" xfId="0" applyFont="1" applyBorder="1"/>
    <xf numFmtId="0" fontId="12" fillId="9" borderId="1" xfId="0" applyFont="1" applyFill="1" applyBorder="1" applyAlignment="1">
      <alignment horizontal="left" vertical="center"/>
    </xf>
    <xf numFmtId="0" fontId="12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/>
    <xf numFmtId="2" fontId="0" fillId="0" borderId="0" xfId="0" applyNumberFormat="1"/>
    <xf numFmtId="0" fontId="0" fillId="0" borderId="7" xfId="0" applyBorder="1" applyAlignment="1">
      <alignment horizontal="center" vertical="center"/>
    </xf>
    <xf numFmtId="2" fontId="16" fillId="10" borderId="1" xfId="0" applyNumberFormat="1" applyFont="1" applyFill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2" fontId="16" fillId="11" borderId="1" xfId="0" applyNumberFormat="1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0" borderId="3" xfId="0" applyBorder="1"/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8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8" xfId="0" applyBorder="1"/>
    <xf numFmtId="0" fontId="1" fillId="0" borderId="3" xfId="0" applyFont="1" applyBorder="1" applyAlignment="1">
      <alignment horizontal="center" vertical="center"/>
    </xf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8" fillId="0" borderId="8" xfId="0" applyFont="1" applyBorder="1"/>
    <xf numFmtId="0" fontId="8" fillId="0" borderId="3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12" xfId="0" applyFont="1" applyBorder="1"/>
    <xf numFmtId="2" fontId="0" fillId="0" borderId="13" xfId="0" applyNumberFormat="1" applyBorder="1"/>
    <xf numFmtId="1" fontId="19" fillId="1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8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8" fillId="0" borderId="11" xfId="0" applyFont="1" applyBorder="1"/>
    <xf numFmtId="0" fontId="8" fillId="0" borderId="16" xfId="0" applyFont="1" applyBorder="1"/>
    <xf numFmtId="0" fontId="8" fillId="0" borderId="14" xfId="0" applyFont="1" applyBorder="1"/>
    <xf numFmtId="0" fontId="0" fillId="0" borderId="5" xfId="0" applyBorder="1"/>
    <xf numFmtId="0" fontId="8" fillId="0" borderId="15" xfId="0" applyFont="1" applyBorder="1"/>
    <xf numFmtId="0" fontId="0" fillId="0" borderId="17" xfId="0" applyBorder="1"/>
    <xf numFmtId="0" fontId="1" fillId="0" borderId="3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/>
    </xf>
    <xf numFmtId="0" fontId="0" fillId="0" borderId="18" xfId="0" applyBorder="1"/>
    <xf numFmtId="0" fontId="8" fillId="0" borderId="18" xfId="0" applyFont="1" applyBorder="1"/>
    <xf numFmtId="0" fontId="0" fillId="0" borderId="16" xfId="0" applyBorder="1"/>
    <xf numFmtId="0" fontId="0" fillId="0" borderId="14" xfId="0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8" fillId="0" borderId="6" xfId="0" applyFont="1" applyBorder="1"/>
    <xf numFmtId="0" fontId="8" fillId="0" borderId="20" xfId="0" applyFont="1" applyBorder="1"/>
    <xf numFmtId="0" fontId="0" fillId="0" borderId="3" xfId="0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8" fillId="0" borderId="24" xfId="0" applyFont="1" applyBorder="1"/>
    <xf numFmtId="0" fontId="0" fillId="0" borderId="24" xfId="0" applyBorder="1"/>
    <xf numFmtId="0" fontId="8" fillId="0" borderId="19" xfId="0" applyFont="1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 vertical="center"/>
    </xf>
    <xf numFmtId="0" fontId="0" fillId="0" borderId="26" xfId="0" applyBorder="1"/>
    <xf numFmtId="1" fontId="18" fillId="6" borderId="1" xfId="0" applyNumberFormat="1" applyFont="1" applyFill="1" applyBorder="1" applyAlignment="1">
      <alignment horizontal="center" vertical="center"/>
    </xf>
    <xf numFmtId="9" fontId="13" fillId="6" borderId="1" xfId="3" applyFont="1" applyFill="1" applyBorder="1" applyAlignment="1">
      <alignment horizontal="center" vertical="center"/>
    </xf>
    <xf numFmtId="0" fontId="8" fillId="0" borderId="7" xfId="1" applyNumberFormat="1" applyFont="1" applyFill="1" applyBorder="1" applyAlignment="1">
      <alignment horizontal="center" vertical="center"/>
    </xf>
    <xf numFmtId="0" fontId="22" fillId="13" borderId="1" xfId="4" applyNumberFormat="1" applyBorder="1" applyAlignment="1">
      <alignment horizontal="center" vertical="center"/>
    </xf>
    <xf numFmtId="0" fontId="8" fillId="0" borderId="3" xfId="1" applyNumberFormat="1" applyFont="1" applyFill="1" applyBorder="1" applyAlignment="1">
      <alignment horizontal="center" vertical="center"/>
    </xf>
    <xf numFmtId="0" fontId="24" fillId="0" borderId="5" xfId="1" applyNumberFormat="1" applyFont="1" applyFill="1" applyBorder="1" applyAlignment="1">
      <alignment horizontal="center" vertical="center"/>
    </xf>
    <xf numFmtId="0" fontId="22" fillId="13" borderId="8" xfId="4" applyNumberForma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6" fillId="3" borderId="10" xfId="2" applyBorder="1"/>
    <xf numFmtId="0" fontId="6" fillId="3" borderId="8" xfId="2" applyBorder="1"/>
    <xf numFmtId="0" fontId="6" fillId="3" borderId="11" xfId="2" applyBorder="1"/>
    <xf numFmtId="0" fontId="6" fillId="3" borderId="1" xfId="2" applyBorder="1" applyAlignment="1">
      <alignment horizontal="center" vertical="center"/>
    </xf>
    <xf numFmtId="0" fontId="6" fillId="3" borderId="1" xfId="2" applyBorder="1"/>
    <xf numFmtId="0" fontId="6" fillId="3" borderId="1" xfId="2" applyNumberFormat="1" applyBorder="1" applyAlignment="1">
      <alignment horizontal="center" vertical="center"/>
    </xf>
    <xf numFmtId="0" fontId="6" fillId="3" borderId="3" xfId="2" applyBorder="1"/>
    <xf numFmtId="0" fontId="6" fillId="3" borderId="8" xfId="2" applyBorder="1" applyAlignment="1">
      <alignment horizontal="center" vertical="center"/>
    </xf>
    <xf numFmtId="0" fontId="23" fillId="14" borderId="8" xfId="0" applyFont="1" applyFill="1" applyBorder="1"/>
    <xf numFmtId="0" fontId="25" fillId="0" borderId="0" xfId="0" applyFont="1" applyAlignment="1">
      <alignment horizontal="left" vertical="center"/>
    </xf>
    <xf numFmtId="0" fontId="12" fillId="0" borderId="0" xfId="0" quotePrefix="1" applyFont="1"/>
    <xf numFmtId="0" fontId="20" fillId="0" borderId="0" xfId="0" applyFont="1" applyAlignment="1">
      <alignment horizontal="left" vertical="center"/>
    </xf>
    <xf numFmtId="0" fontId="12" fillId="15" borderId="1" xfId="0" applyFont="1" applyFill="1" applyBorder="1" applyAlignment="1">
      <alignment horizontal="left" vertical="center"/>
    </xf>
    <xf numFmtId="2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26" fillId="16" borderId="27" xfId="5"/>
    <xf numFmtId="0" fontId="1" fillId="0" borderId="0" xfId="0" applyFont="1"/>
    <xf numFmtId="0" fontId="9" fillId="17" borderId="1" xfId="0" applyFont="1" applyFill="1" applyBorder="1"/>
    <xf numFmtId="165" fontId="0" fillId="0" borderId="1" xfId="0" applyNumberFormat="1" applyBorder="1"/>
    <xf numFmtId="0" fontId="12" fillId="0" borderId="1" xfId="0" applyFont="1" applyBorder="1"/>
    <xf numFmtId="1" fontId="10" fillId="6" borderId="1" xfId="0" applyNumberFormat="1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8" fillId="0" borderId="4" xfId="1" applyNumberFormat="1" applyFont="1" applyFill="1" applyBorder="1" applyAlignment="1">
      <alignment horizontal="center" vertical="center"/>
    </xf>
    <xf numFmtId="0" fontId="22" fillId="13" borderId="11" xfId="4" applyNumberFormat="1" applyBorder="1" applyAlignment="1">
      <alignment horizontal="center" vertical="center"/>
    </xf>
    <xf numFmtId="0" fontId="22" fillId="13" borderId="12" xfId="4" applyNumberFormat="1" applyBorder="1" applyAlignment="1">
      <alignment horizontal="center" vertical="center"/>
    </xf>
    <xf numFmtId="0" fontId="6" fillId="3" borderId="3" xfId="2" applyNumberFormat="1" applyBorder="1" applyAlignment="1">
      <alignment horizontal="center" vertical="center"/>
    </xf>
    <xf numFmtId="0" fontId="6" fillId="3" borderId="14" xfId="2" applyBorder="1"/>
    <xf numFmtId="0" fontId="6" fillId="3" borderId="1" xfId="2" applyBorder="1" applyAlignment="1">
      <alignment horizontal="right" vertical="center"/>
    </xf>
    <xf numFmtId="0" fontId="6" fillId="3" borderId="4" xfId="2" applyNumberFormat="1" applyBorder="1" applyAlignment="1">
      <alignment horizontal="center" vertical="center"/>
    </xf>
    <xf numFmtId="0" fontId="6" fillId="3" borderId="10" xfId="2" applyNumberFormat="1" applyBorder="1" applyAlignment="1">
      <alignment horizontal="center" vertical="center"/>
    </xf>
    <xf numFmtId="2" fontId="6" fillId="3" borderId="10" xfId="2" applyNumberFormat="1" applyBorder="1" applyAlignment="1">
      <alignment horizontal="center" vertical="center"/>
    </xf>
    <xf numFmtId="0" fontId="6" fillId="3" borderId="0" xfId="2" applyAlignment="1">
      <alignment horizontal="center" vertical="center"/>
    </xf>
    <xf numFmtId="0" fontId="8" fillId="0" borderId="10" xfId="1" applyNumberFormat="1" applyFont="1" applyFill="1" applyBorder="1" applyAlignment="1">
      <alignment horizontal="center" vertical="center"/>
    </xf>
    <xf numFmtId="0" fontId="6" fillId="3" borderId="23" xfId="2" applyBorder="1"/>
    <xf numFmtId="0" fontId="22" fillId="13" borderId="10" xfId="4" applyNumberFormat="1" applyBorder="1" applyAlignment="1">
      <alignment horizontal="center" vertical="center"/>
    </xf>
    <xf numFmtId="0" fontId="6" fillId="3" borderId="19" xfId="2" applyBorder="1"/>
    <xf numFmtId="0" fontId="5" fillId="0" borderId="8" xfId="0" applyFont="1" applyBorder="1"/>
    <xf numFmtId="0" fontId="27" fillId="0" borderId="1" xfId="1" applyNumberFormat="1" applyFont="1" applyFill="1" applyBorder="1" applyAlignment="1">
      <alignment horizontal="center" vertical="center"/>
    </xf>
    <xf numFmtId="0" fontId="22" fillId="13" borderId="24" xfId="4" applyNumberFormat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center" vertical="center"/>
    </xf>
    <xf numFmtId="164" fontId="18" fillId="6" borderId="1" xfId="0" applyNumberFormat="1" applyFont="1" applyFill="1" applyBorder="1" applyAlignment="1">
      <alignment horizontal="center" vertical="center"/>
    </xf>
    <xf numFmtId="0" fontId="6" fillId="3" borderId="23" xfId="2" applyNumberFormat="1" applyBorder="1" applyAlignment="1">
      <alignment horizontal="center" vertical="center"/>
    </xf>
    <xf numFmtId="0" fontId="5" fillId="0" borderId="1" xfId="0" applyFont="1" applyBorder="1"/>
    <xf numFmtId="0" fontId="27" fillId="0" borderId="4" xfId="1" applyNumberFormat="1" applyFont="1" applyFill="1" applyBorder="1" applyAlignment="1">
      <alignment horizontal="center" vertical="center"/>
    </xf>
    <xf numFmtId="0" fontId="5" fillId="0" borderId="12" xfId="0" applyFont="1" applyBorder="1"/>
    <xf numFmtId="0" fontId="5" fillId="3" borderId="8" xfId="2" applyFont="1" applyBorder="1"/>
    <xf numFmtId="9" fontId="10" fillId="6" borderId="1" xfId="3" applyFont="1" applyFill="1" applyBorder="1" applyAlignment="1">
      <alignment horizontal="center" vertical="center"/>
    </xf>
    <xf numFmtId="9" fontId="12" fillId="0" borderId="0" xfId="3" applyFont="1" applyAlignment="1">
      <alignment horizontal="center" vertical="center"/>
    </xf>
    <xf numFmtId="0" fontId="12" fillId="17" borderId="1" xfId="0" applyFont="1" applyFill="1" applyBorder="1"/>
    <xf numFmtId="0" fontId="17" fillId="8" borderId="1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">
    <cellStyle name="Bad" xfId="1" builtinId="27"/>
    <cellStyle name="Good" xfId="4" builtinId="26"/>
    <cellStyle name="Input" xfId="5" builtinId="20"/>
    <cellStyle name="Neutral" xfId="2" builtinId="28"/>
    <cellStyle name="Normal" xfId="0" builtinId="0"/>
    <cellStyle name="Percent" xfId="3" builtinId="5"/>
  </cellStyles>
  <dxfs count="163"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theme="4" tint="-0.499984740745262"/>
      </font>
      <fill>
        <patternFill>
          <bgColor rgb="FFAFEA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66"/>
      <color rgb="FF00CC00"/>
      <color rgb="FF89E0FF"/>
      <color rgb="FF99FF66"/>
      <color rgb="FFFF5050"/>
      <color rgb="FF800000"/>
      <color rgb="FFCC3399"/>
      <color rgb="FFAFEAFF"/>
      <color rgb="FFE8BA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cat>
            <c:strRef>
              <c:f>Log!$B$41:$B$44</c:f>
              <c:strCache>
                <c:ptCount val="4"/>
                <c:pt idx="0">
                  <c:v>Car</c:v>
                </c:pt>
                <c:pt idx="1">
                  <c:v>Three-wheeler</c:v>
                </c:pt>
                <c:pt idx="2">
                  <c:v>Motorbike</c:v>
                </c:pt>
                <c:pt idx="3">
                  <c:v>Bicycle</c:v>
                </c:pt>
              </c:strCache>
            </c:strRef>
          </c:cat>
          <c:val>
            <c:numRef>
              <c:f>Log!$C$41:$C$44</c:f>
              <c:numCache>
                <c:formatCode>0%</c:formatCode>
                <c:ptCount val="4"/>
                <c:pt idx="0">
                  <c:v>0.59090909090909094</c:v>
                </c:pt>
                <c:pt idx="1">
                  <c:v>0.19090909090909092</c:v>
                </c:pt>
                <c:pt idx="2">
                  <c:v>0.20454545454545456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cat>
            <c:strRef>
              <c:f>Log!$B$41:$B$44</c:f>
              <c:strCache>
                <c:ptCount val="4"/>
                <c:pt idx="0">
                  <c:v>Car</c:v>
                </c:pt>
                <c:pt idx="1">
                  <c:v>Three-wheeler</c:v>
                </c:pt>
                <c:pt idx="2">
                  <c:v>Motorbike</c:v>
                </c:pt>
                <c:pt idx="3">
                  <c:v>Bicycle</c:v>
                </c:pt>
              </c:strCache>
            </c:strRef>
          </c:cat>
          <c:val>
            <c:numRef>
              <c:f>Log!$D$41:$D$44</c:f>
              <c:numCache>
                <c:formatCode>0%</c:formatCode>
                <c:ptCount val="4"/>
                <c:pt idx="0">
                  <c:v>0.79640718562874246</c:v>
                </c:pt>
                <c:pt idx="1">
                  <c:v>9.580838323353294E-2</c:v>
                </c:pt>
                <c:pt idx="2">
                  <c:v>0.10179640718562874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5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237-49FA-BED4-B084322FFEE5}"/>
              </c:ext>
            </c:extLst>
          </c:dPt>
          <c:dPt>
            <c:idx val="1"/>
            <c:bubble3D val="0"/>
            <c:spPr>
              <a:solidFill>
                <a:srgbClr val="00C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37-49FA-BED4-B084322FFEE5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237-49FA-BED4-B084322FFEE5}"/>
              </c:ext>
            </c:extLst>
          </c:dPt>
          <c:dPt>
            <c:idx val="3"/>
            <c:bubble3D val="0"/>
            <c:spPr>
              <a:solidFill>
                <a:srgbClr val="8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37-49FA-BED4-B084322FFEE5}"/>
              </c:ext>
            </c:extLst>
          </c:dPt>
          <c:cat>
            <c:strRef>
              <c:f>Log!$B$41:$B$44</c:f>
              <c:strCache>
                <c:ptCount val="4"/>
                <c:pt idx="0">
                  <c:v>Car</c:v>
                </c:pt>
                <c:pt idx="1">
                  <c:v>Three-wheeler</c:v>
                </c:pt>
                <c:pt idx="2">
                  <c:v>Motorbike</c:v>
                </c:pt>
                <c:pt idx="3">
                  <c:v>Bicycle</c:v>
                </c:pt>
              </c:strCache>
            </c:strRef>
          </c:cat>
          <c:val>
            <c:numRef>
              <c:f>Log!$E$41:$E$44</c:f>
              <c:numCache>
                <c:formatCode>0%</c:formatCode>
                <c:ptCount val="4"/>
                <c:pt idx="0">
                  <c:v>0.33471074380165289</c:v>
                </c:pt>
                <c:pt idx="1">
                  <c:v>0.23966942148760331</c:v>
                </c:pt>
                <c:pt idx="2">
                  <c:v>0.4049586776859504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7-49FA-BED4-B084322FF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290293098755771E-2"/>
          <c:y val="0.82291557305336838"/>
          <c:w val="0.82941941380248851"/>
          <c:h val="0.177084426946631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Vehicle</a:t>
            </a:r>
            <a:r>
              <a:rPr lang="en-US" baseline="0"/>
              <a:t> Composition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Log!$B$41</c:f>
              <c:strCache>
                <c:ptCount val="1"/>
                <c:pt idx="0">
                  <c:v>Car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Log!$C$40:$E$40</c:f>
              <c:strCache>
                <c:ptCount val="3"/>
                <c:pt idx="0">
                  <c:v>Lane 1</c:v>
                </c:pt>
                <c:pt idx="1">
                  <c:v>Lane 2</c:v>
                </c:pt>
                <c:pt idx="2">
                  <c:v>Lane 3</c:v>
                </c:pt>
              </c:strCache>
            </c:strRef>
          </c:cat>
          <c:val>
            <c:numRef>
              <c:f>Log!$C$41:$E$41</c:f>
              <c:numCache>
                <c:formatCode>0%</c:formatCode>
                <c:ptCount val="3"/>
                <c:pt idx="0">
                  <c:v>0.59090909090909094</c:v>
                </c:pt>
                <c:pt idx="1">
                  <c:v>0.79640718562874246</c:v>
                </c:pt>
                <c:pt idx="2">
                  <c:v>0.33471074380165289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A-4BBF-A265-639A300377EE}"/>
            </c:ext>
          </c:extLst>
        </c:ser>
        <c:ser>
          <c:idx val="1"/>
          <c:order val="1"/>
          <c:tx>
            <c:strRef>
              <c:f>Log!$B$42</c:f>
              <c:strCache>
                <c:ptCount val="1"/>
                <c:pt idx="0">
                  <c:v>Three-wheeler</c:v>
                </c:pt>
              </c:strCache>
            </c:strRef>
          </c:tx>
          <c:spPr>
            <a:solidFill>
              <a:srgbClr val="66FF6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Log!$C$40:$E$40</c:f>
              <c:strCache>
                <c:ptCount val="3"/>
                <c:pt idx="0">
                  <c:v>Lane 1</c:v>
                </c:pt>
                <c:pt idx="1">
                  <c:v>Lane 2</c:v>
                </c:pt>
                <c:pt idx="2">
                  <c:v>Lane 3</c:v>
                </c:pt>
              </c:strCache>
            </c:strRef>
          </c:cat>
          <c:val>
            <c:numRef>
              <c:f>Log!$C$42:$E$42</c:f>
              <c:numCache>
                <c:formatCode>0%</c:formatCode>
                <c:ptCount val="3"/>
                <c:pt idx="0">
                  <c:v>0.19090909090909092</c:v>
                </c:pt>
                <c:pt idx="1">
                  <c:v>9.580838323353294E-2</c:v>
                </c:pt>
                <c:pt idx="2">
                  <c:v>0.23966942148760331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DA-4BBF-A265-639A300377EE}"/>
            </c:ext>
          </c:extLst>
        </c:ser>
        <c:ser>
          <c:idx val="2"/>
          <c:order val="2"/>
          <c:tx>
            <c:strRef>
              <c:f>Log!$B$43</c:f>
              <c:strCache>
                <c:ptCount val="1"/>
                <c:pt idx="0">
                  <c:v>Motorbike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Log!$C$40:$E$40</c:f>
              <c:strCache>
                <c:ptCount val="3"/>
                <c:pt idx="0">
                  <c:v>Lane 1</c:v>
                </c:pt>
                <c:pt idx="1">
                  <c:v>Lane 2</c:v>
                </c:pt>
                <c:pt idx="2">
                  <c:v>Lane 3</c:v>
                </c:pt>
              </c:strCache>
            </c:strRef>
          </c:cat>
          <c:val>
            <c:numRef>
              <c:f>Log!$C$43:$E$43</c:f>
              <c:numCache>
                <c:formatCode>0%</c:formatCode>
                <c:ptCount val="3"/>
                <c:pt idx="0">
                  <c:v>0.20454545454545456</c:v>
                </c:pt>
                <c:pt idx="1">
                  <c:v>0.10179640718562874</c:v>
                </c:pt>
                <c:pt idx="2">
                  <c:v>0.4049586776859504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DA-4BBF-A265-639A300377E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77664527"/>
        <c:axId val="1377665487"/>
      </c:barChart>
      <c:catAx>
        <c:axId val="13776645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65487"/>
        <c:crosses val="autoZero"/>
        <c:auto val="1"/>
        <c:lblAlgn val="ctr"/>
        <c:lblOffset val="100"/>
        <c:noMultiLvlLbl val="0"/>
      </c:catAx>
      <c:valAx>
        <c:axId val="1377665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664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Log!$C$21</c:f>
              <c:strCache>
                <c:ptCount val="1"/>
                <c:pt idx="0">
                  <c:v>Lane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Log!$B$22:$B$34</c:f>
              <c:strCache>
                <c:ptCount val="13"/>
                <c:pt idx="0">
                  <c:v>08:15:19-08:15:56 AM</c:v>
                </c:pt>
                <c:pt idx="1">
                  <c:v>08:58:39-08:59:20 AM</c:v>
                </c:pt>
                <c:pt idx="2">
                  <c:v>09:03:36-09:04:19 AM</c:v>
                </c:pt>
                <c:pt idx="3">
                  <c:v>12:07:16-12:07:58 PM</c:v>
                </c:pt>
                <c:pt idx="4">
                  <c:v>12:16:56-12:17:39 PM</c:v>
                </c:pt>
                <c:pt idx="5">
                  <c:v>01:00:26-01:01:07 PM</c:v>
                </c:pt>
                <c:pt idx="6">
                  <c:v>01:04:04-01:04:39 PM</c:v>
                </c:pt>
                <c:pt idx="7">
                  <c:v>03:01:17-03:02:06 PM</c:v>
                </c:pt>
                <c:pt idx="8">
                  <c:v>03:35:07-03:35:54 PM</c:v>
                </c:pt>
                <c:pt idx="9">
                  <c:v>03:40:00-03:40:39 PM</c:v>
                </c:pt>
                <c:pt idx="10">
                  <c:v>05:02:08-05:02:46 PM</c:v>
                </c:pt>
                <c:pt idx="11">
                  <c:v>05:11:50-05:12:35 PM</c:v>
                </c:pt>
                <c:pt idx="12">
                  <c:v>05:21:28-05:22:11 PM</c:v>
                </c:pt>
              </c:strCache>
            </c:strRef>
          </c:cat>
          <c:val>
            <c:numRef>
              <c:f>Log!$C$22:$C$34</c:f>
              <c:numCache>
                <c:formatCode>0</c:formatCode>
                <c:ptCount val="13"/>
                <c:pt idx="0" formatCode="0;[Red]0">
                  <c:v>1835.1296242353624</c:v>
                </c:pt>
                <c:pt idx="1">
                  <c:v>1975.2987888824598</c:v>
                </c:pt>
                <c:pt idx="2">
                  <c:v>1746.9697623258423</c:v>
                </c:pt>
                <c:pt idx="3">
                  <c:v>1996.2897241490562</c:v>
                </c:pt>
                <c:pt idx="4">
                  <c:v>1843.0182133564617</c:v>
                </c:pt>
                <c:pt idx="5">
                  <c:v>1956.4951563158104</c:v>
                </c:pt>
                <c:pt idx="6">
                  <c:v>1911.4029343574673</c:v>
                </c:pt>
                <c:pt idx="7">
                  <c:v>0</c:v>
                </c:pt>
                <c:pt idx="8">
                  <c:v>2338.1009424567378</c:v>
                </c:pt>
                <c:pt idx="9">
                  <c:v>1991.7085909030552</c:v>
                </c:pt>
                <c:pt idx="10">
                  <c:v>1844.5715563339613</c:v>
                </c:pt>
                <c:pt idx="11">
                  <c:v>1899.2762888389589</c:v>
                </c:pt>
                <c:pt idx="12">
                  <c:v>2090.1877298238819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8-4939-A682-FD335BC11DDC}"/>
            </c:ext>
          </c:extLst>
        </c:ser>
        <c:ser>
          <c:idx val="1"/>
          <c:order val="1"/>
          <c:tx>
            <c:strRef>
              <c:f>Log!$D$21</c:f>
              <c:strCache>
                <c:ptCount val="1"/>
                <c:pt idx="0">
                  <c:v>Lane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Log!$B$22:$B$34</c:f>
              <c:strCache>
                <c:ptCount val="13"/>
                <c:pt idx="0">
                  <c:v>08:15:19-08:15:56 AM</c:v>
                </c:pt>
                <c:pt idx="1">
                  <c:v>08:58:39-08:59:20 AM</c:v>
                </c:pt>
                <c:pt idx="2">
                  <c:v>09:03:36-09:04:19 AM</c:v>
                </c:pt>
                <c:pt idx="3">
                  <c:v>12:07:16-12:07:58 PM</c:v>
                </c:pt>
                <c:pt idx="4">
                  <c:v>12:16:56-12:17:39 PM</c:v>
                </c:pt>
                <c:pt idx="5">
                  <c:v>01:00:26-01:01:07 PM</c:v>
                </c:pt>
                <c:pt idx="6">
                  <c:v>01:04:04-01:04:39 PM</c:v>
                </c:pt>
                <c:pt idx="7">
                  <c:v>03:01:17-03:02:06 PM</c:v>
                </c:pt>
                <c:pt idx="8">
                  <c:v>03:35:07-03:35:54 PM</c:v>
                </c:pt>
                <c:pt idx="9">
                  <c:v>03:40:00-03:40:39 PM</c:v>
                </c:pt>
                <c:pt idx="10">
                  <c:v>05:02:08-05:02:46 PM</c:v>
                </c:pt>
                <c:pt idx="11">
                  <c:v>05:11:50-05:12:35 PM</c:v>
                </c:pt>
                <c:pt idx="12">
                  <c:v>05:21:28-05:22:11 PM</c:v>
                </c:pt>
              </c:strCache>
            </c:strRef>
          </c:cat>
          <c:val>
            <c:numRef>
              <c:f>Log!$D$22:$D$34</c:f>
              <c:numCache>
                <c:formatCode>0</c:formatCode>
                <c:ptCount val="13"/>
                <c:pt idx="0" formatCode="0;[Red]0">
                  <c:v>0</c:v>
                </c:pt>
                <c:pt idx="1">
                  <c:v>0</c:v>
                </c:pt>
                <c:pt idx="2">
                  <c:v>1788.2373719533725</c:v>
                </c:pt>
                <c:pt idx="3">
                  <c:v>0</c:v>
                </c:pt>
                <c:pt idx="4">
                  <c:v>1890.2929954142892</c:v>
                </c:pt>
                <c:pt idx="5">
                  <c:v>1824.6325392802844</c:v>
                </c:pt>
                <c:pt idx="6">
                  <c:v>2210.5263157894738</c:v>
                </c:pt>
                <c:pt idx="7">
                  <c:v>0</c:v>
                </c:pt>
                <c:pt idx="8">
                  <c:v>2287.3740582735772</c:v>
                </c:pt>
                <c:pt idx="9">
                  <c:v>0</c:v>
                </c:pt>
                <c:pt idx="10">
                  <c:v>0</c:v>
                </c:pt>
                <c:pt idx="11">
                  <c:v>1762.434957757511</c:v>
                </c:pt>
                <c:pt idx="12">
                  <c:v>2056.4713562918223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8-4939-A682-FD335BC11DDC}"/>
            </c:ext>
          </c:extLst>
        </c:ser>
        <c:ser>
          <c:idx val="2"/>
          <c:order val="2"/>
          <c:tx>
            <c:strRef>
              <c:f>Log!$E$21</c:f>
              <c:strCache>
                <c:ptCount val="1"/>
                <c:pt idx="0">
                  <c:v>Lane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Log!$B$22:$B$34</c:f>
              <c:strCache>
                <c:ptCount val="13"/>
                <c:pt idx="0">
                  <c:v>08:15:19-08:15:56 AM</c:v>
                </c:pt>
                <c:pt idx="1">
                  <c:v>08:58:39-08:59:20 AM</c:v>
                </c:pt>
                <c:pt idx="2">
                  <c:v>09:03:36-09:04:19 AM</c:v>
                </c:pt>
                <c:pt idx="3">
                  <c:v>12:07:16-12:07:58 PM</c:v>
                </c:pt>
                <c:pt idx="4">
                  <c:v>12:16:56-12:17:39 PM</c:v>
                </c:pt>
                <c:pt idx="5">
                  <c:v>01:00:26-01:01:07 PM</c:v>
                </c:pt>
                <c:pt idx="6">
                  <c:v>01:04:04-01:04:39 PM</c:v>
                </c:pt>
                <c:pt idx="7">
                  <c:v>03:01:17-03:02:06 PM</c:v>
                </c:pt>
                <c:pt idx="8">
                  <c:v>03:35:07-03:35:54 PM</c:v>
                </c:pt>
                <c:pt idx="9">
                  <c:v>03:40:00-03:40:39 PM</c:v>
                </c:pt>
                <c:pt idx="10">
                  <c:v>05:02:08-05:02:46 PM</c:v>
                </c:pt>
                <c:pt idx="11">
                  <c:v>05:11:50-05:12:35 PM</c:v>
                </c:pt>
                <c:pt idx="12">
                  <c:v>05:21:28-05:22:11 PM</c:v>
                </c:pt>
              </c:strCache>
            </c:strRef>
          </c:cat>
          <c:val>
            <c:numRef>
              <c:f>Log!$E$22:$E$34</c:f>
              <c:numCache>
                <c:formatCode>0</c:formatCode>
                <c:ptCount val="13"/>
                <c:pt idx="0">
                  <c:v>3522.504892367906</c:v>
                </c:pt>
                <c:pt idx="1">
                  <c:v>3489.4025552027174</c:v>
                </c:pt>
                <c:pt idx="2">
                  <c:v>2806.997646658539</c:v>
                </c:pt>
                <c:pt idx="3">
                  <c:v>0</c:v>
                </c:pt>
                <c:pt idx="4">
                  <c:v>2020.9580838323354</c:v>
                </c:pt>
                <c:pt idx="5">
                  <c:v>2536.0844109082941</c:v>
                </c:pt>
                <c:pt idx="6">
                  <c:v>2297.2076165194753</c:v>
                </c:pt>
                <c:pt idx="7">
                  <c:v>0</c:v>
                </c:pt>
                <c:pt idx="8">
                  <c:v>2085.777603962978</c:v>
                </c:pt>
                <c:pt idx="9">
                  <c:v>0</c:v>
                </c:pt>
                <c:pt idx="10">
                  <c:v>0</c:v>
                </c:pt>
                <c:pt idx="11">
                  <c:v>4182.2949513725234</c:v>
                </c:pt>
                <c:pt idx="12">
                  <c:v>2479.5523030563932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8-4939-A682-FD335BC11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4216879"/>
        <c:axId val="1127416991"/>
      </c:barChart>
      <c:catAx>
        <c:axId val="964216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416991"/>
        <c:crosses val="autoZero"/>
        <c:auto val="1"/>
        <c:lblAlgn val="ctr"/>
        <c:lblOffset val="100"/>
        <c:noMultiLvlLbl val="0"/>
      </c:catAx>
      <c:valAx>
        <c:axId val="11274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;[Red]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216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'8.15'!$A$72:$A$85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'8.15'!$B$72:$B$85</c:f>
              <c:numCache>
                <c:formatCode>General</c:formatCode>
                <c:ptCount val="14"/>
                <c:pt idx="0">
                  <c:v>0</c:v>
                </c:pt>
                <c:pt idx="1">
                  <c:v>2.4500000000000002</c:v>
                </c:pt>
                <c:pt idx="2">
                  <c:v>3</c:v>
                </c:pt>
                <c:pt idx="3">
                  <c:v>2.38</c:v>
                </c:pt>
                <c:pt idx="4">
                  <c:v>3.45</c:v>
                </c:pt>
                <c:pt idx="5">
                  <c:v>3.3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'8.15'!$A$72:$A$85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'8.15'!$C$72:$C$85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2.83</c:v>
                </c:pt>
                <c:pt idx="3">
                  <c:v>1</c:v>
                </c:pt>
                <c:pt idx="4">
                  <c:v>2.4500000000000002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BB-4D46-9D74-1BD7C8AB1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'8.15'!$A$72:$A$85</c:f>
              <c:numCache>
                <c:formatCode>General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30</c:v>
                </c:pt>
                <c:pt idx="6">
                  <c:v>36</c:v>
                </c:pt>
                <c:pt idx="7">
                  <c:v>42</c:v>
                </c:pt>
                <c:pt idx="8">
                  <c:v>48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72</c:v>
                </c:pt>
                <c:pt idx="13">
                  <c:v>78</c:v>
                </c:pt>
              </c:numCache>
            </c:numRef>
          </c:xVal>
          <c:yVal>
            <c:numRef>
              <c:f>'8.15'!$D$72:$D$85</c:f>
              <c:numCache>
                <c:formatCode>General</c:formatCode>
                <c:ptCount val="14"/>
                <c:pt idx="0">
                  <c:v>0</c:v>
                </c:pt>
                <c:pt idx="1">
                  <c:v>2.66</c:v>
                </c:pt>
                <c:pt idx="2">
                  <c:v>4.46</c:v>
                </c:pt>
                <c:pt idx="3">
                  <c:v>1.38</c:v>
                </c:pt>
                <c:pt idx="4">
                  <c:v>3.09</c:v>
                </c:pt>
                <c:pt idx="5">
                  <c:v>2</c:v>
                </c:pt>
                <c:pt idx="6">
                  <c:v>2.02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58-4159-B73B-CDCDF43C7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Discharge</a:t>
                </a:r>
                <a:r>
                  <a:rPr lang="en-US" baseline="0"/>
                  <a:t> (PCU/6sec)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6"/>
              <c:pt idx="0">
                <c:v>2.88</c:v>
              </c:pt>
              <c:pt idx="1">
                <c:v>2.88</c:v>
              </c:pt>
              <c:pt idx="2">
                <c:v>5.12</c:v>
              </c:pt>
              <c:pt idx="3">
                <c:v>5.12</c:v>
              </c:pt>
              <c:pt idx="4">
                <c:v>5.8</c:v>
              </c:pt>
              <c:pt idx="5">
                <c:v>5.8</c:v>
              </c:pt>
              <c:pt idx="6">
                <c:v>7.72</c:v>
              </c:pt>
              <c:pt idx="7">
                <c:v>7.72</c:v>
              </c:pt>
              <c:pt idx="8">
                <c:v>9.68</c:v>
              </c:pt>
              <c:pt idx="9">
                <c:v>9.68</c:v>
              </c:pt>
              <c:pt idx="10">
                <c:v>11.88</c:v>
              </c:pt>
              <c:pt idx="11">
                <c:v>11.88</c:v>
              </c:pt>
              <c:pt idx="12">
                <c:v>14.08</c:v>
              </c:pt>
              <c:pt idx="13">
                <c:v>14.08</c:v>
              </c:pt>
              <c:pt idx="14">
                <c:v>15.48</c:v>
              </c:pt>
              <c:pt idx="15">
                <c:v>15.48</c:v>
              </c:pt>
              <c:pt idx="16">
                <c:v>16.2</c:v>
              </c:pt>
              <c:pt idx="17">
                <c:v>16.2</c:v>
              </c:pt>
              <c:pt idx="18">
                <c:v>18.32</c:v>
              </c:pt>
              <c:pt idx="19">
                <c:v>18.32</c:v>
              </c:pt>
              <c:pt idx="20">
                <c:v>21.28</c:v>
              </c:pt>
              <c:pt idx="21">
                <c:v>21.28</c:v>
              </c:pt>
              <c:pt idx="22">
                <c:v>21.72</c:v>
              </c:pt>
              <c:pt idx="23">
                <c:v>21.72</c:v>
              </c:pt>
              <c:pt idx="24">
                <c:v>23.72</c:v>
              </c:pt>
              <c:pt idx="25">
                <c:v>23.72</c:v>
              </c:pt>
              <c:pt idx="26">
                <c:v>24.52</c:v>
              </c:pt>
              <c:pt idx="27">
                <c:v>24.52</c:v>
              </c:pt>
              <c:pt idx="28">
                <c:v>26.12</c:v>
              </c:pt>
              <c:pt idx="29">
                <c:v>26.12</c:v>
              </c:pt>
              <c:pt idx="30">
                <c:v>26.92</c:v>
              </c:pt>
              <c:pt idx="31">
                <c:v>26.92</c:v>
              </c:pt>
              <c:pt idx="32">
                <c:v>27.48</c:v>
              </c:pt>
              <c:pt idx="33">
                <c:v>27.48</c:v>
              </c:pt>
              <c:pt idx="34">
                <c:v>29.72</c:v>
              </c:pt>
              <c:pt idx="35">
                <c:v>29.72</c:v>
              </c:pt>
            </c:numLit>
          </c:xVal>
          <c:yVal>
            <c:numLit>
              <c:formatCode>General</c:formatCode>
              <c:ptCount val="3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38C-422E-B6A9-34841B56A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102623"/>
        <c:axId val="717100223"/>
      </c:scatterChart>
      <c:valAx>
        <c:axId val="7171026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7100223"/>
        <c:crosses val="autoZero"/>
        <c:crossBetween val="midCat"/>
      </c:valAx>
      <c:valAx>
        <c:axId val="71710022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710262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0"/>
              <c:pt idx="0">
                <c:v>2.52</c:v>
              </c:pt>
              <c:pt idx="1">
                <c:v>2.52</c:v>
              </c:pt>
              <c:pt idx="2">
                <c:v>4.4800000000000004</c:v>
              </c:pt>
              <c:pt idx="3">
                <c:v>4.4800000000000004</c:v>
              </c:pt>
              <c:pt idx="4">
                <c:v>5.08</c:v>
              </c:pt>
              <c:pt idx="5">
                <c:v>5.08</c:v>
              </c:pt>
              <c:pt idx="6">
                <c:v>6</c:v>
              </c:pt>
              <c:pt idx="7">
                <c:v>6</c:v>
              </c:pt>
              <c:pt idx="8">
                <c:v>7.08</c:v>
              </c:pt>
              <c:pt idx="9">
                <c:v>7.08</c:v>
              </c:pt>
              <c:pt idx="10">
                <c:v>8.92</c:v>
              </c:pt>
              <c:pt idx="11">
                <c:v>8.92</c:v>
              </c:pt>
              <c:pt idx="12">
                <c:v>11.48</c:v>
              </c:pt>
              <c:pt idx="13">
                <c:v>11.48</c:v>
              </c:pt>
              <c:pt idx="14">
                <c:v>17.600000000000001</c:v>
              </c:pt>
              <c:pt idx="15">
                <c:v>17.600000000000001</c:v>
              </c:pt>
              <c:pt idx="16">
                <c:v>19.48</c:v>
              </c:pt>
              <c:pt idx="17">
                <c:v>19.48</c:v>
              </c:pt>
              <c:pt idx="18">
                <c:v>22.6</c:v>
              </c:pt>
              <c:pt idx="19">
                <c:v>22.6</c:v>
              </c:pt>
              <c:pt idx="20">
                <c:v>23.32</c:v>
              </c:pt>
              <c:pt idx="21">
                <c:v>23.32</c:v>
              </c:pt>
              <c:pt idx="22">
                <c:v>24.8</c:v>
              </c:pt>
              <c:pt idx="23">
                <c:v>24.8</c:v>
              </c:pt>
              <c:pt idx="24">
                <c:v>27.12</c:v>
              </c:pt>
              <c:pt idx="25">
                <c:v>27.12</c:v>
              </c:pt>
              <c:pt idx="26">
                <c:v>29.88</c:v>
              </c:pt>
              <c:pt idx="27">
                <c:v>29.88</c:v>
              </c:pt>
              <c:pt idx="28">
                <c:v>31.92</c:v>
              </c:pt>
              <c:pt idx="29">
                <c:v>31.92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C54-4741-B866-34E2DCADF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768239"/>
        <c:axId val="759768719"/>
      </c:scatterChart>
      <c:valAx>
        <c:axId val="759768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9768719"/>
        <c:crosses val="autoZero"/>
        <c:crossBetween val="midCat"/>
      </c:valAx>
      <c:valAx>
        <c:axId val="75976871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976823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4"/>
              <c:pt idx="0">
                <c:v>1</c:v>
              </c:pt>
              <c:pt idx="1">
                <c:v>1</c:v>
              </c:pt>
              <c:pt idx="2">
                <c:v>2.2000000000000002</c:v>
              </c:pt>
              <c:pt idx="3">
                <c:v>2.2000000000000002</c:v>
              </c:pt>
              <c:pt idx="4">
                <c:v>3.52</c:v>
              </c:pt>
              <c:pt idx="5">
                <c:v>3.52</c:v>
              </c:pt>
              <c:pt idx="6">
                <c:v>4.92</c:v>
              </c:pt>
              <c:pt idx="7">
                <c:v>4.92</c:v>
              </c:pt>
              <c:pt idx="8">
                <c:v>5.72</c:v>
              </c:pt>
              <c:pt idx="9">
                <c:v>5.72</c:v>
              </c:pt>
              <c:pt idx="10">
                <c:v>6.8</c:v>
              </c:pt>
              <c:pt idx="11">
                <c:v>6.8</c:v>
              </c:pt>
              <c:pt idx="12">
                <c:v>6.88</c:v>
              </c:pt>
              <c:pt idx="13">
                <c:v>6.88</c:v>
              </c:pt>
              <c:pt idx="14">
                <c:v>8.1199999999999992</c:v>
              </c:pt>
              <c:pt idx="15">
                <c:v>8.1199999999999992</c:v>
              </c:pt>
              <c:pt idx="16">
                <c:v>8.6</c:v>
              </c:pt>
              <c:pt idx="17">
                <c:v>8.6</c:v>
              </c:pt>
              <c:pt idx="18">
                <c:v>9</c:v>
              </c:pt>
              <c:pt idx="19">
                <c:v>9</c:v>
              </c:pt>
              <c:pt idx="20">
                <c:v>9.1199999999999992</c:v>
              </c:pt>
              <c:pt idx="21">
                <c:v>9.1199999999999992</c:v>
              </c:pt>
              <c:pt idx="22">
                <c:v>9.1999999999999993</c:v>
              </c:pt>
              <c:pt idx="23">
                <c:v>9.1999999999999993</c:v>
              </c:pt>
              <c:pt idx="24">
                <c:v>9.8800000000000008</c:v>
              </c:pt>
              <c:pt idx="25">
                <c:v>9.8800000000000008</c:v>
              </c:pt>
              <c:pt idx="26">
                <c:v>11</c:v>
              </c:pt>
              <c:pt idx="27">
                <c:v>11</c:v>
              </c:pt>
              <c:pt idx="28">
                <c:v>11.2</c:v>
              </c:pt>
              <c:pt idx="29">
                <c:v>11.2</c:v>
              </c:pt>
              <c:pt idx="30">
                <c:v>11.68</c:v>
              </c:pt>
              <c:pt idx="31">
                <c:v>11.68</c:v>
              </c:pt>
              <c:pt idx="32">
                <c:v>12.12</c:v>
              </c:pt>
              <c:pt idx="33">
                <c:v>12.12</c:v>
              </c:pt>
            </c:numLit>
          </c:xVal>
          <c:yVal>
            <c:numLit>
              <c:formatCode>General</c:formatCode>
              <c:ptCount val="3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D4-46FF-8934-C709784F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4794511"/>
        <c:axId val="724791631"/>
      </c:scatterChart>
      <c:valAx>
        <c:axId val="724794511"/>
        <c:scaling>
          <c:orientation val="minMax"/>
          <c:max val="35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24791631"/>
        <c:crosses val="autoZero"/>
        <c:crossBetween val="midCat"/>
      </c:valAx>
      <c:valAx>
        <c:axId val="72479163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2479451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4"/>
              <c:pt idx="0">
                <c:v>3.52</c:v>
              </c:pt>
              <c:pt idx="1">
                <c:v>3.52</c:v>
              </c:pt>
              <c:pt idx="2">
                <c:v>4.5199999999999996</c:v>
              </c:pt>
              <c:pt idx="3">
                <c:v>4.5199999999999996</c:v>
              </c:pt>
              <c:pt idx="4">
                <c:v>4.68</c:v>
              </c:pt>
              <c:pt idx="5">
                <c:v>4.68</c:v>
              </c:pt>
              <c:pt idx="6">
                <c:v>8</c:v>
              </c:pt>
              <c:pt idx="7">
                <c:v>8</c:v>
              </c:pt>
              <c:pt idx="8">
                <c:v>10.119999999999999</c:v>
              </c:pt>
              <c:pt idx="9">
                <c:v>10.119999999999999</c:v>
              </c:pt>
              <c:pt idx="10">
                <c:v>11.32</c:v>
              </c:pt>
              <c:pt idx="11">
                <c:v>11.32</c:v>
              </c:pt>
              <c:pt idx="12">
                <c:v>12.92</c:v>
              </c:pt>
              <c:pt idx="13">
                <c:v>12.92</c:v>
              </c:pt>
              <c:pt idx="14">
                <c:v>14.68</c:v>
              </c:pt>
              <c:pt idx="15">
                <c:v>14.68</c:v>
              </c:pt>
              <c:pt idx="16">
                <c:v>17.48</c:v>
              </c:pt>
              <c:pt idx="17">
                <c:v>17.48</c:v>
              </c:pt>
              <c:pt idx="18">
                <c:v>20.2</c:v>
              </c:pt>
              <c:pt idx="19">
                <c:v>20.2</c:v>
              </c:pt>
              <c:pt idx="20">
                <c:v>20.48</c:v>
              </c:pt>
              <c:pt idx="21">
                <c:v>20.48</c:v>
              </c:pt>
              <c:pt idx="22">
                <c:v>21</c:v>
              </c:pt>
              <c:pt idx="23">
                <c:v>21</c:v>
              </c:pt>
              <c:pt idx="24">
                <c:v>23.52</c:v>
              </c:pt>
              <c:pt idx="25">
                <c:v>23.52</c:v>
              </c:pt>
              <c:pt idx="26">
                <c:v>25.4</c:v>
              </c:pt>
              <c:pt idx="27">
                <c:v>25.4</c:v>
              </c:pt>
              <c:pt idx="28">
                <c:v>28.48</c:v>
              </c:pt>
              <c:pt idx="29">
                <c:v>28.48</c:v>
              </c:pt>
              <c:pt idx="30">
                <c:v>29.4</c:v>
              </c:pt>
              <c:pt idx="31">
                <c:v>29.4</c:v>
              </c:pt>
              <c:pt idx="32">
                <c:v>30.48</c:v>
              </c:pt>
              <c:pt idx="33">
                <c:v>30.48</c:v>
              </c:pt>
              <c:pt idx="34">
                <c:v>31.12</c:v>
              </c:pt>
              <c:pt idx="35">
                <c:v>31.12</c:v>
              </c:pt>
              <c:pt idx="36">
                <c:v>33.200000000000003</c:v>
              </c:pt>
              <c:pt idx="37">
                <c:v>33.200000000000003</c:v>
              </c:pt>
              <c:pt idx="38">
                <c:v>34.28</c:v>
              </c:pt>
              <c:pt idx="39">
                <c:v>34.28</c:v>
              </c:pt>
              <c:pt idx="40">
                <c:v>35.880000000000003</c:v>
              </c:pt>
              <c:pt idx="41">
                <c:v>35.880000000000003</c:v>
              </c:pt>
              <c:pt idx="42">
                <c:v>36.479999999999997</c:v>
              </c:pt>
              <c:pt idx="43">
                <c:v>36.479999999999997</c:v>
              </c:pt>
            </c:numLit>
          </c:xVal>
          <c:yVal>
            <c:numLit>
              <c:formatCode>General</c:formatCode>
              <c:ptCount val="4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265-41BC-9DEC-5FE303643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31263"/>
        <c:axId val="716933183"/>
      </c:scatterChart>
      <c:valAx>
        <c:axId val="7169312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6933183"/>
        <c:crosses val="autoZero"/>
        <c:crossBetween val="midCat"/>
      </c:valAx>
      <c:valAx>
        <c:axId val="71693318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693126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6"/>
              <c:pt idx="0">
                <c:v>3.4</c:v>
              </c:pt>
              <c:pt idx="1">
                <c:v>3.4</c:v>
              </c:pt>
              <c:pt idx="2">
                <c:v>6.28</c:v>
              </c:pt>
              <c:pt idx="3">
                <c:v>6.28</c:v>
              </c:pt>
              <c:pt idx="4">
                <c:v>6.48</c:v>
              </c:pt>
              <c:pt idx="5">
                <c:v>6.48</c:v>
              </c:pt>
              <c:pt idx="6">
                <c:v>9.52</c:v>
              </c:pt>
              <c:pt idx="7">
                <c:v>9.52</c:v>
              </c:pt>
              <c:pt idx="8">
                <c:v>9.8800000000000008</c:v>
              </c:pt>
              <c:pt idx="9">
                <c:v>9.8800000000000008</c:v>
              </c:pt>
              <c:pt idx="10">
                <c:v>11.92</c:v>
              </c:pt>
              <c:pt idx="11">
                <c:v>11.92</c:v>
              </c:pt>
              <c:pt idx="12">
                <c:v>13.28</c:v>
              </c:pt>
              <c:pt idx="13">
                <c:v>13.28</c:v>
              </c:pt>
              <c:pt idx="14">
                <c:v>15.2</c:v>
              </c:pt>
              <c:pt idx="15">
                <c:v>15.2</c:v>
              </c:pt>
              <c:pt idx="16">
                <c:v>15.4</c:v>
              </c:pt>
              <c:pt idx="17">
                <c:v>15.4</c:v>
              </c:pt>
              <c:pt idx="18">
                <c:v>18.399999999999999</c:v>
              </c:pt>
              <c:pt idx="19">
                <c:v>18.399999999999999</c:v>
              </c:pt>
              <c:pt idx="20">
                <c:v>18.399999999999999</c:v>
              </c:pt>
              <c:pt idx="21">
                <c:v>18.399999999999999</c:v>
              </c:pt>
              <c:pt idx="22">
                <c:v>19.68</c:v>
              </c:pt>
              <c:pt idx="23">
                <c:v>19.68</c:v>
              </c:pt>
              <c:pt idx="24">
                <c:v>22.48</c:v>
              </c:pt>
              <c:pt idx="25">
                <c:v>22.48</c:v>
              </c:pt>
              <c:pt idx="26">
                <c:v>23.92</c:v>
              </c:pt>
              <c:pt idx="27">
                <c:v>23.92</c:v>
              </c:pt>
              <c:pt idx="28">
                <c:v>26.2</c:v>
              </c:pt>
              <c:pt idx="29">
                <c:v>26.2</c:v>
              </c:pt>
              <c:pt idx="30">
                <c:v>30</c:v>
              </c:pt>
              <c:pt idx="31">
                <c:v>30</c:v>
              </c:pt>
              <c:pt idx="32">
                <c:v>32.799999999999997</c:v>
              </c:pt>
              <c:pt idx="33">
                <c:v>32.799999999999997</c:v>
              </c:pt>
              <c:pt idx="34">
                <c:v>34.799999999999997</c:v>
              </c:pt>
              <c:pt idx="35">
                <c:v>34.799999999999997</c:v>
              </c:pt>
            </c:numLit>
          </c:xVal>
          <c:yVal>
            <c:numLit>
              <c:formatCode>General</c:formatCode>
              <c:ptCount val="3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1CC-468D-A915-768AC8D69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683103"/>
        <c:axId val="677686943"/>
      </c:scatterChart>
      <c:valAx>
        <c:axId val="677683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686943"/>
        <c:crosses val="autoZero"/>
        <c:crossBetween val="midCat"/>
      </c:valAx>
      <c:valAx>
        <c:axId val="67768694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6831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72"/>
              <c:pt idx="0">
                <c:v>2.3199999999999998</c:v>
              </c:pt>
              <c:pt idx="1">
                <c:v>2.3199999999999998</c:v>
              </c:pt>
              <c:pt idx="2">
                <c:v>3.48</c:v>
              </c:pt>
              <c:pt idx="3">
                <c:v>3.48</c:v>
              </c:pt>
              <c:pt idx="4">
                <c:v>5.52</c:v>
              </c:pt>
              <c:pt idx="5">
                <c:v>5.52</c:v>
              </c:pt>
              <c:pt idx="6">
                <c:v>6.48</c:v>
              </c:pt>
              <c:pt idx="7">
                <c:v>6.48</c:v>
              </c:pt>
              <c:pt idx="8">
                <c:v>7</c:v>
              </c:pt>
              <c:pt idx="9">
                <c:v>7</c:v>
              </c:pt>
              <c:pt idx="10">
                <c:v>8.48</c:v>
              </c:pt>
              <c:pt idx="11">
                <c:v>8.48</c:v>
              </c:pt>
              <c:pt idx="12">
                <c:v>8.6</c:v>
              </c:pt>
              <c:pt idx="13">
                <c:v>8.6</c:v>
              </c:pt>
              <c:pt idx="14">
                <c:v>9.92</c:v>
              </c:pt>
              <c:pt idx="15">
                <c:v>9.92</c:v>
              </c:pt>
              <c:pt idx="16">
                <c:v>10</c:v>
              </c:pt>
              <c:pt idx="17">
                <c:v>10</c:v>
              </c:pt>
              <c:pt idx="18">
                <c:v>10.48</c:v>
              </c:pt>
              <c:pt idx="19">
                <c:v>10.48</c:v>
              </c:pt>
              <c:pt idx="20">
                <c:v>11.12</c:v>
              </c:pt>
              <c:pt idx="21">
                <c:v>11.12</c:v>
              </c:pt>
              <c:pt idx="22">
                <c:v>11.68</c:v>
              </c:pt>
              <c:pt idx="23">
                <c:v>11.68</c:v>
              </c:pt>
              <c:pt idx="24">
                <c:v>12.12</c:v>
              </c:pt>
              <c:pt idx="25">
                <c:v>12.12</c:v>
              </c:pt>
              <c:pt idx="26">
                <c:v>13.28</c:v>
              </c:pt>
              <c:pt idx="27">
                <c:v>13.28</c:v>
              </c:pt>
              <c:pt idx="28">
                <c:v>13.72</c:v>
              </c:pt>
              <c:pt idx="29">
                <c:v>13.72</c:v>
              </c:pt>
              <c:pt idx="30">
                <c:v>14.32</c:v>
              </c:pt>
              <c:pt idx="31">
                <c:v>14.32</c:v>
              </c:pt>
              <c:pt idx="32">
                <c:v>14.52</c:v>
              </c:pt>
              <c:pt idx="33">
                <c:v>14.52</c:v>
              </c:pt>
              <c:pt idx="34">
                <c:v>15.92</c:v>
              </c:pt>
              <c:pt idx="35">
                <c:v>15.92</c:v>
              </c:pt>
              <c:pt idx="36">
                <c:v>16.68</c:v>
              </c:pt>
              <c:pt idx="37">
                <c:v>16.68</c:v>
              </c:pt>
              <c:pt idx="38">
                <c:v>16.8</c:v>
              </c:pt>
              <c:pt idx="39">
                <c:v>16.8</c:v>
              </c:pt>
              <c:pt idx="40">
                <c:v>16.8</c:v>
              </c:pt>
              <c:pt idx="41">
                <c:v>16.8</c:v>
              </c:pt>
              <c:pt idx="42">
                <c:v>17.88</c:v>
              </c:pt>
              <c:pt idx="43">
                <c:v>17.88</c:v>
              </c:pt>
              <c:pt idx="44">
                <c:v>18.2</c:v>
              </c:pt>
              <c:pt idx="45">
                <c:v>18.2</c:v>
              </c:pt>
              <c:pt idx="46">
                <c:v>18.88</c:v>
              </c:pt>
              <c:pt idx="47">
                <c:v>18.88</c:v>
              </c:pt>
              <c:pt idx="48">
                <c:v>19.88</c:v>
              </c:pt>
              <c:pt idx="49">
                <c:v>19.88</c:v>
              </c:pt>
              <c:pt idx="50">
                <c:v>20.68</c:v>
              </c:pt>
              <c:pt idx="51">
                <c:v>20.68</c:v>
              </c:pt>
              <c:pt idx="52">
                <c:v>21.8</c:v>
              </c:pt>
              <c:pt idx="53">
                <c:v>21.8</c:v>
              </c:pt>
              <c:pt idx="54">
                <c:v>23.4</c:v>
              </c:pt>
              <c:pt idx="55">
                <c:v>23.4</c:v>
              </c:pt>
              <c:pt idx="56">
                <c:v>25.08</c:v>
              </c:pt>
              <c:pt idx="57">
                <c:v>25.08</c:v>
              </c:pt>
              <c:pt idx="58">
                <c:v>25.08</c:v>
              </c:pt>
              <c:pt idx="59">
                <c:v>25.08</c:v>
              </c:pt>
              <c:pt idx="60">
                <c:v>26</c:v>
              </c:pt>
              <c:pt idx="61">
                <c:v>26</c:v>
              </c:pt>
              <c:pt idx="62">
                <c:v>27.88</c:v>
              </c:pt>
              <c:pt idx="63">
                <c:v>27.88</c:v>
              </c:pt>
              <c:pt idx="64">
                <c:v>30.28</c:v>
              </c:pt>
              <c:pt idx="65">
                <c:v>30.28</c:v>
              </c:pt>
              <c:pt idx="66">
                <c:v>31.4</c:v>
              </c:pt>
              <c:pt idx="67">
                <c:v>31.4</c:v>
              </c:pt>
              <c:pt idx="68">
                <c:v>32.08</c:v>
              </c:pt>
              <c:pt idx="69">
                <c:v>32.08</c:v>
              </c:pt>
              <c:pt idx="70">
                <c:v>35.4</c:v>
              </c:pt>
              <c:pt idx="71">
                <c:v>35.4</c:v>
              </c:pt>
            </c:numLit>
          </c:xVal>
          <c:yVal>
            <c:numLit>
              <c:formatCode>General</c:formatCode>
              <c:ptCount val="7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  <c:pt idx="62">
                <c:v>31</c:v>
              </c:pt>
              <c:pt idx="63">
                <c:v>32</c:v>
              </c:pt>
              <c:pt idx="64">
                <c:v>32</c:v>
              </c:pt>
              <c:pt idx="65">
                <c:v>33</c:v>
              </c:pt>
              <c:pt idx="66">
                <c:v>33</c:v>
              </c:pt>
              <c:pt idx="67">
                <c:v>34</c:v>
              </c:pt>
              <c:pt idx="68">
                <c:v>34</c:v>
              </c:pt>
              <c:pt idx="69">
                <c:v>35</c:v>
              </c:pt>
              <c:pt idx="70">
                <c:v>35</c:v>
              </c:pt>
              <c:pt idx="71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6EF-438F-9141-9CEB3584B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692703"/>
        <c:axId val="677693663"/>
      </c:scatterChart>
      <c:valAx>
        <c:axId val="677692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693663"/>
        <c:crosses val="autoZero"/>
        <c:crossBetween val="midCat"/>
      </c:valAx>
      <c:valAx>
        <c:axId val="67769366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6927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2"/>
              <c:pt idx="0">
                <c:v>1.92</c:v>
              </c:pt>
              <c:pt idx="1">
                <c:v>1.92</c:v>
              </c:pt>
              <c:pt idx="2">
                <c:v>3.32</c:v>
              </c:pt>
              <c:pt idx="3">
                <c:v>3.32</c:v>
              </c:pt>
              <c:pt idx="4">
                <c:v>6.32</c:v>
              </c:pt>
              <c:pt idx="5">
                <c:v>6.32</c:v>
              </c:pt>
              <c:pt idx="6">
                <c:v>7.12</c:v>
              </c:pt>
              <c:pt idx="7">
                <c:v>7.12</c:v>
              </c:pt>
              <c:pt idx="8">
                <c:v>8.1999999999999993</c:v>
              </c:pt>
              <c:pt idx="9">
                <c:v>8.1999999999999993</c:v>
              </c:pt>
              <c:pt idx="10">
                <c:v>8.4</c:v>
              </c:pt>
              <c:pt idx="11">
                <c:v>8.4</c:v>
              </c:pt>
              <c:pt idx="12">
                <c:v>9.68</c:v>
              </c:pt>
              <c:pt idx="13">
                <c:v>9.68</c:v>
              </c:pt>
              <c:pt idx="14">
                <c:v>10.119999999999999</c:v>
              </c:pt>
              <c:pt idx="15">
                <c:v>10.119999999999999</c:v>
              </c:pt>
              <c:pt idx="16">
                <c:v>11.68</c:v>
              </c:pt>
              <c:pt idx="17">
                <c:v>11.68</c:v>
              </c:pt>
              <c:pt idx="18">
                <c:v>14.8</c:v>
              </c:pt>
              <c:pt idx="19">
                <c:v>14.8</c:v>
              </c:pt>
              <c:pt idx="20">
                <c:v>16.600000000000001</c:v>
              </c:pt>
              <c:pt idx="21">
                <c:v>16.600000000000001</c:v>
              </c:pt>
              <c:pt idx="22">
                <c:v>17.8</c:v>
              </c:pt>
              <c:pt idx="23">
                <c:v>17.8</c:v>
              </c:pt>
              <c:pt idx="24">
                <c:v>20.28</c:v>
              </c:pt>
              <c:pt idx="25">
                <c:v>20.28</c:v>
              </c:pt>
              <c:pt idx="26">
                <c:v>23.88</c:v>
              </c:pt>
              <c:pt idx="27">
                <c:v>23.88</c:v>
              </c:pt>
              <c:pt idx="28">
                <c:v>25.8</c:v>
              </c:pt>
              <c:pt idx="29">
                <c:v>25.8</c:v>
              </c:pt>
              <c:pt idx="30">
                <c:v>27.8</c:v>
              </c:pt>
              <c:pt idx="31">
                <c:v>27.8</c:v>
              </c:pt>
              <c:pt idx="32">
                <c:v>28.2</c:v>
              </c:pt>
              <c:pt idx="33">
                <c:v>28.2</c:v>
              </c:pt>
              <c:pt idx="34">
                <c:v>30.32</c:v>
              </c:pt>
              <c:pt idx="35">
                <c:v>30.32</c:v>
              </c:pt>
              <c:pt idx="36">
                <c:v>31.72</c:v>
              </c:pt>
              <c:pt idx="37">
                <c:v>31.72</c:v>
              </c:pt>
              <c:pt idx="38">
                <c:v>32.799999999999997</c:v>
              </c:pt>
              <c:pt idx="39">
                <c:v>32.799999999999997</c:v>
              </c:pt>
              <c:pt idx="40">
                <c:v>32.92</c:v>
              </c:pt>
              <c:pt idx="41">
                <c:v>32.92</c:v>
              </c:pt>
              <c:pt idx="42">
                <c:v>34.08</c:v>
              </c:pt>
              <c:pt idx="43">
                <c:v>34.08</c:v>
              </c:pt>
              <c:pt idx="44">
                <c:v>35.08</c:v>
              </c:pt>
              <c:pt idx="45">
                <c:v>35.08</c:v>
              </c:pt>
              <c:pt idx="46">
                <c:v>37.68</c:v>
              </c:pt>
              <c:pt idx="47">
                <c:v>37.68</c:v>
              </c:pt>
              <c:pt idx="48">
                <c:v>38.6</c:v>
              </c:pt>
              <c:pt idx="49">
                <c:v>38.6</c:v>
              </c:pt>
              <c:pt idx="50">
                <c:v>40</c:v>
              </c:pt>
              <c:pt idx="51">
                <c:v>40</c:v>
              </c:pt>
            </c:numLit>
          </c:xVal>
          <c:yVal>
            <c:numLit>
              <c:formatCode>General</c:formatCode>
              <c:ptCount val="5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530-41BB-8DAE-8FC567F52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768239"/>
        <c:axId val="716931263"/>
      </c:scatterChart>
      <c:valAx>
        <c:axId val="759768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6931263"/>
        <c:crosses val="autoZero"/>
        <c:crossBetween val="midCat"/>
      </c:valAx>
      <c:valAx>
        <c:axId val="71693126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976823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0"/>
              <c:pt idx="0">
                <c:v>0.88</c:v>
              </c:pt>
              <c:pt idx="1">
                <c:v>0.88</c:v>
              </c:pt>
              <c:pt idx="2">
                <c:v>2.08</c:v>
              </c:pt>
              <c:pt idx="3">
                <c:v>2.08</c:v>
              </c:pt>
              <c:pt idx="4">
                <c:v>4.28</c:v>
              </c:pt>
              <c:pt idx="5">
                <c:v>4.28</c:v>
              </c:pt>
              <c:pt idx="6">
                <c:v>5.32</c:v>
              </c:pt>
              <c:pt idx="7">
                <c:v>5.32</c:v>
              </c:pt>
              <c:pt idx="8">
                <c:v>6</c:v>
              </c:pt>
              <c:pt idx="9">
                <c:v>6</c:v>
              </c:pt>
              <c:pt idx="10">
                <c:v>9.4</c:v>
              </c:pt>
              <c:pt idx="11">
                <c:v>9.4</c:v>
              </c:pt>
              <c:pt idx="12">
                <c:v>10.28</c:v>
              </c:pt>
              <c:pt idx="13">
                <c:v>10.28</c:v>
              </c:pt>
              <c:pt idx="14">
                <c:v>14.48</c:v>
              </c:pt>
              <c:pt idx="15">
                <c:v>14.48</c:v>
              </c:pt>
              <c:pt idx="16">
                <c:v>19.48</c:v>
              </c:pt>
              <c:pt idx="17">
                <c:v>19.48</c:v>
              </c:pt>
              <c:pt idx="18">
                <c:v>21.4</c:v>
              </c:pt>
              <c:pt idx="19">
                <c:v>21.4</c:v>
              </c:pt>
              <c:pt idx="20">
                <c:v>22.52</c:v>
              </c:pt>
              <c:pt idx="21">
                <c:v>22.52</c:v>
              </c:pt>
              <c:pt idx="22">
                <c:v>23.12</c:v>
              </c:pt>
              <c:pt idx="23">
                <c:v>23.12</c:v>
              </c:pt>
              <c:pt idx="24">
                <c:v>25.32</c:v>
              </c:pt>
              <c:pt idx="25">
                <c:v>25.32</c:v>
              </c:pt>
              <c:pt idx="26">
                <c:v>27.32</c:v>
              </c:pt>
              <c:pt idx="27">
                <c:v>27.32</c:v>
              </c:pt>
              <c:pt idx="28">
                <c:v>28.68</c:v>
              </c:pt>
              <c:pt idx="29">
                <c:v>28.68</c:v>
              </c:pt>
              <c:pt idx="30">
                <c:v>30.92</c:v>
              </c:pt>
              <c:pt idx="31">
                <c:v>30.92</c:v>
              </c:pt>
              <c:pt idx="32">
                <c:v>34.72</c:v>
              </c:pt>
              <c:pt idx="33">
                <c:v>34.72</c:v>
              </c:pt>
              <c:pt idx="34">
                <c:v>35.4</c:v>
              </c:pt>
              <c:pt idx="35">
                <c:v>35.4</c:v>
              </c:pt>
              <c:pt idx="36">
                <c:v>36.92</c:v>
              </c:pt>
              <c:pt idx="37">
                <c:v>36.92</c:v>
              </c:pt>
              <c:pt idx="38">
                <c:v>37.28</c:v>
              </c:pt>
              <c:pt idx="39">
                <c:v>37.28</c:v>
              </c:pt>
            </c:numLit>
          </c:xVal>
          <c:yVal>
            <c:numLit>
              <c:formatCode>General</c:formatCode>
              <c:ptCount val="4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83F-4B1A-AD2D-376C2845D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701039"/>
        <c:axId val="717698639"/>
      </c:scatterChart>
      <c:valAx>
        <c:axId val="717701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7698639"/>
        <c:crosses val="autoZero"/>
        <c:crossBetween val="midCat"/>
      </c:valAx>
      <c:valAx>
        <c:axId val="71769863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770103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76"/>
              <c:pt idx="0">
                <c:v>0.88</c:v>
              </c:pt>
              <c:pt idx="1">
                <c:v>0.88</c:v>
              </c:pt>
              <c:pt idx="2">
                <c:v>1.88</c:v>
              </c:pt>
              <c:pt idx="3">
                <c:v>1.88</c:v>
              </c:pt>
              <c:pt idx="4">
                <c:v>2</c:v>
              </c:pt>
              <c:pt idx="5">
                <c:v>2</c:v>
              </c:pt>
              <c:pt idx="6">
                <c:v>2.2799999999999998</c:v>
              </c:pt>
              <c:pt idx="7">
                <c:v>2.2799999999999998</c:v>
              </c:pt>
              <c:pt idx="8">
                <c:v>2.8</c:v>
              </c:pt>
              <c:pt idx="9">
                <c:v>2.8</c:v>
              </c:pt>
              <c:pt idx="10">
                <c:v>3</c:v>
              </c:pt>
              <c:pt idx="11">
                <c:v>3</c:v>
              </c:pt>
              <c:pt idx="12">
                <c:v>3.48</c:v>
              </c:pt>
              <c:pt idx="13">
                <c:v>3.48</c:v>
              </c:pt>
              <c:pt idx="14">
                <c:v>4.4800000000000004</c:v>
              </c:pt>
              <c:pt idx="15">
                <c:v>4.4800000000000004</c:v>
              </c:pt>
              <c:pt idx="16">
                <c:v>6.48</c:v>
              </c:pt>
              <c:pt idx="17">
                <c:v>6.48</c:v>
              </c:pt>
              <c:pt idx="18">
                <c:v>7.32</c:v>
              </c:pt>
              <c:pt idx="19">
                <c:v>7.32</c:v>
              </c:pt>
              <c:pt idx="20">
                <c:v>10.119999999999999</c:v>
              </c:pt>
              <c:pt idx="21">
                <c:v>10.119999999999999</c:v>
              </c:pt>
              <c:pt idx="22">
                <c:v>11.32</c:v>
              </c:pt>
              <c:pt idx="23">
                <c:v>11.32</c:v>
              </c:pt>
              <c:pt idx="24">
                <c:v>12.48</c:v>
              </c:pt>
              <c:pt idx="25">
                <c:v>12.48</c:v>
              </c:pt>
              <c:pt idx="26">
                <c:v>13.88</c:v>
              </c:pt>
              <c:pt idx="27">
                <c:v>13.88</c:v>
              </c:pt>
              <c:pt idx="28">
                <c:v>15.68</c:v>
              </c:pt>
              <c:pt idx="29">
                <c:v>15.68</c:v>
              </c:pt>
              <c:pt idx="30">
                <c:v>16.600000000000001</c:v>
              </c:pt>
              <c:pt idx="31">
                <c:v>16.600000000000001</c:v>
              </c:pt>
              <c:pt idx="32">
                <c:v>18.8</c:v>
              </c:pt>
              <c:pt idx="33">
                <c:v>18.8</c:v>
              </c:pt>
              <c:pt idx="34">
                <c:v>19.920000000000002</c:v>
              </c:pt>
              <c:pt idx="35">
                <c:v>19.920000000000002</c:v>
              </c:pt>
              <c:pt idx="36">
                <c:v>22.08</c:v>
              </c:pt>
              <c:pt idx="37">
                <c:v>22.08</c:v>
              </c:pt>
              <c:pt idx="38">
                <c:v>23.8</c:v>
              </c:pt>
              <c:pt idx="39">
                <c:v>23.8</c:v>
              </c:pt>
              <c:pt idx="40">
                <c:v>24.72</c:v>
              </c:pt>
              <c:pt idx="41">
                <c:v>24.72</c:v>
              </c:pt>
              <c:pt idx="42">
                <c:v>25</c:v>
              </c:pt>
              <c:pt idx="43">
                <c:v>25</c:v>
              </c:pt>
              <c:pt idx="44">
                <c:v>25.32</c:v>
              </c:pt>
              <c:pt idx="45">
                <c:v>25.32</c:v>
              </c:pt>
              <c:pt idx="46">
                <c:v>26.68</c:v>
              </c:pt>
              <c:pt idx="47">
                <c:v>26.68</c:v>
              </c:pt>
              <c:pt idx="48">
                <c:v>26.8</c:v>
              </c:pt>
              <c:pt idx="49">
                <c:v>26.8</c:v>
              </c:pt>
              <c:pt idx="50">
                <c:v>27.08</c:v>
              </c:pt>
              <c:pt idx="51">
                <c:v>27.08</c:v>
              </c:pt>
              <c:pt idx="52">
                <c:v>28</c:v>
              </c:pt>
              <c:pt idx="53">
                <c:v>28</c:v>
              </c:pt>
              <c:pt idx="54">
                <c:v>28</c:v>
              </c:pt>
              <c:pt idx="55">
                <c:v>28</c:v>
              </c:pt>
              <c:pt idx="56">
                <c:v>29.6</c:v>
              </c:pt>
              <c:pt idx="57">
                <c:v>29.6</c:v>
              </c:pt>
              <c:pt idx="58">
                <c:v>32.08</c:v>
              </c:pt>
              <c:pt idx="59">
                <c:v>32.08</c:v>
              </c:pt>
              <c:pt idx="60">
                <c:v>34.08</c:v>
              </c:pt>
              <c:pt idx="61">
                <c:v>34.08</c:v>
              </c:pt>
              <c:pt idx="62">
                <c:v>35.119999999999997</c:v>
              </c:pt>
              <c:pt idx="63">
                <c:v>35.119999999999997</c:v>
              </c:pt>
              <c:pt idx="64">
                <c:v>35.520000000000003</c:v>
              </c:pt>
              <c:pt idx="65">
                <c:v>35.520000000000003</c:v>
              </c:pt>
              <c:pt idx="66">
                <c:v>35.6</c:v>
              </c:pt>
              <c:pt idx="67">
                <c:v>35.6</c:v>
              </c:pt>
              <c:pt idx="68">
                <c:v>36.08</c:v>
              </c:pt>
              <c:pt idx="69">
                <c:v>36.08</c:v>
              </c:pt>
              <c:pt idx="70">
                <c:v>36.28</c:v>
              </c:pt>
              <c:pt idx="71">
                <c:v>36.28</c:v>
              </c:pt>
              <c:pt idx="72">
                <c:v>38.799999999999997</c:v>
              </c:pt>
              <c:pt idx="73">
                <c:v>38.799999999999997</c:v>
              </c:pt>
              <c:pt idx="74">
                <c:v>40.28</c:v>
              </c:pt>
              <c:pt idx="75">
                <c:v>40.28</c:v>
              </c:pt>
            </c:numLit>
          </c:xVal>
          <c:yVal>
            <c:numLit>
              <c:formatCode>General</c:formatCode>
              <c:ptCount val="7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  <c:pt idx="62">
                <c:v>31</c:v>
              </c:pt>
              <c:pt idx="63">
                <c:v>32</c:v>
              </c:pt>
              <c:pt idx="64">
                <c:v>32</c:v>
              </c:pt>
              <c:pt idx="65">
                <c:v>33</c:v>
              </c:pt>
              <c:pt idx="66">
                <c:v>33</c:v>
              </c:pt>
              <c:pt idx="67">
                <c:v>34</c:v>
              </c:pt>
              <c:pt idx="68">
                <c:v>34</c:v>
              </c:pt>
              <c:pt idx="69">
                <c:v>35</c:v>
              </c:pt>
              <c:pt idx="70">
                <c:v>35</c:v>
              </c:pt>
              <c:pt idx="71">
                <c:v>36</c:v>
              </c:pt>
              <c:pt idx="72">
                <c:v>36</c:v>
              </c:pt>
              <c:pt idx="73">
                <c:v>37</c:v>
              </c:pt>
              <c:pt idx="74">
                <c:v>37</c:v>
              </c:pt>
              <c:pt idx="75">
                <c:v>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020-481A-B4A2-6F8570458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743791"/>
        <c:axId val="756742351"/>
      </c:scatterChart>
      <c:valAx>
        <c:axId val="7567437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6742351"/>
        <c:crosses val="autoZero"/>
        <c:crossBetween val="midCat"/>
      </c:valAx>
      <c:valAx>
        <c:axId val="75674235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674379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0"/>
              <c:pt idx="0">
                <c:v>7.2</c:v>
              </c:pt>
              <c:pt idx="1">
                <c:v>7.2</c:v>
              </c:pt>
              <c:pt idx="2">
                <c:v>8.6</c:v>
              </c:pt>
              <c:pt idx="3">
                <c:v>8.6</c:v>
              </c:pt>
              <c:pt idx="4">
                <c:v>12.6</c:v>
              </c:pt>
              <c:pt idx="5">
                <c:v>12.6</c:v>
              </c:pt>
              <c:pt idx="6">
                <c:v>13.6</c:v>
              </c:pt>
              <c:pt idx="7">
                <c:v>13.6</c:v>
              </c:pt>
              <c:pt idx="8">
                <c:v>14.64</c:v>
              </c:pt>
              <c:pt idx="9">
                <c:v>14.64</c:v>
              </c:pt>
              <c:pt idx="10">
                <c:v>16.239999999999998</c:v>
              </c:pt>
              <c:pt idx="11">
                <c:v>16.239999999999998</c:v>
              </c:pt>
              <c:pt idx="12">
                <c:v>16.52</c:v>
              </c:pt>
              <c:pt idx="13">
                <c:v>16.52</c:v>
              </c:pt>
              <c:pt idx="14">
                <c:v>18.920000000000002</c:v>
              </c:pt>
              <c:pt idx="15">
                <c:v>18.920000000000002</c:v>
              </c:pt>
              <c:pt idx="16">
                <c:v>20.440000000000001</c:v>
              </c:pt>
              <c:pt idx="17">
                <c:v>20.440000000000001</c:v>
              </c:pt>
              <c:pt idx="18">
                <c:v>22</c:v>
              </c:pt>
              <c:pt idx="19">
                <c:v>22</c:v>
              </c:pt>
              <c:pt idx="20">
                <c:v>22.84</c:v>
              </c:pt>
              <c:pt idx="21">
                <c:v>22.84</c:v>
              </c:pt>
              <c:pt idx="22">
                <c:v>24.12</c:v>
              </c:pt>
              <c:pt idx="23">
                <c:v>24.12</c:v>
              </c:pt>
              <c:pt idx="24">
                <c:v>25.6</c:v>
              </c:pt>
              <c:pt idx="25">
                <c:v>25.6</c:v>
              </c:pt>
              <c:pt idx="26">
                <c:v>27.24</c:v>
              </c:pt>
              <c:pt idx="27">
                <c:v>27.24</c:v>
              </c:pt>
              <c:pt idx="28">
                <c:v>29.2</c:v>
              </c:pt>
              <c:pt idx="29">
                <c:v>29.2</c:v>
              </c:pt>
              <c:pt idx="30">
                <c:v>30.52</c:v>
              </c:pt>
              <c:pt idx="31">
                <c:v>30.52</c:v>
              </c:pt>
              <c:pt idx="32">
                <c:v>30.72</c:v>
              </c:pt>
              <c:pt idx="33">
                <c:v>30.72</c:v>
              </c:pt>
              <c:pt idx="34">
                <c:v>31</c:v>
              </c:pt>
              <c:pt idx="35">
                <c:v>31</c:v>
              </c:pt>
              <c:pt idx="36">
                <c:v>32.520000000000003</c:v>
              </c:pt>
              <c:pt idx="37">
                <c:v>32.520000000000003</c:v>
              </c:pt>
              <c:pt idx="38">
                <c:v>32.520000000000003</c:v>
              </c:pt>
              <c:pt idx="39">
                <c:v>32.520000000000003</c:v>
              </c:pt>
              <c:pt idx="40">
                <c:v>34.24</c:v>
              </c:pt>
              <c:pt idx="41">
                <c:v>34.24</c:v>
              </c:pt>
              <c:pt idx="42">
                <c:v>35.799999999999997</c:v>
              </c:pt>
              <c:pt idx="43">
                <c:v>35.799999999999997</c:v>
              </c:pt>
              <c:pt idx="44">
                <c:v>35.799999999999997</c:v>
              </c:pt>
              <c:pt idx="45">
                <c:v>35.799999999999997</c:v>
              </c:pt>
              <c:pt idx="46">
                <c:v>37.24</c:v>
              </c:pt>
              <c:pt idx="47">
                <c:v>37.24</c:v>
              </c:pt>
              <c:pt idx="48">
                <c:v>37.92</c:v>
              </c:pt>
              <c:pt idx="49">
                <c:v>37.92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E13-4290-A6CB-E78F43026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684735"/>
        <c:axId val="675685215"/>
      </c:scatterChart>
      <c:valAx>
        <c:axId val="675684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5685215"/>
        <c:crosses val="autoZero"/>
        <c:crossBetween val="midCat"/>
      </c:valAx>
      <c:valAx>
        <c:axId val="675685215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5684735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0"/>
              <c:pt idx="0">
                <c:v>2.44</c:v>
              </c:pt>
              <c:pt idx="1">
                <c:v>2.44</c:v>
              </c:pt>
              <c:pt idx="2">
                <c:v>5.4</c:v>
              </c:pt>
              <c:pt idx="3">
                <c:v>5.4</c:v>
              </c:pt>
              <c:pt idx="4">
                <c:v>6.84</c:v>
              </c:pt>
              <c:pt idx="5">
                <c:v>6.84</c:v>
              </c:pt>
              <c:pt idx="6">
                <c:v>9.0399999999999991</c:v>
              </c:pt>
              <c:pt idx="7">
                <c:v>9.0399999999999991</c:v>
              </c:pt>
              <c:pt idx="8">
                <c:v>9.44</c:v>
              </c:pt>
              <c:pt idx="9">
                <c:v>9.44</c:v>
              </c:pt>
              <c:pt idx="10">
                <c:v>11.52</c:v>
              </c:pt>
              <c:pt idx="11">
                <c:v>11.52</c:v>
              </c:pt>
              <c:pt idx="12">
                <c:v>12.2</c:v>
              </c:pt>
              <c:pt idx="13">
                <c:v>12.2</c:v>
              </c:pt>
              <c:pt idx="14">
                <c:v>17.399999999999999</c:v>
              </c:pt>
              <c:pt idx="15">
                <c:v>17.399999999999999</c:v>
              </c:pt>
              <c:pt idx="16">
                <c:v>19.440000000000001</c:v>
              </c:pt>
              <c:pt idx="17">
                <c:v>19.440000000000001</c:v>
              </c:pt>
              <c:pt idx="18">
                <c:v>20.32</c:v>
              </c:pt>
              <c:pt idx="19">
                <c:v>20.32</c:v>
              </c:pt>
              <c:pt idx="20">
                <c:v>22.2</c:v>
              </c:pt>
              <c:pt idx="21">
                <c:v>22.2</c:v>
              </c:pt>
              <c:pt idx="22">
                <c:v>24.32</c:v>
              </c:pt>
              <c:pt idx="23">
                <c:v>24.32</c:v>
              </c:pt>
              <c:pt idx="24">
                <c:v>26.52</c:v>
              </c:pt>
              <c:pt idx="25">
                <c:v>26.52</c:v>
              </c:pt>
              <c:pt idx="26">
                <c:v>31.64</c:v>
              </c:pt>
              <c:pt idx="27">
                <c:v>31.64</c:v>
              </c:pt>
              <c:pt idx="28">
                <c:v>36.24</c:v>
              </c:pt>
              <c:pt idx="29">
                <c:v>36.24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A5A-40CB-A112-1C8DAD193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745471"/>
        <c:axId val="772738751"/>
      </c:scatterChart>
      <c:valAx>
        <c:axId val="772745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38751"/>
        <c:crosses val="autoZero"/>
        <c:crossBetween val="midCat"/>
      </c:valAx>
      <c:valAx>
        <c:axId val="77273875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4547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0"/>
              <c:pt idx="0">
                <c:v>0.12</c:v>
              </c:pt>
              <c:pt idx="1">
                <c:v>0.12</c:v>
              </c:pt>
              <c:pt idx="2">
                <c:v>4.24</c:v>
              </c:pt>
              <c:pt idx="3">
                <c:v>4.24</c:v>
              </c:pt>
              <c:pt idx="4">
                <c:v>4.5999999999999996</c:v>
              </c:pt>
              <c:pt idx="5">
                <c:v>4.5999999999999996</c:v>
              </c:pt>
              <c:pt idx="6">
                <c:v>5.4</c:v>
              </c:pt>
              <c:pt idx="7">
                <c:v>5.4</c:v>
              </c:pt>
              <c:pt idx="8">
                <c:v>7.04</c:v>
              </c:pt>
              <c:pt idx="9">
                <c:v>7.04</c:v>
              </c:pt>
              <c:pt idx="10">
                <c:v>9</c:v>
              </c:pt>
              <c:pt idx="11">
                <c:v>9</c:v>
              </c:pt>
              <c:pt idx="12">
                <c:v>11.2</c:v>
              </c:pt>
              <c:pt idx="13">
                <c:v>11.2</c:v>
              </c:pt>
              <c:pt idx="14">
                <c:v>14.6</c:v>
              </c:pt>
              <c:pt idx="15">
                <c:v>14.6</c:v>
              </c:pt>
              <c:pt idx="16">
                <c:v>16.52</c:v>
              </c:pt>
              <c:pt idx="17">
                <c:v>16.52</c:v>
              </c:pt>
              <c:pt idx="18">
                <c:v>17</c:v>
              </c:pt>
              <c:pt idx="19">
                <c:v>17</c:v>
              </c:pt>
              <c:pt idx="20">
                <c:v>19.04</c:v>
              </c:pt>
              <c:pt idx="21">
                <c:v>19.04</c:v>
              </c:pt>
              <c:pt idx="22">
                <c:v>20.399999999999999</c:v>
              </c:pt>
              <c:pt idx="23">
                <c:v>20.399999999999999</c:v>
              </c:pt>
              <c:pt idx="24">
                <c:v>22</c:v>
              </c:pt>
              <c:pt idx="25">
                <c:v>22</c:v>
              </c:pt>
              <c:pt idx="26">
                <c:v>22.92</c:v>
              </c:pt>
              <c:pt idx="27">
                <c:v>22.92</c:v>
              </c:pt>
              <c:pt idx="28">
                <c:v>24.4</c:v>
              </c:pt>
              <c:pt idx="29">
                <c:v>24.4</c:v>
              </c:pt>
              <c:pt idx="30">
                <c:v>25.04</c:v>
              </c:pt>
              <c:pt idx="31">
                <c:v>25.04</c:v>
              </c:pt>
              <c:pt idx="32">
                <c:v>26.52</c:v>
              </c:pt>
              <c:pt idx="33">
                <c:v>26.52</c:v>
              </c:pt>
              <c:pt idx="34">
                <c:v>31.84</c:v>
              </c:pt>
              <c:pt idx="35">
                <c:v>31.84</c:v>
              </c:pt>
              <c:pt idx="36">
                <c:v>33.64</c:v>
              </c:pt>
              <c:pt idx="37">
                <c:v>33.64</c:v>
              </c:pt>
              <c:pt idx="38">
                <c:v>36.64</c:v>
              </c:pt>
              <c:pt idx="39">
                <c:v>36.64</c:v>
              </c:pt>
            </c:numLit>
          </c:xVal>
          <c:yVal>
            <c:numLit>
              <c:formatCode>General</c:formatCode>
              <c:ptCount val="4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3F-4BE3-A66F-F4EDC642D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87327"/>
        <c:axId val="727056463"/>
      </c:scatterChart>
      <c:valAx>
        <c:axId val="51228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27056463"/>
        <c:crosses val="autoZero"/>
        <c:crossBetween val="midCat"/>
      </c:valAx>
      <c:valAx>
        <c:axId val="72705646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1228732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4.2</c:v>
              </c:pt>
              <c:pt idx="1">
                <c:v>4.2</c:v>
              </c:pt>
              <c:pt idx="2">
                <c:v>6.32</c:v>
              </c:pt>
              <c:pt idx="3">
                <c:v>6.32</c:v>
              </c:pt>
              <c:pt idx="4">
                <c:v>7.08</c:v>
              </c:pt>
              <c:pt idx="5">
                <c:v>7.08</c:v>
              </c:pt>
              <c:pt idx="6">
                <c:v>10.199999999999999</c:v>
              </c:pt>
              <c:pt idx="7">
                <c:v>10.199999999999999</c:v>
              </c:pt>
              <c:pt idx="8">
                <c:v>12.8</c:v>
              </c:pt>
              <c:pt idx="9">
                <c:v>12.8</c:v>
              </c:pt>
              <c:pt idx="10">
                <c:v>14.52</c:v>
              </c:pt>
              <c:pt idx="11">
                <c:v>14.52</c:v>
              </c:pt>
              <c:pt idx="12">
                <c:v>16.2</c:v>
              </c:pt>
              <c:pt idx="13">
                <c:v>16.2</c:v>
              </c:pt>
              <c:pt idx="14">
                <c:v>18.079999999999998</c:v>
              </c:pt>
              <c:pt idx="15">
                <c:v>18.079999999999998</c:v>
              </c:pt>
              <c:pt idx="16">
                <c:v>20.399999999999999</c:v>
              </c:pt>
              <c:pt idx="17">
                <c:v>20.399999999999999</c:v>
              </c:pt>
              <c:pt idx="18">
                <c:v>22.68</c:v>
              </c:pt>
              <c:pt idx="19">
                <c:v>22.68</c:v>
              </c:pt>
              <c:pt idx="20">
                <c:v>23.8</c:v>
              </c:pt>
              <c:pt idx="21">
                <c:v>23.8</c:v>
              </c:pt>
              <c:pt idx="22">
                <c:v>25</c:v>
              </c:pt>
              <c:pt idx="23">
                <c:v>25</c:v>
              </c:pt>
              <c:pt idx="24">
                <c:v>26.88</c:v>
              </c:pt>
              <c:pt idx="25">
                <c:v>26.88</c:v>
              </c:pt>
              <c:pt idx="26">
                <c:v>27.08</c:v>
              </c:pt>
              <c:pt idx="27">
                <c:v>27.08</c:v>
              </c:pt>
              <c:pt idx="28">
                <c:v>28.32</c:v>
              </c:pt>
              <c:pt idx="29">
                <c:v>28.32</c:v>
              </c:pt>
              <c:pt idx="30">
                <c:v>28.32</c:v>
              </c:pt>
              <c:pt idx="31">
                <c:v>28.32</c:v>
              </c:pt>
              <c:pt idx="32">
                <c:v>30.32</c:v>
              </c:pt>
              <c:pt idx="33">
                <c:v>30.32</c:v>
              </c:pt>
              <c:pt idx="34">
                <c:v>30.68</c:v>
              </c:pt>
              <c:pt idx="35">
                <c:v>30.68</c:v>
              </c:pt>
              <c:pt idx="36">
                <c:v>31.6</c:v>
              </c:pt>
              <c:pt idx="37">
                <c:v>31.6</c:v>
              </c:pt>
              <c:pt idx="38">
                <c:v>33</c:v>
              </c:pt>
              <c:pt idx="39">
                <c:v>33</c:v>
              </c:pt>
              <c:pt idx="40">
                <c:v>33.799999999999997</c:v>
              </c:pt>
              <c:pt idx="41">
                <c:v>33.799999999999997</c:v>
              </c:pt>
              <c:pt idx="42">
                <c:v>35.72</c:v>
              </c:pt>
              <c:pt idx="43">
                <c:v>35.72</c:v>
              </c:pt>
              <c:pt idx="44">
                <c:v>35.799999999999997</c:v>
              </c:pt>
              <c:pt idx="45">
                <c:v>35.799999999999997</c:v>
              </c:pt>
              <c:pt idx="46">
                <c:v>37.479999999999997</c:v>
              </c:pt>
              <c:pt idx="47">
                <c:v>37.479999999999997</c:v>
              </c:pt>
            </c:numLit>
          </c:xVal>
          <c:yVal>
            <c:numLit>
              <c:formatCode>General</c:formatCode>
              <c:ptCount val="48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731-43C9-865C-E92906287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736351"/>
        <c:axId val="772741151"/>
      </c:scatterChart>
      <c:valAx>
        <c:axId val="77273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41151"/>
        <c:crosses val="autoZero"/>
        <c:crossBetween val="midCat"/>
      </c:valAx>
      <c:valAx>
        <c:axId val="77274115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3635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2"/>
              <c:pt idx="0">
                <c:v>1.88</c:v>
              </c:pt>
              <c:pt idx="1">
                <c:v>1.88</c:v>
              </c:pt>
              <c:pt idx="2">
                <c:v>3.68</c:v>
              </c:pt>
              <c:pt idx="3">
                <c:v>3.68</c:v>
              </c:pt>
              <c:pt idx="4">
                <c:v>7.52</c:v>
              </c:pt>
              <c:pt idx="5">
                <c:v>7.52</c:v>
              </c:pt>
              <c:pt idx="6">
                <c:v>8.48</c:v>
              </c:pt>
              <c:pt idx="7">
                <c:v>8.48</c:v>
              </c:pt>
              <c:pt idx="8">
                <c:v>10.119999999999999</c:v>
              </c:pt>
              <c:pt idx="9">
                <c:v>10.119999999999999</c:v>
              </c:pt>
              <c:pt idx="10">
                <c:v>12.4</c:v>
              </c:pt>
              <c:pt idx="11">
                <c:v>12.4</c:v>
              </c:pt>
              <c:pt idx="12">
                <c:v>14.48</c:v>
              </c:pt>
              <c:pt idx="13">
                <c:v>14.48</c:v>
              </c:pt>
              <c:pt idx="14">
                <c:v>17.52</c:v>
              </c:pt>
              <c:pt idx="15">
                <c:v>17.52</c:v>
              </c:pt>
              <c:pt idx="16">
                <c:v>21.4</c:v>
              </c:pt>
              <c:pt idx="17">
                <c:v>21.4</c:v>
              </c:pt>
              <c:pt idx="18">
                <c:v>23.48</c:v>
              </c:pt>
              <c:pt idx="19">
                <c:v>23.48</c:v>
              </c:pt>
              <c:pt idx="20">
                <c:v>26.6</c:v>
              </c:pt>
              <c:pt idx="21">
                <c:v>26.6</c:v>
              </c:pt>
              <c:pt idx="22">
                <c:v>27.92</c:v>
              </c:pt>
              <c:pt idx="23">
                <c:v>27.92</c:v>
              </c:pt>
              <c:pt idx="24">
                <c:v>29.8</c:v>
              </c:pt>
              <c:pt idx="25">
                <c:v>29.8</c:v>
              </c:pt>
              <c:pt idx="26">
                <c:v>30.8</c:v>
              </c:pt>
              <c:pt idx="27">
                <c:v>30.8</c:v>
              </c:pt>
              <c:pt idx="28">
                <c:v>31.68</c:v>
              </c:pt>
              <c:pt idx="29">
                <c:v>31.68</c:v>
              </c:pt>
              <c:pt idx="30">
                <c:v>33</c:v>
              </c:pt>
              <c:pt idx="31">
                <c:v>33</c:v>
              </c:pt>
              <c:pt idx="32">
                <c:v>34.119999999999997</c:v>
              </c:pt>
              <c:pt idx="33">
                <c:v>34.119999999999997</c:v>
              </c:pt>
              <c:pt idx="34">
                <c:v>35.28</c:v>
              </c:pt>
              <c:pt idx="35">
                <c:v>35.28</c:v>
              </c:pt>
              <c:pt idx="36">
                <c:v>36.92</c:v>
              </c:pt>
              <c:pt idx="37">
                <c:v>36.92</c:v>
              </c:pt>
              <c:pt idx="38">
                <c:v>38.08</c:v>
              </c:pt>
              <c:pt idx="39">
                <c:v>38.08</c:v>
              </c:pt>
              <c:pt idx="40">
                <c:v>38.72</c:v>
              </c:pt>
              <c:pt idx="41">
                <c:v>38.72</c:v>
              </c:pt>
            </c:numLit>
          </c:xVal>
          <c:yVal>
            <c:numLit>
              <c:formatCode>General</c:formatCode>
              <c:ptCount val="4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A30-42BB-909A-3264FC37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750271"/>
        <c:axId val="772740191"/>
      </c:scatterChart>
      <c:valAx>
        <c:axId val="7727502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40191"/>
        <c:crosses val="autoZero"/>
        <c:crossBetween val="midCat"/>
      </c:valAx>
      <c:valAx>
        <c:axId val="77274019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5027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6"/>
              <c:pt idx="0">
                <c:v>3.72</c:v>
              </c:pt>
              <c:pt idx="1">
                <c:v>3.72</c:v>
              </c:pt>
              <c:pt idx="2">
                <c:v>6.2</c:v>
              </c:pt>
              <c:pt idx="3">
                <c:v>6.2</c:v>
              </c:pt>
              <c:pt idx="4">
                <c:v>7.12</c:v>
              </c:pt>
              <c:pt idx="5">
                <c:v>7.12</c:v>
              </c:pt>
              <c:pt idx="6">
                <c:v>8.6</c:v>
              </c:pt>
              <c:pt idx="7">
                <c:v>8.6</c:v>
              </c:pt>
              <c:pt idx="8">
                <c:v>12.52</c:v>
              </c:pt>
              <c:pt idx="9">
                <c:v>12.52</c:v>
              </c:pt>
              <c:pt idx="10">
                <c:v>12.52</c:v>
              </c:pt>
              <c:pt idx="11">
                <c:v>12.52</c:v>
              </c:pt>
              <c:pt idx="12">
                <c:v>15.08</c:v>
              </c:pt>
              <c:pt idx="13">
                <c:v>15.08</c:v>
              </c:pt>
              <c:pt idx="14">
                <c:v>16.88</c:v>
              </c:pt>
              <c:pt idx="15">
                <c:v>16.88</c:v>
              </c:pt>
              <c:pt idx="16">
                <c:v>19.8</c:v>
              </c:pt>
              <c:pt idx="17">
                <c:v>19.8</c:v>
              </c:pt>
              <c:pt idx="18">
                <c:v>21</c:v>
              </c:pt>
              <c:pt idx="19">
                <c:v>21</c:v>
              </c:pt>
              <c:pt idx="20">
                <c:v>22.32</c:v>
              </c:pt>
              <c:pt idx="21">
                <c:v>22.32</c:v>
              </c:pt>
              <c:pt idx="22">
                <c:v>24</c:v>
              </c:pt>
              <c:pt idx="23">
                <c:v>24</c:v>
              </c:pt>
              <c:pt idx="24">
                <c:v>25</c:v>
              </c:pt>
              <c:pt idx="25">
                <c:v>25</c:v>
              </c:pt>
              <c:pt idx="26">
                <c:v>26.88</c:v>
              </c:pt>
              <c:pt idx="27">
                <c:v>26.88</c:v>
              </c:pt>
              <c:pt idx="28">
                <c:v>27.48</c:v>
              </c:pt>
              <c:pt idx="29">
                <c:v>27.48</c:v>
              </c:pt>
              <c:pt idx="30">
                <c:v>29</c:v>
              </c:pt>
              <c:pt idx="31">
                <c:v>29</c:v>
              </c:pt>
              <c:pt idx="32">
                <c:v>34.4</c:v>
              </c:pt>
              <c:pt idx="33">
                <c:v>34.4</c:v>
              </c:pt>
              <c:pt idx="34">
                <c:v>36.6</c:v>
              </c:pt>
              <c:pt idx="35">
                <c:v>36.6</c:v>
              </c:pt>
            </c:numLit>
          </c:xVal>
          <c:yVal>
            <c:numLit>
              <c:formatCode>General</c:formatCode>
              <c:ptCount val="3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AFE-436C-B4B1-5EBD7EC38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743071"/>
        <c:axId val="772744031"/>
      </c:scatterChart>
      <c:valAx>
        <c:axId val="772743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44031"/>
        <c:crosses val="autoZero"/>
        <c:crossBetween val="midCat"/>
      </c:valAx>
      <c:valAx>
        <c:axId val="77274403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7274307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6"/>
              <c:pt idx="0">
                <c:v>4.24</c:v>
              </c:pt>
              <c:pt idx="1">
                <c:v>4.24</c:v>
              </c:pt>
              <c:pt idx="2">
                <c:v>6.72</c:v>
              </c:pt>
              <c:pt idx="3">
                <c:v>6.72</c:v>
              </c:pt>
              <c:pt idx="4">
                <c:v>8.1199999999999992</c:v>
              </c:pt>
              <c:pt idx="5">
                <c:v>8.1199999999999992</c:v>
              </c:pt>
              <c:pt idx="6">
                <c:v>9.32</c:v>
              </c:pt>
              <c:pt idx="7">
                <c:v>9.32</c:v>
              </c:pt>
              <c:pt idx="8">
                <c:v>11.32</c:v>
              </c:pt>
              <c:pt idx="9">
                <c:v>11.32</c:v>
              </c:pt>
              <c:pt idx="10">
                <c:v>13.04</c:v>
              </c:pt>
              <c:pt idx="11">
                <c:v>13.04</c:v>
              </c:pt>
              <c:pt idx="12">
                <c:v>15.4</c:v>
              </c:pt>
              <c:pt idx="13">
                <c:v>15.4</c:v>
              </c:pt>
              <c:pt idx="14">
                <c:v>17.2</c:v>
              </c:pt>
              <c:pt idx="15">
                <c:v>17.2</c:v>
              </c:pt>
              <c:pt idx="16">
                <c:v>18.600000000000001</c:v>
              </c:pt>
              <c:pt idx="17">
                <c:v>18.600000000000001</c:v>
              </c:pt>
              <c:pt idx="18">
                <c:v>19.52</c:v>
              </c:pt>
              <c:pt idx="19">
                <c:v>19.52</c:v>
              </c:pt>
              <c:pt idx="20">
                <c:v>20.92</c:v>
              </c:pt>
              <c:pt idx="21">
                <c:v>20.92</c:v>
              </c:pt>
              <c:pt idx="22">
                <c:v>21.64</c:v>
              </c:pt>
              <c:pt idx="23">
                <c:v>21.64</c:v>
              </c:pt>
              <c:pt idx="24">
                <c:v>22.8</c:v>
              </c:pt>
              <c:pt idx="25">
                <c:v>22.8</c:v>
              </c:pt>
              <c:pt idx="26">
                <c:v>24.92</c:v>
              </c:pt>
              <c:pt idx="27">
                <c:v>24.92</c:v>
              </c:pt>
              <c:pt idx="28">
                <c:v>26.4</c:v>
              </c:pt>
              <c:pt idx="29">
                <c:v>26.4</c:v>
              </c:pt>
              <c:pt idx="30">
                <c:v>28.12</c:v>
              </c:pt>
              <c:pt idx="31">
                <c:v>28.12</c:v>
              </c:pt>
              <c:pt idx="32">
                <c:v>29.52</c:v>
              </c:pt>
              <c:pt idx="33">
                <c:v>29.52</c:v>
              </c:pt>
              <c:pt idx="34">
                <c:v>29.64</c:v>
              </c:pt>
              <c:pt idx="35">
                <c:v>29.64</c:v>
              </c:pt>
              <c:pt idx="36">
                <c:v>31.64</c:v>
              </c:pt>
              <c:pt idx="37">
                <c:v>31.64</c:v>
              </c:pt>
              <c:pt idx="38">
                <c:v>34.520000000000003</c:v>
              </c:pt>
              <c:pt idx="39">
                <c:v>34.520000000000003</c:v>
              </c:pt>
              <c:pt idx="40">
                <c:v>36.200000000000003</c:v>
              </c:pt>
              <c:pt idx="41">
                <c:v>36.200000000000003</c:v>
              </c:pt>
              <c:pt idx="42">
                <c:v>37.72</c:v>
              </c:pt>
              <c:pt idx="43">
                <c:v>37.72</c:v>
              </c:pt>
              <c:pt idx="44">
                <c:v>38</c:v>
              </c:pt>
              <c:pt idx="45">
                <c:v>38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5C7-44B2-B5FA-1F57C760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292223"/>
        <c:axId val="763292703"/>
      </c:scatterChart>
      <c:valAx>
        <c:axId val="763292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63292703"/>
        <c:crosses val="autoZero"/>
        <c:crossBetween val="midCat"/>
      </c:valAx>
      <c:valAx>
        <c:axId val="76329270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6329222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6"/>
              <c:pt idx="0">
                <c:v>5.2</c:v>
              </c:pt>
              <c:pt idx="1">
                <c:v>5.2</c:v>
              </c:pt>
              <c:pt idx="2">
                <c:v>7.24</c:v>
              </c:pt>
              <c:pt idx="3">
                <c:v>7.24</c:v>
              </c:pt>
              <c:pt idx="4">
                <c:v>9.7200000000000006</c:v>
              </c:pt>
              <c:pt idx="5">
                <c:v>9.7200000000000006</c:v>
              </c:pt>
              <c:pt idx="6">
                <c:v>11.32</c:v>
              </c:pt>
              <c:pt idx="7">
                <c:v>11.32</c:v>
              </c:pt>
              <c:pt idx="8">
                <c:v>13.72</c:v>
              </c:pt>
              <c:pt idx="9">
                <c:v>13.72</c:v>
              </c:pt>
              <c:pt idx="10">
                <c:v>16</c:v>
              </c:pt>
              <c:pt idx="11">
                <c:v>16</c:v>
              </c:pt>
              <c:pt idx="12">
                <c:v>19.8</c:v>
              </c:pt>
              <c:pt idx="13">
                <c:v>19.8</c:v>
              </c:pt>
              <c:pt idx="14">
                <c:v>22.92</c:v>
              </c:pt>
              <c:pt idx="15">
                <c:v>22.92</c:v>
              </c:pt>
              <c:pt idx="16">
                <c:v>23.4</c:v>
              </c:pt>
              <c:pt idx="17">
                <c:v>23.4</c:v>
              </c:pt>
              <c:pt idx="18">
                <c:v>25.12</c:v>
              </c:pt>
              <c:pt idx="19">
                <c:v>25.12</c:v>
              </c:pt>
              <c:pt idx="20">
                <c:v>26.52</c:v>
              </c:pt>
              <c:pt idx="21">
                <c:v>26.52</c:v>
              </c:pt>
              <c:pt idx="22">
                <c:v>28.52</c:v>
              </c:pt>
              <c:pt idx="23">
                <c:v>28.52</c:v>
              </c:pt>
              <c:pt idx="24">
                <c:v>28.6</c:v>
              </c:pt>
              <c:pt idx="25">
                <c:v>28.6</c:v>
              </c:pt>
              <c:pt idx="26">
                <c:v>30.32</c:v>
              </c:pt>
              <c:pt idx="27">
                <c:v>30.32</c:v>
              </c:pt>
              <c:pt idx="28">
                <c:v>30.8</c:v>
              </c:pt>
              <c:pt idx="29">
                <c:v>30.8</c:v>
              </c:pt>
              <c:pt idx="30">
                <c:v>33.119999999999997</c:v>
              </c:pt>
              <c:pt idx="31">
                <c:v>33.119999999999997</c:v>
              </c:pt>
              <c:pt idx="32">
                <c:v>35.24</c:v>
              </c:pt>
              <c:pt idx="33">
                <c:v>35.24</c:v>
              </c:pt>
              <c:pt idx="34">
                <c:v>37.119999999999997</c:v>
              </c:pt>
              <c:pt idx="35">
                <c:v>37.119999999999997</c:v>
              </c:pt>
            </c:numLit>
          </c:xVal>
          <c:yVal>
            <c:numLit>
              <c:formatCode>General</c:formatCode>
              <c:ptCount val="3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2B3-4D02-A366-C7751C751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631663"/>
        <c:axId val="756632143"/>
      </c:scatterChart>
      <c:valAx>
        <c:axId val="756631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6632143"/>
        <c:crosses val="autoZero"/>
        <c:crossBetween val="midCat"/>
      </c:valAx>
      <c:valAx>
        <c:axId val="75663214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663166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2"/>
              <c:pt idx="0">
                <c:v>3.72</c:v>
              </c:pt>
              <c:pt idx="1">
                <c:v>3.72</c:v>
              </c:pt>
              <c:pt idx="2">
                <c:v>5.44</c:v>
              </c:pt>
              <c:pt idx="3">
                <c:v>5.44</c:v>
              </c:pt>
              <c:pt idx="4">
                <c:v>7.44</c:v>
              </c:pt>
              <c:pt idx="5">
                <c:v>7.44</c:v>
              </c:pt>
              <c:pt idx="6">
                <c:v>7.52</c:v>
              </c:pt>
              <c:pt idx="7">
                <c:v>7.52</c:v>
              </c:pt>
              <c:pt idx="8">
                <c:v>9.92</c:v>
              </c:pt>
              <c:pt idx="9">
                <c:v>9.92</c:v>
              </c:pt>
              <c:pt idx="10">
                <c:v>11.4</c:v>
              </c:pt>
              <c:pt idx="11">
                <c:v>11.4</c:v>
              </c:pt>
              <c:pt idx="12">
                <c:v>13.44</c:v>
              </c:pt>
              <c:pt idx="13">
                <c:v>13.44</c:v>
              </c:pt>
              <c:pt idx="14">
                <c:v>14.64</c:v>
              </c:pt>
              <c:pt idx="15">
                <c:v>14.64</c:v>
              </c:pt>
              <c:pt idx="16">
                <c:v>14.92</c:v>
              </c:pt>
              <c:pt idx="17">
                <c:v>14.92</c:v>
              </c:pt>
              <c:pt idx="18">
                <c:v>16.04</c:v>
              </c:pt>
              <c:pt idx="19">
                <c:v>16.04</c:v>
              </c:pt>
              <c:pt idx="20">
                <c:v>17.32</c:v>
              </c:pt>
              <c:pt idx="21">
                <c:v>17.32</c:v>
              </c:pt>
              <c:pt idx="22">
                <c:v>18.600000000000001</c:v>
              </c:pt>
              <c:pt idx="23">
                <c:v>18.600000000000001</c:v>
              </c:pt>
              <c:pt idx="24">
                <c:v>20.12</c:v>
              </c:pt>
              <c:pt idx="25">
                <c:v>20.12</c:v>
              </c:pt>
              <c:pt idx="26">
                <c:v>21.12</c:v>
              </c:pt>
              <c:pt idx="27">
                <c:v>21.12</c:v>
              </c:pt>
              <c:pt idx="28">
                <c:v>22.92</c:v>
              </c:pt>
              <c:pt idx="29">
                <c:v>22.92</c:v>
              </c:pt>
              <c:pt idx="30">
                <c:v>24.44</c:v>
              </c:pt>
              <c:pt idx="31">
                <c:v>24.44</c:v>
              </c:pt>
              <c:pt idx="32">
                <c:v>26.72</c:v>
              </c:pt>
              <c:pt idx="33">
                <c:v>26.72</c:v>
              </c:pt>
              <c:pt idx="34">
                <c:v>29</c:v>
              </c:pt>
              <c:pt idx="35">
                <c:v>29</c:v>
              </c:pt>
              <c:pt idx="36">
                <c:v>30.12</c:v>
              </c:pt>
              <c:pt idx="37">
                <c:v>30.12</c:v>
              </c:pt>
              <c:pt idx="38">
                <c:v>30.8</c:v>
              </c:pt>
              <c:pt idx="39">
                <c:v>30.8</c:v>
              </c:pt>
              <c:pt idx="40">
                <c:v>31</c:v>
              </c:pt>
              <c:pt idx="41">
                <c:v>31</c:v>
              </c:pt>
              <c:pt idx="42">
                <c:v>31.92</c:v>
              </c:pt>
              <c:pt idx="43">
                <c:v>31.92</c:v>
              </c:pt>
              <c:pt idx="44">
                <c:v>32.840000000000003</c:v>
              </c:pt>
              <c:pt idx="45">
                <c:v>32.840000000000003</c:v>
              </c:pt>
              <c:pt idx="46">
                <c:v>34.200000000000003</c:v>
              </c:pt>
              <c:pt idx="47">
                <c:v>34.200000000000003</c:v>
              </c:pt>
              <c:pt idx="48">
                <c:v>34.72</c:v>
              </c:pt>
              <c:pt idx="49">
                <c:v>34.72</c:v>
              </c:pt>
              <c:pt idx="50">
                <c:v>37.119999999999997</c:v>
              </c:pt>
              <c:pt idx="51">
                <c:v>37.119999999999997</c:v>
              </c:pt>
            </c:numLit>
          </c:xVal>
          <c:yVal>
            <c:numLit>
              <c:formatCode>General</c:formatCode>
              <c:ptCount val="5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74-4DB1-B01E-18FD890EB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02703"/>
        <c:axId val="883712783"/>
      </c:scatterChart>
      <c:valAx>
        <c:axId val="883702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12783"/>
        <c:crosses val="autoZero"/>
        <c:crossBetween val="midCat"/>
      </c:valAx>
      <c:valAx>
        <c:axId val="88371278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027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8"/>
              <c:pt idx="0">
                <c:v>0.4</c:v>
              </c:pt>
              <c:pt idx="1">
                <c:v>0.4</c:v>
              </c:pt>
              <c:pt idx="2">
                <c:v>1.72</c:v>
              </c:pt>
              <c:pt idx="3">
                <c:v>1.72</c:v>
              </c:pt>
              <c:pt idx="4">
                <c:v>2.6</c:v>
              </c:pt>
              <c:pt idx="5">
                <c:v>2.6</c:v>
              </c:pt>
              <c:pt idx="6">
                <c:v>3.24</c:v>
              </c:pt>
              <c:pt idx="7">
                <c:v>3.24</c:v>
              </c:pt>
              <c:pt idx="8">
                <c:v>4.4400000000000004</c:v>
              </c:pt>
              <c:pt idx="9">
                <c:v>4.4400000000000004</c:v>
              </c:pt>
              <c:pt idx="10">
                <c:v>5.12</c:v>
              </c:pt>
              <c:pt idx="11">
                <c:v>5.12</c:v>
              </c:pt>
              <c:pt idx="12">
                <c:v>8</c:v>
              </c:pt>
              <c:pt idx="13">
                <c:v>8</c:v>
              </c:pt>
              <c:pt idx="14">
                <c:v>10.039999999999999</c:v>
              </c:pt>
              <c:pt idx="15">
                <c:v>10.039999999999999</c:v>
              </c:pt>
              <c:pt idx="16">
                <c:v>11.92</c:v>
              </c:pt>
              <c:pt idx="17">
                <c:v>11.92</c:v>
              </c:pt>
              <c:pt idx="18">
                <c:v>15.4</c:v>
              </c:pt>
              <c:pt idx="19">
                <c:v>15.4</c:v>
              </c:pt>
              <c:pt idx="20">
                <c:v>16.32</c:v>
              </c:pt>
              <c:pt idx="21">
                <c:v>16.32</c:v>
              </c:pt>
              <c:pt idx="22">
                <c:v>17.2</c:v>
              </c:pt>
              <c:pt idx="23">
                <c:v>17.2</c:v>
              </c:pt>
              <c:pt idx="24">
                <c:v>19.84</c:v>
              </c:pt>
              <c:pt idx="25">
                <c:v>19.84</c:v>
              </c:pt>
              <c:pt idx="26">
                <c:v>21.2</c:v>
              </c:pt>
              <c:pt idx="27">
                <c:v>21.2</c:v>
              </c:pt>
              <c:pt idx="28">
                <c:v>21.6</c:v>
              </c:pt>
              <c:pt idx="29">
                <c:v>21.6</c:v>
              </c:pt>
              <c:pt idx="30">
                <c:v>24.4</c:v>
              </c:pt>
              <c:pt idx="31">
                <c:v>24.4</c:v>
              </c:pt>
              <c:pt idx="32">
                <c:v>27.4</c:v>
              </c:pt>
              <c:pt idx="33">
                <c:v>27.4</c:v>
              </c:pt>
              <c:pt idx="34">
                <c:v>31.24</c:v>
              </c:pt>
              <c:pt idx="35">
                <c:v>31.24</c:v>
              </c:pt>
              <c:pt idx="36">
                <c:v>32.119999999999997</c:v>
              </c:pt>
              <c:pt idx="37">
                <c:v>32.119999999999997</c:v>
              </c:pt>
            </c:numLit>
          </c:xVal>
          <c:yVal>
            <c:numLit>
              <c:formatCode>General</c:formatCode>
              <c:ptCount val="38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3BB-4236-831A-AD2F9024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07503"/>
        <c:axId val="883709903"/>
      </c:scatterChart>
      <c:valAx>
        <c:axId val="883707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09903"/>
        <c:crosses val="autoZero"/>
        <c:crossBetween val="midCat"/>
      </c:valAx>
      <c:valAx>
        <c:axId val="88370990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075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4"/>
              <c:pt idx="0">
                <c:v>0.4</c:v>
              </c:pt>
              <c:pt idx="1">
                <c:v>0.4</c:v>
              </c:pt>
              <c:pt idx="2">
                <c:v>0.52</c:v>
              </c:pt>
              <c:pt idx="3">
                <c:v>0.52</c:v>
              </c:pt>
              <c:pt idx="4">
                <c:v>2.84</c:v>
              </c:pt>
              <c:pt idx="5">
                <c:v>2.84</c:v>
              </c:pt>
              <c:pt idx="6">
                <c:v>4.84</c:v>
              </c:pt>
              <c:pt idx="7">
                <c:v>4.84</c:v>
              </c:pt>
              <c:pt idx="8">
                <c:v>6.12</c:v>
              </c:pt>
              <c:pt idx="9">
                <c:v>6.12</c:v>
              </c:pt>
              <c:pt idx="10">
                <c:v>7.2</c:v>
              </c:pt>
              <c:pt idx="11">
                <c:v>7.2</c:v>
              </c:pt>
              <c:pt idx="12">
                <c:v>9.7200000000000006</c:v>
              </c:pt>
              <c:pt idx="13">
                <c:v>9.7200000000000006</c:v>
              </c:pt>
              <c:pt idx="14">
                <c:v>11.8</c:v>
              </c:pt>
              <c:pt idx="15">
                <c:v>11.8</c:v>
              </c:pt>
              <c:pt idx="16">
                <c:v>13.92</c:v>
              </c:pt>
              <c:pt idx="17">
                <c:v>13.92</c:v>
              </c:pt>
              <c:pt idx="18">
                <c:v>15</c:v>
              </c:pt>
              <c:pt idx="19">
                <c:v>15</c:v>
              </c:pt>
              <c:pt idx="20">
                <c:v>18.2</c:v>
              </c:pt>
              <c:pt idx="21">
                <c:v>18.2</c:v>
              </c:pt>
              <c:pt idx="22">
                <c:v>20.440000000000001</c:v>
              </c:pt>
              <c:pt idx="23">
                <c:v>20.440000000000001</c:v>
              </c:pt>
              <c:pt idx="24">
                <c:v>22.04</c:v>
              </c:pt>
              <c:pt idx="25">
                <c:v>22.04</c:v>
              </c:pt>
              <c:pt idx="26">
                <c:v>23.72</c:v>
              </c:pt>
              <c:pt idx="27">
                <c:v>23.72</c:v>
              </c:pt>
              <c:pt idx="28">
                <c:v>25.72</c:v>
              </c:pt>
              <c:pt idx="29">
                <c:v>25.72</c:v>
              </c:pt>
              <c:pt idx="30">
                <c:v>27.6</c:v>
              </c:pt>
              <c:pt idx="31">
                <c:v>27.6</c:v>
              </c:pt>
              <c:pt idx="32">
                <c:v>29.8</c:v>
              </c:pt>
              <c:pt idx="33">
                <c:v>29.8</c:v>
              </c:pt>
            </c:numLit>
          </c:xVal>
          <c:yVal>
            <c:numLit>
              <c:formatCode>General</c:formatCode>
              <c:ptCount val="3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221-49F6-B3D7-7BA51EB2E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741391"/>
        <c:axId val="717700079"/>
      </c:scatterChart>
      <c:valAx>
        <c:axId val="7567413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7700079"/>
        <c:crosses val="autoZero"/>
        <c:crossBetween val="midCat"/>
      </c:valAx>
      <c:valAx>
        <c:axId val="71770007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5674139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4"/>
              <c:pt idx="0">
                <c:v>0.72</c:v>
              </c:pt>
              <c:pt idx="1">
                <c:v>0.72</c:v>
              </c:pt>
              <c:pt idx="2">
                <c:v>3.04</c:v>
              </c:pt>
              <c:pt idx="3">
                <c:v>3.04</c:v>
              </c:pt>
              <c:pt idx="4">
                <c:v>4.2</c:v>
              </c:pt>
              <c:pt idx="5">
                <c:v>4.2</c:v>
              </c:pt>
              <c:pt idx="6">
                <c:v>5.2</c:v>
              </c:pt>
              <c:pt idx="7">
                <c:v>5.2</c:v>
              </c:pt>
              <c:pt idx="8">
                <c:v>7.2</c:v>
              </c:pt>
              <c:pt idx="9">
                <c:v>7.2</c:v>
              </c:pt>
              <c:pt idx="10">
                <c:v>9</c:v>
              </c:pt>
              <c:pt idx="11">
                <c:v>9</c:v>
              </c:pt>
              <c:pt idx="12">
                <c:v>10.8</c:v>
              </c:pt>
              <c:pt idx="13">
                <c:v>10.8</c:v>
              </c:pt>
              <c:pt idx="14">
                <c:v>12.84</c:v>
              </c:pt>
              <c:pt idx="15">
                <c:v>12.84</c:v>
              </c:pt>
              <c:pt idx="16">
                <c:v>15</c:v>
              </c:pt>
              <c:pt idx="17">
                <c:v>15</c:v>
              </c:pt>
              <c:pt idx="18">
                <c:v>16.52</c:v>
              </c:pt>
              <c:pt idx="19">
                <c:v>16.52</c:v>
              </c:pt>
              <c:pt idx="20">
                <c:v>18.2</c:v>
              </c:pt>
              <c:pt idx="21">
                <c:v>18.2</c:v>
              </c:pt>
              <c:pt idx="22">
                <c:v>20</c:v>
              </c:pt>
              <c:pt idx="23">
                <c:v>20</c:v>
              </c:pt>
              <c:pt idx="24">
                <c:v>22.12</c:v>
              </c:pt>
              <c:pt idx="25">
                <c:v>22.12</c:v>
              </c:pt>
              <c:pt idx="26">
                <c:v>24.52</c:v>
              </c:pt>
              <c:pt idx="27">
                <c:v>24.52</c:v>
              </c:pt>
              <c:pt idx="28">
                <c:v>26.4</c:v>
              </c:pt>
              <c:pt idx="29">
                <c:v>26.4</c:v>
              </c:pt>
              <c:pt idx="30">
                <c:v>27.52</c:v>
              </c:pt>
              <c:pt idx="31">
                <c:v>27.52</c:v>
              </c:pt>
              <c:pt idx="32">
                <c:v>34.64</c:v>
              </c:pt>
              <c:pt idx="33">
                <c:v>34.64</c:v>
              </c:pt>
            </c:numLit>
          </c:xVal>
          <c:yVal>
            <c:numLit>
              <c:formatCode>General</c:formatCode>
              <c:ptCount val="3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D43-4982-B3EE-AE2862D86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33455"/>
        <c:axId val="769936815"/>
      </c:scatterChart>
      <c:valAx>
        <c:axId val="769933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69936815"/>
        <c:crosses val="autoZero"/>
        <c:crossBetween val="midCat"/>
      </c:valAx>
      <c:valAx>
        <c:axId val="769936815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69933455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62"/>
              <c:pt idx="0">
                <c:v>5.32</c:v>
              </c:pt>
              <c:pt idx="1">
                <c:v>5.32</c:v>
              </c:pt>
              <c:pt idx="2">
                <c:v>7.64</c:v>
              </c:pt>
              <c:pt idx="3">
                <c:v>7.64</c:v>
              </c:pt>
              <c:pt idx="4">
                <c:v>8</c:v>
              </c:pt>
              <c:pt idx="5">
                <c:v>8</c:v>
              </c:pt>
              <c:pt idx="6">
                <c:v>10.199999999999999</c:v>
              </c:pt>
              <c:pt idx="7">
                <c:v>10.199999999999999</c:v>
              </c:pt>
              <c:pt idx="8">
                <c:v>11.2</c:v>
              </c:pt>
              <c:pt idx="9">
                <c:v>11.2</c:v>
              </c:pt>
              <c:pt idx="10">
                <c:v>15</c:v>
              </c:pt>
              <c:pt idx="11">
                <c:v>15</c:v>
              </c:pt>
              <c:pt idx="12">
                <c:v>15.92</c:v>
              </c:pt>
              <c:pt idx="13">
                <c:v>15.92</c:v>
              </c:pt>
              <c:pt idx="14">
                <c:v>16.52</c:v>
              </c:pt>
              <c:pt idx="15">
                <c:v>16.52</c:v>
              </c:pt>
              <c:pt idx="16">
                <c:v>18.52</c:v>
              </c:pt>
              <c:pt idx="17">
                <c:v>18.52</c:v>
              </c:pt>
              <c:pt idx="18">
                <c:v>20.440000000000001</c:v>
              </c:pt>
              <c:pt idx="19">
                <c:v>20.440000000000001</c:v>
              </c:pt>
              <c:pt idx="20">
                <c:v>21.84</c:v>
              </c:pt>
              <c:pt idx="21">
                <c:v>21.84</c:v>
              </c:pt>
              <c:pt idx="22">
                <c:v>22.32</c:v>
              </c:pt>
              <c:pt idx="23">
                <c:v>22.32</c:v>
              </c:pt>
              <c:pt idx="24">
                <c:v>23.52</c:v>
              </c:pt>
              <c:pt idx="25">
                <c:v>23.52</c:v>
              </c:pt>
              <c:pt idx="26">
                <c:v>24.12</c:v>
              </c:pt>
              <c:pt idx="27">
                <c:v>24.12</c:v>
              </c:pt>
              <c:pt idx="28">
                <c:v>25.52</c:v>
              </c:pt>
              <c:pt idx="29">
                <c:v>25.52</c:v>
              </c:pt>
              <c:pt idx="30">
                <c:v>25.72</c:v>
              </c:pt>
              <c:pt idx="31">
                <c:v>25.72</c:v>
              </c:pt>
              <c:pt idx="32">
                <c:v>27.2</c:v>
              </c:pt>
              <c:pt idx="33">
                <c:v>27.2</c:v>
              </c:pt>
              <c:pt idx="34">
                <c:v>28.44</c:v>
              </c:pt>
              <c:pt idx="35">
                <c:v>28.44</c:v>
              </c:pt>
              <c:pt idx="36">
                <c:v>28.44</c:v>
              </c:pt>
              <c:pt idx="37">
                <c:v>28.44</c:v>
              </c:pt>
              <c:pt idx="38">
                <c:v>30.64</c:v>
              </c:pt>
              <c:pt idx="39">
                <c:v>30.64</c:v>
              </c:pt>
              <c:pt idx="40">
                <c:v>30.8</c:v>
              </c:pt>
              <c:pt idx="41">
                <c:v>30.8</c:v>
              </c:pt>
              <c:pt idx="42">
                <c:v>31.32</c:v>
              </c:pt>
              <c:pt idx="43">
                <c:v>31.32</c:v>
              </c:pt>
              <c:pt idx="44">
                <c:v>32.72</c:v>
              </c:pt>
              <c:pt idx="45">
                <c:v>32.72</c:v>
              </c:pt>
              <c:pt idx="46">
                <c:v>33.6</c:v>
              </c:pt>
              <c:pt idx="47">
                <c:v>33.6</c:v>
              </c:pt>
              <c:pt idx="48">
                <c:v>35.4</c:v>
              </c:pt>
              <c:pt idx="49">
                <c:v>35.4</c:v>
              </c:pt>
              <c:pt idx="50">
                <c:v>35.520000000000003</c:v>
              </c:pt>
              <c:pt idx="51">
                <c:v>35.520000000000003</c:v>
              </c:pt>
              <c:pt idx="52">
                <c:v>37.32</c:v>
              </c:pt>
              <c:pt idx="53">
                <c:v>37.32</c:v>
              </c:pt>
              <c:pt idx="54">
                <c:v>38.6</c:v>
              </c:pt>
              <c:pt idx="55">
                <c:v>38.6</c:v>
              </c:pt>
              <c:pt idx="56">
                <c:v>39.64</c:v>
              </c:pt>
              <c:pt idx="57">
                <c:v>39.64</c:v>
              </c:pt>
              <c:pt idx="58">
                <c:v>40.92</c:v>
              </c:pt>
              <c:pt idx="59">
                <c:v>40.92</c:v>
              </c:pt>
              <c:pt idx="60">
                <c:v>42.44</c:v>
              </c:pt>
              <c:pt idx="61">
                <c:v>42.44</c:v>
              </c:pt>
            </c:numLit>
          </c:xVal>
          <c:yVal>
            <c:numLit>
              <c:formatCode>General</c:formatCode>
              <c:ptCount val="6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F5D-4D5E-A688-2C14790F1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886159"/>
        <c:axId val="596883759"/>
      </c:scatterChart>
      <c:valAx>
        <c:axId val="5968861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6883759"/>
        <c:crosses val="autoZero"/>
        <c:crossBetween val="midCat"/>
      </c:valAx>
      <c:valAx>
        <c:axId val="59688375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9688615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8"/>
              <c:pt idx="0">
                <c:v>8.32</c:v>
              </c:pt>
              <c:pt idx="1">
                <c:v>8.32</c:v>
              </c:pt>
              <c:pt idx="2">
                <c:v>8.32</c:v>
              </c:pt>
              <c:pt idx="3">
                <c:v>8.32</c:v>
              </c:pt>
              <c:pt idx="4">
                <c:v>10.44</c:v>
              </c:pt>
              <c:pt idx="5">
                <c:v>10.44</c:v>
              </c:pt>
              <c:pt idx="6">
                <c:v>12.4</c:v>
              </c:pt>
              <c:pt idx="7">
                <c:v>12.4</c:v>
              </c:pt>
              <c:pt idx="8">
                <c:v>13.64</c:v>
              </c:pt>
              <c:pt idx="9">
                <c:v>13.64</c:v>
              </c:pt>
              <c:pt idx="10">
                <c:v>15</c:v>
              </c:pt>
              <c:pt idx="11">
                <c:v>15</c:v>
              </c:pt>
              <c:pt idx="12">
                <c:v>16.600000000000001</c:v>
              </c:pt>
              <c:pt idx="13">
                <c:v>16.600000000000001</c:v>
              </c:pt>
              <c:pt idx="14">
                <c:v>16.64</c:v>
              </c:pt>
              <c:pt idx="15">
                <c:v>16.64</c:v>
              </c:pt>
              <c:pt idx="16">
                <c:v>18.72</c:v>
              </c:pt>
              <c:pt idx="17">
                <c:v>18.72</c:v>
              </c:pt>
              <c:pt idx="18">
                <c:v>21.6</c:v>
              </c:pt>
              <c:pt idx="19">
                <c:v>21.6</c:v>
              </c:pt>
              <c:pt idx="20">
                <c:v>25.92</c:v>
              </c:pt>
              <c:pt idx="21">
                <c:v>25.92</c:v>
              </c:pt>
              <c:pt idx="22">
                <c:v>26</c:v>
              </c:pt>
              <c:pt idx="23">
                <c:v>26</c:v>
              </c:pt>
              <c:pt idx="24">
                <c:v>27.24</c:v>
              </c:pt>
              <c:pt idx="25">
                <c:v>27.24</c:v>
              </c:pt>
              <c:pt idx="26">
                <c:v>28.2</c:v>
              </c:pt>
              <c:pt idx="27">
                <c:v>28.2</c:v>
              </c:pt>
              <c:pt idx="28">
                <c:v>30</c:v>
              </c:pt>
              <c:pt idx="29">
                <c:v>30</c:v>
              </c:pt>
              <c:pt idx="30">
                <c:v>37.64</c:v>
              </c:pt>
              <c:pt idx="31">
                <c:v>37.64</c:v>
              </c:pt>
              <c:pt idx="32">
                <c:v>41.84</c:v>
              </c:pt>
              <c:pt idx="33">
                <c:v>41.84</c:v>
              </c:pt>
              <c:pt idx="34">
                <c:v>43.12</c:v>
              </c:pt>
              <c:pt idx="35">
                <c:v>43.12</c:v>
              </c:pt>
              <c:pt idx="36">
                <c:v>45.12</c:v>
              </c:pt>
              <c:pt idx="37">
                <c:v>45.12</c:v>
              </c:pt>
            </c:numLit>
          </c:xVal>
          <c:yVal>
            <c:numLit>
              <c:formatCode>General</c:formatCode>
              <c:ptCount val="38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2CA-4A60-B0BE-BECCFB033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433087"/>
        <c:axId val="860432127"/>
      </c:scatterChart>
      <c:valAx>
        <c:axId val="86043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32127"/>
        <c:crosses val="autoZero"/>
        <c:crossBetween val="midCat"/>
      </c:valAx>
      <c:valAx>
        <c:axId val="86043212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3308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0"/>
              <c:pt idx="0">
                <c:v>7.72</c:v>
              </c:pt>
              <c:pt idx="1">
                <c:v>7.72</c:v>
              </c:pt>
              <c:pt idx="2">
                <c:v>9.84</c:v>
              </c:pt>
              <c:pt idx="3">
                <c:v>9.84</c:v>
              </c:pt>
              <c:pt idx="4">
                <c:v>11.04</c:v>
              </c:pt>
              <c:pt idx="5">
                <c:v>11.04</c:v>
              </c:pt>
              <c:pt idx="6">
                <c:v>12.72</c:v>
              </c:pt>
              <c:pt idx="7">
                <c:v>12.72</c:v>
              </c:pt>
              <c:pt idx="8">
                <c:v>13.4</c:v>
              </c:pt>
              <c:pt idx="9">
                <c:v>13.4</c:v>
              </c:pt>
              <c:pt idx="10">
                <c:v>15.24</c:v>
              </c:pt>
              <c:pt idx="11">
                <c:v>15.24</c:v>
              </c:pt>
              <c:pt idx="12">
                <c:v>16</c:v>
              </c:pt>
              <c:pt idx="13">
                <c:v>16</c:v>
              </c:pt>
              <c:pt idx="14">
                <c:v>17.04</c:v>
              </c:pt>
              <c:pt idx="15">
                <c:v>17.04</c:v>
              </c:pt>
              <c:pt idx="16">
                <c:v>17.12</c:v>
              </c:pt>
              <c:pt idx="17">
                <c:v>17.12</c:v>
              </c:pt>
              <c:pt idx="18">
                <c:v>18.600000000000001</c:v>
              </c:pt>
              <c:pt idx="19">
                <c:v>18.600000000000001</c:v>
              </c:pt>
              <c:pt idx="20">
                <c:v>19.84</c:v>
              </c:pt>
              <c:pt idx="21">
                <c:v>19.84</c:v>
              </c:pt>
              <c:pt idx="22">
                <c:v>25.4</c:v>
              </c:pt>
              <c:pt idx="23">
                <c:v>25.4</c:v>
              </c:pt>
              <c:pt idx="24">
                <c:v>27</c:v>
              </c:pt>
              <c:pt idx="25">
                <c:v>27</c:v>
              </c:pt>
              <c:pt idx="26">
                <c:v>27.44</c:v>
              </c:pt>
              <c:pt idx="27">
                <c:v>27.44</c:v>
              </c:pt>
              <c:pt idx="28">
                <c:v>28.6</c:v>
              </c:pt>
              <c:pt idx="29">
                <c:v>28.6</c:v>
              </c:pt>
              <c:pt idx="30">
                <c:v>30.64</c:v>
              </c:pt>
              <c:pt idx="31">
                <c:v>30.64</c:v>
              </c:pt>
              <c:pt idx="32">
                <c:v>35.24</c:v>
              </c:pt>
              <c:pt idx="33">
                <c:v>35.24</c:v>
              </c:pt>
              <c:pt idx="34">
                <c:v>39.92</c:v>
              </c:pt>
              <c:pt idx="35">
                <c:v>39.92</c:v>
              </c:pt>
              <c:pt idx="36">
                <c:v>42.04</c:v>
              </c:pt>
              <c:pt idx="37">
                <c:v>42.04</c:v>
              </c:pt>
              <c:pt idx="38">
                <c:v>44.8</c:v>
              </c:pt>
              <c:pt idx="39">
                <c:v>44.8</c:v>
              </c:pt>
            </c:numLit>
          </c:xVal>
          <c:yVal>
            <c:numLit>
              <c:formatCode>General</c:formatCode>
              <c:ptCount val="4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5D2-4748-A663-EDEA5AC4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433087"/>
        <c:axId val="860449727"/>
      </c:scatterChart>
      <c:valAx>
        <c:axId val="860433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49727"/>
        <c:crosses val="autoZero"/>
        <c:crossBetween val="midCat"/>
      </c:valAx>
      <c:valAx>
        <c:axId val="86044972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3308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'3.35'!$B$61:$B$71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3.38</c:v>
                </c:pt>
                <c:pt idx="3">
                  <c:v>2.9</c:v>
                </c:pt>
                <c:pt idx="4">
                  <c:v>2.4500000000000002</c:v>
                </c:pt>
                <c:pt idx="5">
                  <c:v>2</c:v>
                </c:pt>
                <c:pt idx="6">
                  <c:v>3.38</c:v>
                </c:pt>
                <c:pt idx="7">
                  <c:v>3.02</c:v>
                </c:pt>
                <c:pt idx="8">
                  <c:v>2.4500000000000002</c:v>
                </c:pt>
                <c:pt idx="9">
                  <c:v>2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B-464E-A7CB-DF8D003AA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'3.35'!$C$61:$C$71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'3.35'!$D$61:$D$71</c:f>
              <c:numCache>
                <c:formatCode>General</c:formatCode>
                <c:ptCount val="11"/>
                <c:pt idx="0">
                  <c:v>0</c:v>
                </c:pt>
                <c:pt idx="1">
                  <c:v>2.14</c:v>
                </c:pt>
                <c:pt idx="2">
                  <c:v>2</c:v>
                </c:pt>
                <c:pt idx="3">
                  <c:v>3.02</c:v>
                </c:pt>
                <c:pt idx="4">
                  <c:v>3.45</c:v>
                </c:pt>
                <c:pt idx="5">
                  <c:v>1.45</c:v>
                </c:pt>
                <c:pt idx="6">
                  <c:v>2.4500000000000002</c:v>
                </c:pt>
                <c:pt idx="7">
                  <c:v>4</c:v>
                </c:pt>
                <c:pt idx="8">
                  <c:v>2.38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30-4081-B329-CC3F624E8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'3.35'!$E$61:$E$71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'3.35'!$F$61:$F$71</c:f>
              <c:numCache>
                <c:formatCode>General</c:formatCode>
                <c:ptCount val="11"/>
                <c:pt idx="0">
                  <c:v>0</c:v>
                </c:pt>
                <c:pt idx="1">
                  <c:v>0.83000000000000007</c:v>
                </c:pt>
                <c:pt idx="2">
                  <c:v>4.1399999999999997</c:v>
                </c:pt>
                <c:pt idx="3">
                  <c:v>2.4500000000000002</c:v>
                </c:pt>
                <c:pt idx="4">
                  <c:v>2.2800000000000002</c:v>
                </c:pt>
                <c:pt idx="5">
                  <c:v>2</c:v>
                </c:pt>
                <c:pt idx="6">
                  <c:v>1</c:v>
                </c:pt>
                <c:pt idx="7">
                  <c:v>2.9000000000000004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1-415D-A9DF-B2A506988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6"/>
              <c:pt idx="0">
                <c:v>1.48</c:v>
              </c:pt>
              <c:pt idx="1">
                <c:v>1.48</c:v>
              </c:pt>
              <c:pt idx="2">
                <c:v>1.88</c:v>
              </c:pt>
              <c:pt idx="3">
                <c:v>1.88</c:v>
              </c:pt>
              <c:pt idx="4">
                <c:v>2.92</c:v>
              </c:pt>
              <c:pt idx="5">
                <c:v>2.92</c:v>
              </c:pt>
              <c:pt idx="6">
                <c:v>4.08</c:v>
              </c:pt>
              <c:pt idx="7">
                <c:v>4.08</c:v>
              </c:pt>
              <c:pt idx="8">
                <c:v>5.32</c:v>
              </c:pt>
              <c:pt idx="9">
                <c:v>5.32</c:v>
              </c:pt>
              <c:pt idx="10">
                <c:v>7.48</c:v>
              </c:pt>
              <c:pt idx="11">
                <c:v>7.48</c:v>
              </c:pt>
              <c:pt idx="12">
                <c:v>10.119999999999999</c:v>
              </c:pt>
              <c:pt idx="13">
                <c:v>10.119999999999999</c:v>
              </c:pt>
              <c:pt idx="14">
                <c:v>12.32</c:v>
              </c:pt>
              <c:pt idx="15">
                <c:v>12.32</c:v>
              </c:pt>
              <c:pt idx="16">
                <c:v>15</c:v>
              </c:pt>
              <c:pt idx="17">
                <c:v>15</c:v>
              </c:pt>
              <c:pt idx="18">
                <c:v>16.48</c:v>
              </c:pt>
              <c:pt idx="19">
                <c:v>16.48</c:v>
              </c:pt>
              <c:pt idx="20">
                <c:v>18.12</c:v>
              </c:pt>
              <c:pt idx="21">
                <c:v>18.12</c:v>
              </c:pt>
              <c:pt idx="22">
                <c:v>19.8</c:v>
              </c:pt>
              <c:pt idx="23">
                <c:v>19.8</c:v>
              </c:pt>
              <c:pt idx="24">
                <c:v>21.48</c:v>
              </c:pt>
              <c:pt idx="25">
                <c:v>21.48</c:v>
              </c:pt>
              <c:pt idx="26">
                <c:v>22.48</c:v>
              </c:pt>
              <c:pt idx="27">
                <c:v>22.48</c:v>
              </c:pt>
              <c:pt idx="28">
                <c:v>25.92</c:v>
              </c:pt>
              <c:pt idx="29">
                <c:v>25.92</c:v>
              </c:pt>
              <c:pt idx="30">
                <c:v>27.12</c:v>
              </c:pt>
              <c:pt idx="31">
                <c:v>27.12</c:v>
              </c:pt>
              <c:pt idx="32">
                <c:v>29.8</c:v>
              </c:pt>
              <c:pt idx="33">
                <c:v>29.8</c:v>
              </c:pt>
              <c:pt idx="34">
                <c:v>31.4</c:v>
              </c:pt>
              <c:pt idx="35">
                <c:v>31.4</c:v>
              </c:pt>
              <c:pt idx="36">
                <c:v>33</c:v>
              </c:pt>
              <c:pt idx="37">
                <c:v>33</c:v>
              </c:pt>
              <c:pt idx="38">
                <c:v>34.200000000000003</c:v>
              </c:pt>
              <c:pt idx="39">
                <c:v>34.200000000000003</c:v>
              </c:pt>
              <c:pt idx="40">
                <c:v>35</c:v>
              </c:pt>
              <c:pt idx="41">
                <c:v>35</c:v>
              </c:pt>
              <c:pt idx="42">
                <c:v>36.479999999999997</c:v>
              </c:pt>
              <c:pt idx="43">
                <c:v>36.479999999999997</c:v>
              </c:pt>
              <c:pt idx="44">
                <c:v>37.28</c:v>
              </c:pt>
              <c:pt idx="45">
                <c:v>37.28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232F-403F-8391-AFA4A67C6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12975"/>
        <c:axId val="862613455"/>
      </c:scatterChart>
      <c:valAx>
        <c:axId val="8626129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2613455"/>
        <c:crosses val="autoZero"/>
        <c:crossBetween val="midCat"/>
      </c:valAx>
      <c:valAx>
        <c:axId val="862613455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2612975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6"/>
              <c:pt idx="0">
                <c:v>3.6</c:v>
              </c:pt>
              <c:pt idx="1">
                <c:v>3.6</c:v>
              </c:pt>
              <c:pt idx="2">
                <c:v>4.5999999999999996</c:v>
              </c:pt>
              <c:pt idx="3">
                <c:v>4.5999999999999996</c:v>
              </c:pt>
              <c:pt idx="4">
                <c:v>5.4</c:v>
              </c:pt>
              <c:pt idx="5">
                <c:v>5.4</c:v>
              </c:pt>
              <c:pt idx="6">
                <c:v>5.72</c:v>
              </c:pt>
              <c:pt idx="7">
                <c:v>5.72</c:v>
              </c:pt>
              <c:pt idx="8">
                <c:v>7.52</c:v>
              </c:pt>
              <c:pt idx="9">
                <c:v>7.52</c:v>
              </c:pt>
              <c:pt idx="10">
                <c:v>8.6</c:v>
              </c:pt>
              <c:pt idx="11">
                <c:v>8.6</c:v>
              </c:pt>
              <c:pt idx="12">
                <c:v>9.1199999999999992</c:v>
              </c:pt>
              <c:pt idx="13">
                <c:v>9.1199999999999992</c:v>
              </c:pt>
              <c:pt idx="14">
                <c:v>9.6</c:v>
              </c:pt>
              <c:pt idx="15">
                <c:v>9.6</c:v>
              </c:pt>
              <c:pt idx="16">
                <c:v>11.48</c:v>
              </c:pt>
              <c:pt idx="17">
                <c:v>11.48</c:v>
              </c:pt>
              <c:pt idx="18">
                <c:v>12.68</c:v>
              </c:pt>
              <c:pt idx="19">
                <c:v>12.68</c:v>
              </c:pt>
              <c:pt idx="20">
                <c:v>14.72</c:v>
              </c:pt>
              <c:pt idx="21">
                <c:v>14.72</c:v>
              </c:pt>
              <c:pt idx="22">
                <c:v>16.2</c:v>
              </c:pt>
              <c:pt idx="23">
                <c:v>16.2</c:v>
              </c:pt>
              <c:pt idx="24">
                <c:v>16.8</c:v>
              </c:pt>
              <c:pt idx="25">
                <c:v>16.8</c:v>
              </c:pt>
              <c:pt idx="26">
                <c:v>17.2</c:v>
              </c:pt>
              <c:pt idx="27">
                <c:v>17.2</c:v>
              </c:pt>
              <c:pt idx="28">
                <c:v>18.600000000000001</c:v>
              </c:pt>
              <c:pt idx="29">
                <c:v>18.600000000000001</c:v>
              </c:pt>
              <c:pt idx="30">
                <c:v>20.399999999999999</c:v>
              </c:pt>
              <c:pt idx="31">
                <c:v>20.399999999999999</c:v>
              </c:pt>
              <c:pt idx="32">
                <c:v>24.08</c:v>
              </c:pt>
              <c:pt idx="33">
                <c:v>24.08</c:v>
              </c:pt>
              <c:pt idx="34">
                <c:v>27.88</c:v>
              </c:pt>
              <c:pt idx="35">
                <c:v>27.88</c:v>
              </c:pt>
              <c:pt idx="36">
                <c:v>30.8</c:v>
              </c:pt>
              <c:pt idx="37">
                <c:v>30.8</c:v>
              </c:pt>
              <c:pt idx="38">
                <c:v>32</c:v>
              </c:pt>
              <c:pt idx="39">
                <c:v>32</c:v>
              </c:pt>
              <c:pt idx="40">
                <c:v>33.479999999999997</c:v>
              </c:pt>
              <c:pt idx="41">
                <c:v>33.479999999999997</c:v>
              </c:pt>
              <c:pt idx="42">
                <c:v>34.4</c:v>
              </c:pt>
              <c:pt idx="43">
                <c:v>34.4</c:v>
              </c:pt>
              <c:pt idx="44">
                <c:v>37.08</c:v>
              </c:pt>
              <c:pt idx="45">
                <c:v>37.08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446-4A53-AD44-04D0F72EC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8471503"/>
        <c:axId val="718471023"/>
      </c:scatterChart>
      <c:valAx>
        <c:axId val="718471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8471023"/>
        <c:crosses val="autoZero"/>
        <c:crossBetween val="midCat"/>
      </c:valAx>
      <c:valAx>
        <c:axId val="71847102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84715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4"/>
              <c:pt idx="0">
                <c:v>2.8</c:v>
              </c:pt>
              <c:pt idx="1">
                <c:v>2.8</c:v>
              </c:pt>
              <c:pt idx="2">
                <c:v>5.92</c:v>
              </c:pt>
              <c:pt idx="3">
                <c:v>5.92</c:v>
              </c:pt>
              <c:pt idx="4">
                <c:v>7.4</c:v>
              </c:pt>
              <c:pt idx="5">
                <c:v>7.4</c:v>
              </c:pt>
              <c:pt idx="6">
                <c:v>9.2799999999999994</c:v>
              </c:pt>
              <c:pt idx="7">
                <c:v>9.2799999999999994</c:v>
              </c:pt>
              <c:pt idx="8">
                <c:v>10</c:v>
              </c:pt>
              <c:pt idx="9">
                <c:v>10</c:v>
              </c:pt>
              <c:pt idx="10">
                <c:v>11</c:v>
              </c:pt>
              <c:pt idx="11">
                <c:v>11</c:v>
              </c:pt>
              <c:pt idx="12">
                <c:v>11.72</c:v>
              </c:pt>
              <c:pt idx="13">
                <c:v>11.72</c:v>
              </c:pt>
              <c:pt idx="14">
                <c:v>12.2</c:v>
              </c:pt>
              <c:pt idx="15">
                <c:v>12.2</c:v>
              </c:pt>
              <c:pt idx="16">
                <c:v>13.48</c:v>
              </c:pt>
              <c:pt idx="17">
                <c:v>13.48</c:v>
              </c:pt>
              <c:pt idx="18">
                <c:v>14.08</c:v>
              </c:pt>
              <c:pt idx="19">
                <c:v>14.08</c:v>
              </c:pt>
              <c:pt idx="20">
                <c:v>16.28</c:v>
              </c:pt>
              <c:pt idx="21">
                <c:v>16.28</c:v>
              </c:pt>
              <c:pt idx="22">
                <c:v>17.88</c:v>
              </c:pt>
              <c:pt idx="23">
                <c:v>17.88</c:v>
              </c:pt>
              <c:pt idx="24">
                <c:v>19.68</c:v>
              </c:pt>
              <c:pt idx="25">
                <c:v>19.68</c:v>
              </c:pt>
              <c:pt idx="26">
                <c:v>22.28</c:v>
              </c:pt>
              <c:pt idx="27">
                <c:v>22.28</c:v>
              </c:pt>
              <c:pt idx="28">
                <c:v>23.68</c:v>
              </c:pt>
              <c:pt idx="29">
                <c:v>23.68</c:v>
              </c:pt>
              <c:pt idx="30">
                <c:v>25.32</c:v>
              </c:pt>
              <c:pt idx="31">
                <c:v>25.32</c:v>
              </c:pt>
              <c:pt idx="32">
                <c:v>26.48</c:v>
              </c:pt>
              <c:pt idx="33">
                <c:v>26.48</c:v>
              </c:pt>
              <c:pt idx="34">
                <c:v>27.68</c:v>
              </c:pt>
              <c:pt idx="35">
                <c:v>27.68</c:v>
              </c:pt>
              <c:pt idx="36">
                <c:v>28.6</c:v>
              </c:pt>
              <c:pt idx="37">
                <c:v>28.6</c:v>
              </c:pt>
              <c:pt idx="38">
                <c:v>31.52</c:v>
              </c:pt>
              <c:pt idx="39">
                <c:v>31.52</c:v>
              </c:pt>
              <c:pt idx="40">
                <c:v>32.880000000000003</c:v>
              </c:pt>
              <c:pt idx="41">
                <c:v>32.880000000000003</c:v>
              </c:pt>
              <c:pt idx="42">
                <c:v>34.68</c:v>
              </c:pt>
              <c:pt idx="43">
                <c:v>34.68</c:v>
              </c:pt>
              <c:pt idx="44">
                <c:v>36.200000000000003</c:v>
              </c:pt>
              <c:pt idx="45">
                <c:v>36.200000000000003</c:v>
              </c:pt>
              <c:pt idx="46">
                <c:v>38.68</c:v>
              </c:pt>
              <c:pt idx="47">
                <c:v>38.68</c:v>
              </c:pt>
              <c:pt idx="48">
                <c:v>39.880000000000003</c:v>
              </c:pt>
              <c:pt idx="49">
                <c:v>39.880000000000003</c:v>
              </c:pt>
              <c:pt idx="50">
                <c:v>40.32</c:v>
              </c:pt>
              <c:pt idx="51">
                <c:v>40.32</c:v>
              </c:pt>
              <c:pt idx="52">
                <c:v>43.68</c:v>
              </c:pt>
              <c:pt idx="53">
                <c:v>43.68</c:v>
              </c:pt>
            </c:numLit>
          </c:xVal>
          <c:yVal>
            <c:numLit>
              <c:formatCode>General</c:formatCode>
              <c:ptCount val="54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D72-41CC-B5CF-F8D54CDD3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820511"/>
        <c:axId val="1890834431"/>
      </c:scatterChart>
      <c:valAx>
        <c:axId val="1890820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890834431"/>
        <c:crosses val="autoZero"/>
        <c:crossBetween val="midCat"/>
      </c:valAx>
      <c:valAx>
        <c:axId val="189083443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89082051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'3.40'!$B$61:$B$71</c:f>
              <c:numCache>
                <c:formatCode>General</c:formatCode>
                <c:ptCount val="11"/>
                <c:pt idx="0">
                  <c:v>0</c:v>
                </c:pt>
                <c:pt idx="1">
                  <c:v>3.1399999999999997</c:v>
                </c:pt>
                <c:pt idx="2">
                  <c:v>2.83</c:v>
                </c:pt>
                <c:pt idx="3">
                  <c:v>1</c:v>
                </c:pt>
                <c:pt idx="4">
                  <c:v>3</c:v>
                </c:pt>
                <c:pt idx="5">
                  <c:v>1.9</c:v>
                </c:pt>
                <c:pt idx="6">
                  <c:v>3.1399999999999997</c:v>
                </c:pt>
                <c:pt idx="7">
                  <c:v>2.4</c:v>
                </c:pt>
                <c:pt idx="8">
                  <c:v>1.38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8E-4B82-8AED-F7EBF10C4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'3.40'!$D$61:$D$71</c:f>
              <c:numCache>
                <c:formatCode>General</c:formatCode>
                <c:ptCount val="11"/>
                <c:pt idx="0">
                  <c:v>0</c:v>
                </c:pt>
                <c:pt idx="1">
                  <c:v>3</c:v>
                </c:pt>
                <c:pt idx="2">
                  <c:v>1.83</c:v>
                </c:pt>
                <c:pt idx="3">
                  <c:v>1.33</c:v>
                </c:pt>
                <c:pt idx="4">
                  <c:v>2</c:v>
                </c:pt>
                <c:pt idx="5">
                  <c:v>3</c:v>
                </c:pt>
                <c:pt idx="6">
                  <c:v>3.38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8E-4F43-B8E9-3C4403604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'3.40'!$A$61:$A$71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</c:numCache>
            </c:numRef>
          </c:xVal>
          <c:yVal>
            <c:numRef>
              <c:f>'3.40'!$F$61:$F$71</c:f>
              <c:numCache>
                <c:formatCode>General</c:formatCode>
                <c:ptCount val="11"/>
                <c:pt idx="0">
                  <c:v>0</c:v>
                </c:pt>
                <c:pt idx="1">
                  <c:v>1.73</c:v>
                </c:pt>
                <c:pt idx="2">
                  <c:v>1.66</c:v>
                </c:pt>
                <c:pt idx="3">
                  <c:v>2</c:v>
                </c:pt>
                <c:pt idx="4">
                  <c:v>2.76</c:v>
                </c:pt>
                <c:pt idx="5">
                  <c:v>1</c:v>
                </c:pt>
                <c:pt idx="6">
                  <c:v>3.78</c:v>
                </c:pt>
                <c:pt idx="7">
                  <c:v>0.38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45-479B-9317-BCC9966AB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898304"/>
        <c:axId val="463900704"/>
      </c:scatterChart>
      <c:valAx>
        <c:axId val="46389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900704"/>
        <c:crosses val="autoZero"/>
        <c:crossBetween val="midCat"/>
        <c:majorUnit val="5"/>
      </c:valAx>
      <c:valAx>
        <c:axId val="4639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9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2"/>
              <c:pt idx="0">
                <c:v>0.92</c:v>
              </c:pt>
              <c:pt idx="1">
                <c:v>0.92</c:v>
              </c:pt>
              <c:pt idx="2">
                <c:v>1.8</c:v>
              </c:pt>
              <c:pt idx="3">
                <c:v>1.8</c:v>
              </c:pt>
              <c:pt idx="4">
                <c:v>3.12</c:v>
              </c:pt>
              <c:pt idx="5">
                <c:v>3.12</c:v>
              </c:pt>
              <c:pt idx="6">
                <c:v>4.12</c:v>
              </c:pt>
              <c:pt idx="7">
                <c:v>4.12</c:v>
              </c:pt>
              <c:pt idx="8">
                <c:v>4.32</c:v>
              </c:pt>
              <c:pt idx="9">
                <c:v>4.32</c:v>
              </c:pt>
              <c:pt idx="10">
                <c:v>5.6</c:v>
              </c:pt>
              <c:pt idx="11">
                <c:v>5.6</c:v>
              </c:pt>
              <c:pt idx="12">
                <c:v>7.32</c:v>
              </c:pt>
              <c:pt idx="13">
                <c:v>7.32</c:v>
              </c:pt>
              <c:pt idx="14">
                <c:v>8.08</c:v>
              </c:pt>
              <c:pt idx="15">
                <c:v>8.08</c:v>
              </c:pt>
              <c:pt idx="16">
                <c:v>9.6</c:v>
              </c:pt>
              <c:pt idx="17">
                <c:v>9.6</c:v>
              </c:pt>
              <c:pt idx="18">
                <c:v>13.32</c:v>
              </c:pt>
              <c:pt idx="19">
                <c:v>13.32</c:v>
              </c:pt>
              <c:pt idx="20">
                <c:v>15.08</c:v>
              </c:pt>
              <c:pt idx="21">
                <c:v>15.08</c:v>
              </c:pt>
              <c:pt idx="22">
                <c:v>17.399999999999999</c:v>
              </c:pt>
              <c:pt idx="23">
                <c:v>17.399999999999999</c:v>
              </c:pt>
              <c:pt idx="24">
                <c:v>18.8</c:v>
              </c:pt>
              <c:pt idx="25">
                <c:v>18.8</c:v>
              </c:pt>
              <c:pt idx="26">
                <c:v>20.6</c:v>
              </c:pt>
              <c:pt idx="27">
                <c:v>20.6</c:v>
              </c:pt>
              <c:pt idx="28">
                <c:v>21</c:v>
              </c:pt>
              <c:pt idx="29">
                <c:v>21</c:v>
              </c:pt>
              <c:pt idx="30">
                <c:v>22</c:v>
              </c:pt>
              <c:pt idx="31">
                <c:v>22</c:v>
              </c:pt>
              <c:pt idx="32">
                <c:v>25.32</c:v>
              </c:pt>
              <c:pt idx="33">
                <c:v>25.32</c:v>
              </c:pt>
              <c:pt idx="34">
                <c:v>27.48</c:v>
              </c:pt>
              <c:pt idx="35">
                <c:v>27.48</c:v>
              </c:pt>
              <c:pt idx="36">
                <c:v>27.52</c:v>
              </c:pt>
              <c:pt idx="37">
                <c:v>27.52</c:v>
              </c:pt>
              <c:pt idx="38">
                <c:v>27.88</c:v>
              </c:pt>
              <c:pt idx="39">
                <c:v>27.88</c:v>
              </c:pt>
              <c:pt idx="40">
                <c:v>29.48</c:v>
              </c:pt>
              <c:pt idx="41">
                <c:v>29.48</c:v>
              </c:pt>
              <c:pt idx="42">
                <c:v>31.8</c:v>
              </c:pt>
              <c:pt idx="43">
                <c:v>31.8</c:v>
              </c:pt>
              <c:pt idx="44">
                <c:v>32.92</c:v>
              </c:pt>
              <c:pt idx="45">
                <c:v>32.92</c:v>
              </c:pt>
              <c:pt idx="46">
                <c:v>33.6</c:v>
              </c:pt>
              <c:pt idx="47">
                <c:v>33.6</c:v>
              </c:pt>
              <c:pt idx="48">
                <c:v>36.6</c:v>
              </c:pt>
              <c:pt idx="49">
                <c:v>36.6</c:v>
              </c:pt>
              <c:pt idx="50">
                <c:v>37.68</c:v>
              </c:pt>
              <c:pt idx="51">
                <c:v>37.68</c:v>
              </c:pt>
            </c:numLit>
          </c:xVal>
          <c:yVal>
            <c:numLit>
              <c:formatCode>General</c:formatCode>
              <c:ptCount val="5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546-4D6C-B9EE-A3A7709F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87327"/>
        <c:axId val="121229087"/>
      </c:scatterChart>
      <c:valAx>
        <c:axId val="512287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21229087"/>
        <c:crosses val="autoZero"/>
        <c:crossBetween val="midCat"/>
      </c:valAx>
      <c:valAx>
        <c:axId val="12122908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51228732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6"/>
              <c:pt idx="0">
                <c:v>0.48</c:v>
              </c:pt>
              <c:pt idx="1">
                <c:v>0.48</c:v>
              </c:pt>
              <c:pt idx="2">
                <c:v>2.12</c:v>
              </c:pt>
              <c:pt idx="3">
                <c:v>2.12</c:v>
              </c:pt>
              <c:pt idx="4">
                <c:v>4.4000000000000004</c:v>
              </c:pt>
              <c:pt idx="5">
                <c:v>4.4000000000000004</c:v>
              </c:pt>
              <c:pt idx="6">
                <c:v>6.68</c:v>
              </c:pt>
              <c:pt idx="7">
                <c:v>6.68</c:v>
              </c:pt>
              <c:pt idx="8">
                <c:v>8.8000000000000007</c:v>
              </c:pt>
              <c:pt idx="9">
                <c:v>8.8000000000000007</c:v>
              </c:pt>
              <c:pt idx="10">
                <c:v>9.8800000000000008</c:v>
              </c:pt>
              <c:pt idx="11">
                <c:v>9.8800000000000008</c:v>
              </c:pt>
              <c:pt idx="12">
                <c:v>11.68</c:v>
              </c:pt>
              <c:pt idx="13">
                <c:v>11.68</c:v>
              </c:pt>
              <c:pt idx="14">
                <c:v>12.48</c:v>
              </c:pt>
              <c:pt idx="15">
                <c:v>12.48</c:v>
              </c:pt>
              <c:pt idx="16">
                <c:v>16.88</c:v>
              </c:pt>
              <c:pt idx="17">
                <c:v>16.88</c:v>
              </c:pt>
              <c:pt idx="18">
                <c:v>18.48</c:v>
              </c:pt>
              <c:pt idx="19">
                <c:v>18.48</c:v>
              </c:pt>
              <c:pt idx="20">
                <c:v>21.4</c:v>
              </c:pt>
              <c:pt idx="21">
                <c:v>21.4</c:v>
              </c:pt>
              <c:pt idx="22">
                <c:v>22.28</c:v>
              </c:pt>
              <c:pt idx="23">
                <c:v>22.28</c:v>
              </c:pt>
              <c:pt idx="24">
                <c:v>24.4</c:v>
              </c:pt>
              <c:pt idx="25">
                <c:v>24.4</c:v>
              </c:pt>
              <c:pt idx="26">
                <c:v>26.08</c:v>
              </c:pt>
              <c:pt idx="27">
                <c:v>26.08</c:v>
              </c:pt>
              <c:pt idx="28">
                <c:v>26.52</c:v>
              </c:pt>
              <c:pt idx="29">
                <c:v>26.52</c:v>
              </c:pt>
              <c:pt idx="30">
                <c:v>27.52</c:v>
              </c:pt>
              <c:pt idx="31">
                <c:v>27.52</c:v>
              </c:pt>
              <c:pt idx="32">
                <c:v>29.08</c:v>
              </c:pt>
              <c:pt idx="33">
                <c:v>29.08</c:v>
              </c:pt>
              <c:pt idx="34">
                <c:v>34</c:v>
              </c:pt>
              <c:pt idx="35">
                <c:v>34</c:v>
              </c:pt>
            </c:numLit>
          </c:xVal>
          <c:yVal>
            <c:numLit>
              <c:formatCode>General</c:formatCode>
              <c:ptCount val="3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CC5-4E13-BC40-6A082FF0D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050287"/>
        <c:axId val="867050767"/>
      </c:scatterChart>
      <c:valAx>
        <c:axId val="8670502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7050767"/>
        <c:crosses val="autoZero"/>
        <c:crossBetween val="midCat"/>
      </c:valAx>
      <c:valAx>
        <c:axId val="86705076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705028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0"/>
              <c:pt idx="0">
                <c:v>0.4</c:v>
              </c:pt>
              <c:pt idx="1">
                <c:v>0.4</c:v>
              </c:pt>
              <c:pt idx="2">
                <c:v>1.48</c:v>
              </c:pt>
              <c:pt idx="3">
                <c:v>1.48</c:v>
              </c:pt>
              <c:pt idx="4">
                <c:v>2.92</c:v>
              </c:pt>
              <c:pt idx="5">
                <c:v>2.92</c:v>
              </c:pt>
              <c:pt idx="6">
                <c:v>4.68</c:v>
              </c:pt>
              <c:pt idx="7">
                <c:v>4.68</c:v>
              </c:pt>
              <c:pt idx="8">
                <c:v>5.12</c:v>
              </c:pt>
              <c:pt idx="9">
                <c:v>5.12</c:v>
              </c:pt>
              <c:pt idx="10">
                <c:v>6.48</c:v>
              </c:pt>
              <c:pt idx="11">
                <c:v>6.48</c:v>
              </c:pt>
              <c:pt idx="12">
                <c:v>6.68</c:v>
              </c:pt>
              <c:pt idx="13">
                <c:v>6.68</c:v>
              </c:pt>
              <c:pt idx="14">
                <c:v>9.08</c:v>
              </c:pt>
              <c:pt idx="15">
                <c:v>9.08</c:v>
              </c:pt>
              <c:pt idx="16">
                <c:v>10.48</c:v>
              </c:pt>
              <c:pt idx="17">
                <c:v>10.48</c:v>
              </c:pt>
              <c:pt idx="18">
                <c:v>15</c:v>
              </c:pt>
              <c:pt idx="19">
                <c:v>15</c:v>
              </c:pt>
              <c:pt idx="20">
                <c:v>17.48</c:v>
              </c:pt>
              <c:pt idx="21">
                <c:v>17.48</c:v>
              </c:pt>
              <c:pt idx="22">
                <c:v>18.28</c:v>
              </c:pt>
              <c:pt idx="23">
                <c:v>18.28</c:v>
              </c:pt>
              <c:pt idx="24">
                <c:v>19.52</c:v>
              </c:pt>
              <c:pt idx="25">
                <c:v>19.52</c:v>
              </c:pt>
              <c:pt idx="26">
                <c:v>23.32</c:v>
              </c:pt>
              <c:pt idx="27">
                <c:v>23.32</c:v>
              </c:pt>
              <c:pt idx="28">
                <c:v>25.08</c:v>
              </c:pt>
              <c:pt idx="29">
                <c:v>25.08</c:v>
              </c:pt>
              <c:pt idx="30">
                <c:v>26.88</c:v>
              </c:pt>
              <c:pt idx="31">
                <c:v>26.88</c:v>
              </c:pt>
              <c:pt idx="32">
                <c:v>26.92</c:v>
              </c:pt>
              <c:pt idx="33">
                <c:v>26.92</c:v>
              </c:pt>
              <c:pt idx="34">
                <c:v>29.68</c:v>
              </c:pt>
              <c:pt idx="35">
                <c:v>29.68</c:v>
              </c:pt>
              <c:pt idx="36">
                <c:v>29.68</c:v>
              </c:pt>
              <c:pt idx="37">
                <c:v>29.68</c:v>
              </c:pt>
              <c:pt idx="38">
                <c:v>32.479999999999997</c:v>
              </c:pt>
              <c:pt idx="39">
                <c:v>32.479999999999997</c:v>
              </c:pt>
            </c:numLit>
          </c:xVal>
          <c:yVal>
            <c:numLit>
              <c:formatCode>General</c:formatCode>
              <c:ptCount val="4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62D2-4551-9AB4-B9196B750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543359"/>
        <c:axId val="866543839"/>
      </c:scatterChart>
      <c:valAx>
        <c:axId val="866543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6543839"/>
        <c:crosses val="autoZero"/>
        <c:crossBetween val="midCat"/>
      </c:valAx>
      <c:valAx>
        <c:axId val="86654383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654335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2"/>
              <c:pt idx="0">
                <c:v>3.12</c:v>
              </c:pt>
              <c:pt idx="1">
                <c:v>3.12</c:v>
              </c:pt>
              <c:pt idx="2">
                <c:v>3.12</c:v>
              </c:pt>
              <c:pt idx="3">
                <c:v>3.12</c:v>
              </c:pt>
              <c:pt idx="4">
                <c:v>4.92</c:v>
              </c:pt>
              <c:pt idx="5">
                <c:v>4.92</c:v>
              </c:pt>
              <c:pt idx="6">
                <c:v>6.8</c:v>
              </c:pt>
              <c:pt idx="7">
                <c:v>6.8</c:v>
              </c:pt>
              <c:pt idx="8">
                <c:v>8.2799999999999994</c:v>
              </c:pt>
              <c:pt idx="9">
                <c:v>8.2799999999999994</c:v>
              </c:pt>
              <c:pt idx="10">
                <c:v>10.199999999999999</c:v>
              </c:pt>
              <c:pt idx="11">
                <c:v>10.199999999999999</c:v>
              </c:pt>
              <c:pt idx="12">
                <c:v>12.12</c:v>
              </c:pt>
              <c:pt idx="13">
                <c:v>12.12</c:v>
              </c:pt>
              <c:pt idx="14">
                <c:v>14.92</c:v>
              </c:pt>
              <c:pt idx="15">
                <c:v>14.92</c:v>
              </c:pt>
              <c:pt idx="16">
                <c:v>17.88</c:v>
              </c:pt>
              <c:pt idx="17">
                <c:v>17.88</c:v>
              </c:pt>
              <c:pt idx="18">
                <c:v>22.72</c:v>
              </c:pt>
              <c:pt idx="19">
                <c:v>22.72</c:v>
              </c:pt>
              <c:pt idx="20">
                <c:v>26.32</c:v>
              </c:pt>
              <c:pt idx="21">
                <c:v>26.32</c:v>
              </c:pt>
              <c:pt idx="22">
                <c:v>28.68</c:v>
              </c:pt>
              <c:pt idx="23">
                <c:v>28.68</c:v>
              </c:pt>
              <c:pt idx="24">
                <c:v>31</c:v>
              </c:pt>
              <c:pt idx="25">
                <c:v>31</c:v>
              </c:pt>
              <c:pt idx="26">
                <c:v>32.479999999999997</c:v>
              </c:pt>
              <c:pt idx="27">
                <c:v>32.479999999999997</c:v>
              </c:pt>
              <c:pt idx="28">
                <c:v>34.119999999999997</c:v>
              </c:pt>
              <c:pt idx="29">
                <c:v>34.119999999999997</c:v>
              </c:pt>
              <c:pt idx="30">
                <c:v>35.28</c:v>
              </c:pt>
              <c:pt idx="31">
                <c:v>35.28</c:v>
              </c:pt>
            </c:numLit>
          </c:xVal>
          <c:yVal>
            <c:numLit>
              <c:formatCode>General</c:formatCode>
              <c:ptCount val="3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7EE-4D49-8B86-FC1963360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9973103"/>
        <c:axId val="869973583"/>
      </c:scatterChart>
      <c:valAx>
        <c:axId val="8699731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9973583"/>
        <c:crosses val="autoZero"/>
        <c:crossBetween val="midCat"/>
      </c:valAx>
      <c:valAx>
        <c:axId val="86997358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997310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0"/>
              <c:pt idx="0">
                <c:v>1.28</c:v>
              </c:pt>
              <c:pt idx="1">
                <c:v>1.28</c:v>
              </c:pt>
              <c:pt idx="2">
                <c:v>3</c:v>
              </c:pt>
              <c:pt idx="3">
                <c:v>3</c:v>
              </c:pt>
              <c:pt idx="4">
                <c:v>4.72</c:v>
              </c:pt>
              <c:pt idx="5">
                <c:v>4.72</c:v>
              </c:pt>
              <c:pt idx="6">
                <c:v>6.68</c:v>
              </c:pt>
              <c:pt idx="7">
                <c:v>6.68</c:v>
              </c:pt>
              <c:pt idx="8">
                <c:v>7.92</c:v>
              </c:pt>
              <c:pt idx="9">
                <c:v>7.92</c:v>
              </c:pt>
              <c:pt idx="10">
                <c:v>9.1199999999999992</c:v>
              </c:pt>
              <c:pt idx="11">
                <c:v>9.1199999999999992</c:v>
              </c:pt>
              <c:pt idx="12">
                <c:v>13.68</c:v>
              </c:pt>
              <c:pt idx="13">
                <c:v>13.68</c:v>
              </c:pt>
              <c:pt idx="14">
                <c:v>14.48</c:v>
              </c:pt>
              <c:pt idx="15">
                <c:v>14.48</c:v>
              </c:pt>
              <c:pt idx="16">
                <c:v>14.72</c:v>
              </c:pt>
              <c:pt idx="17">
                <c:v>14.72</c:v>
              </c:pt>
              <c:pt idx="18">
                <c:v>15.92</c:v>
              </c:pt>
              <c:pt idx="19">
                <c:v>15.92</c:v>
              </c:pt>
              <c:pt idx="20">
                <c:v>22.8</c:v>
              </c:pt>
              <c:pt idx="21">
                <c:v>22.8</c:v>
              </c:pt>
              <c:pt idx="22">
                <c:v>27.12</c:v>
              </c:pt>
              <c:pt idx="23">
                <c:v>27.12</c:v>
              </c:pt>
              <c:pt idx="24">
                <c:v>28.52</c:v>
              </c:pt>
              <c:pt idx="25">
                <c:v>28.52</c:v>
              </c:pt>
              <c:pt idx="26">
                <c:v>30.32</c:v>
              </c:pt>
              <c:pt idx="27">
                <c:v>30.32</c:v>
              </c:pt>
              <c:pt idx="28">
                <c:v>34</c:v>
              </c:pt>
              <c:pt idx="29">
                <c:v>34</c:v>
              </c:pt>
            </c:numLit>
          </c:xVal>
          <c:yVal>
            <c:numLit>
              <c:formatCode>General</c:formatCode>
              <c:ptCount val="30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959-4693-AC38-53232DD36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446847"/>
        <c:axId val="860447327"/>
      </c:scatterChart>
      <c:valAx>
        <c:axId val="860446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47327"/>
        <c:crosses val="autoZero"/>
        <c:crossBetween val="midCat"/>
      </c:valAx>
      <c:valAx>
        <c:axId val="86044732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6044684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8"/>
              <c:pt idx="0">
                <c:v>6.6</c:v>
              </c:pt>
              <c:pt idx="1">
                <c:v>6.6</c:v>
              </c:pt>
              <c:pt idx="2">
                <c:v>6.68</c:v>
              </c:pt>
              <c:pt idx="3">
                <c:v>6.68</c:v>
              </c:pt>
              <c:pt idx="4">
                <c:v>8.8000000000000007</c:v>
              </c:pt>
              <c:pt idx="5">
                <c:v>8.8000000000000007</c:v>
              </c:pt>
              <c:pt idx="6">
                <c:v>8.8000000000000007</c:v>
              </c:pt>
              <c:pt idx="7">
                <c:v>8.8000000000000007</c:v>
              </c:pt>
              <c:pt idx="8">
                <c:v>10.52</c:v>
              </c:pt>
              <c:pt idx="9">
                <c:v>10.52</c:v>
              </c:pt>
              <c:pt idx="10">
                <c:v>11.8</c:v>
              </c:pt>
              <c:pt idx="11">
                <c:v>11.8</c:v>
              </c:pt>
              <c:pt idx="12">
                <c:v>13.32</c:v>
              </c:pt>
              <c:pt idx="13">
                <c:v>13.32</c:v>
              </c:pt>
              <c:pt idx="14">
                <c:v>17.48</c:v>
              </c:pt>
              <c:pt idx="15">
                <c:v>17.48</c:v>
              </c:pt>
              <c:pt idx="16">
                <c:v>17.600000000000001</c:v>
              </c:pt>
              <c:pt idx="17">
                <c:v>17.600000000000001</c:v>
              </c:pt>
              <c:pt idx="18">
                <c:v>18</c:v>
              </c:pt>
              <c:pt idx="19">
                <c:v>18</c:v>
              </c:pt>
              <c:pt idx="20">
                <c:v>18.399999999999999</c:v>
              </c:pt>
              <c:pt idx="21">
                <c:v>18.399999999999999</c:v>
              </c:pt>
              <c:pt idx="22">
                <c:v>19.88</c:v>
              </c:pt>
              <c:pt idx="23">
                <c:v>19.88</c:v>
              </c:pt>
              <c:pt idx="24">
                <c:v>20.6</c:v>
              </c:pt>
              <c:pt idx="25">
                <c:v>20.6</c:v>
              </c:pt>
              <c:pt idx="26">
                <c:v>21.72</c:v>
              </c:pt>
              <c:pt idx="27">
                <c:v>21.72</c:v>
              </c:pt>
              <c:pt idx="28">
                <c:v>22.4</c:v>
              </c:pt>
              <c:pt idx="29">
                <c:v>22.4</c:v>
              </c:pt>
              <c:pt idx="30">
                <c:v>24.4</c:v>
              </c:pt>
              <c:pt idx="31">
                <c:v>24.4</c:v>
              </c:pt>
              <c:pt idx="32">
                <c:v>24.88</c:v>
              </c:pt>
              <c:pt idx="33">
                <c:v>24.88</c:v>
              </c:pt>
              <c:pt idx="34">
                <c:v>25.92</c:v>
              </c:pt>
              <c:pt idx="35">
                <c:v>25.92</c:v>
              </c:pt>
              <c:pt idx="36">
                <c:v>26.6</c:v>
              </c:pt>
              <c:pt idx="37">
                <c:v>26.6</c:v>
              </c:pt>
              <c:pt idx="38">
                <c:v>27.68</c:v>
              </c:pt>
              <c:pt idx="39">
                <c:v>27.68</c:v>
              </c:pt>
              <c:pt idx="40">
                <c:v>29.68</c:v>
              </c:pt>
              <c:pt idx="41">
                <c:v>29.68</c:v>
              </c:pt>
              <c:pt idx="42">
                <c:v>32.32</c:v>
              </c:pt>
              <c:pt idx="43">
                <c:v>32.32</c:v>
              </c:pt>
              <c:pt idx="44">
                <c:v>34.08</c:v>
              </c:pt>
              <c:pt idx="45">
                <c:v>34.08</c:v>
              </c:pt>
              <c:pt idx="46">
                <c:v>36.479999999999997</c:v>
              </c:pt>
              <c:pt idx="47">
                <c:v>36.479999999999997</c:v>
              </c:pt>
            </c:numLit>
          </c:xVal>
          <c:yVal>
            <c:numLit>
              <c:formatCode>General</c:formatCode>
              <c:ptCount val="48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09E-4DDA-906B-118C52DBE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851471"/>
        <c:axId val="870852431"/>
      </c:scatterChart>
      <c:valAx>
        <c:axId val="8708514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70852431"/>
        <c:crosses val="autoZero"/>
        <c:crossBetween val="midCat"/>
      </c:valAx>
      <c:valAx>
        <c:axId val="870852431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70851471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62"/>
              <c:pt idx="0">
                <c:v>1.4</c:v>
              </c:pt>
              <c:pt idx="1">
                <c:v>1.4</c:v>
              </c:pt>
              <c:pt idx="2">
                <c:v>2.12</c:v>
              </c:pt>
              <c:pt idx="3">
                <c:v>2.12</c:v>
              </c:pt>
              <c:pt idx="4">
                <c:v>2.72</c:v>
              </c:pt>
              <c:pt idx="5">
                <c:v>2.72</c:v>
              </c:pt>
              <c:pt idx="6">
                <c:v>3.88</c:v>
              </c:pt>
              <c:pt idx="7">
                <c:v>3.88</c:v>
              </c:pt>
              <c:pt idx="8">
                <c:v>4.5999999999999996</c:v>
              </c:pt>
              <c:pt idx="9">
                <c:v>4.5999999999999996</c:v>
              </c:pt>
              <c:pt idx="10">
                <c:v>5.72</c:v>
              </c:pt>
              <c:pt idx="11">
                <c:v>5.72</c:v>
              </c:pt>
              <c:pt idx="12">
                <c:v>5.8</c:v>
              </c:pt>
              <c:pt idx="13">
                <c:v>5.8</c:v>
              </c:pt>
              <c:pt idx="14">
                <c:v>6.4</c:v>
              </c:pt>
              <c:pt idx="15">
                <c:v>6.4</c:v>
              </c:pt>
              <c:pt idx="16">
                <c:v>7.28</c:v>
              </c:pt>
              <c:pt idx="17">
                <c:v>7.28</c:v>
              </c:pt>
              <c:pt idx="18">
                <c:v>7.32</c:v>
              </c:pt>
              <c:pt idx="19">
                <c:v>7.32</c:v>
              </c:pt>
              <c:pt idx="20">
                <c:v>9.52</c:v>
              </c:pt>
              <c:pt idx="21">
                <c:v>9.52</c:v>
              </c:pt>
              <c:pt idx="22">
                <c:v>10.68</c:v>
              </c:pt>
              <c:pt idx="23">
                <c:v>10.68</c:v>
              </c:pt>
              <c:pt idx="24">
                <c:v>10.8</c:v>
              </c:pt>
              <c:pt idx="25">
                <c:v>10.8</c:v>
              </c:pt>
              <c:pt idx="26">
                <c:v>11.52</c:v>
              </c:pt>
              <c:pt idx="27">
                <c:v>11.52</c:v>
              </c:pt>
              <c:pt idx="28">
                <c:v>12.4</c:v>
              </c:pt>
              <c:pt idx="29">
                <c:v>12.4</c:v>
              </c:pt>
              <c:pt idx="30">
                <c:v>13.52</c:v>
              </c:pt>
              <c:pt idx="31">
                <c:v>13.52</c:v>
              </c:pt>
              <c:pt idx="32">
                <c:v>13.6</c:v>
              </c:pt>
              <c:pt idx="33">
                <c:v>13.6</c:v>
              </c:pt>
              <c:pt idx="34">
                <c:v>14.72</c:v>
              </c:pt>
              <c:pt idx="35">
                <c:v>14.72</c:v>
              </c:pt>
              <c:pt idx="36">
                <c:v>15.12</c:v>
              </c:pt>
              <c:pt idx="37">
                <c:v>15.12</c:v>
              </c:pt>
              <c:pt idx="38">
                <c:v>16.72</c:v>
              </c:pt>
              <c:pt idx="39">
                <c:v>16.72</c:v>
              </c:pt>
              <c:pt idx="40">
                <c:v>18.8</c:v>
              </c:pt>
              <c:pt idx="41">
                <c:v>18.8</c:v>
              </c:pt>
              <c:pt idx="42">
                <c:v>24</c:v>
              </c:pt>
              <c:pt idx="43">
                <c:v>24</c:v>
              </c:pt>
              <c:pt idx="44">
                <c:v>27.12</c:v>
              </c:pt>
              <c:pt idx="45">
                <c:v>27.12</c:v>
              </c:pt>
              <c:pt idx="46">
                <c:v>30.08</c:v>
              </c:pt>
              <c:pt idx="47">
                <c:v>30.08</c:v>
              </c:pt>
              <c:pt idx="48">
                <c:v>31.52</c:v>
              </c:pt>
              <c:pt idx="49">
                <c:v>31.52</c:v>
              </c:pt>
              <c:pt idx="50">
                <c:v>33.6</c:v>
              </c:pt>
              <c:pt idx="51">
                <c:v>33.6</c:v>
              </c:pt>
              <c:pt idx="52">
                <c:v>35.4</c:v>
              </c:pt>
              <c:pt idx="53">
                <c:v>35.4</c:v>
              </c:pt>
              <c:pt idx="54">
                <c:v>35.479999999999997</c:v>
              </c:pt>
              <c:pt idx="55">
                <c:v>35.479999999999997</c:v>
              </c:pt>
              <c:pt idx="56">
                <c:v>37.72</c:v>
              </c:pt>
              <c:pt idx="57">
                <c:v>37.72</c:v>
              </c:pt>
              <c:pt idx="58">
                <c:v>42.08</c:v>
              </c:pt>
              <c:pt idx="59">
                <c:v>42.08</c:v>
              </c:pt>
              <c:pt idx="60">
                <c:v>45.32</c:v>
              </c:pt>
              <c:pt idx="61">
                <c:v>45.32</c:v>
              </c:pt>
            </c:numLit>
          </c:xVal>
          <c:yVal>
            <c:numLit>
              <c:formatCode>General</c:formatCode>
              <c:ptCount val="6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FBB-41CC-8AF1-F315B5401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27855"/>
        <c:axId val="716128815"/>
      </c:scatterChart>
      <c:valAx>
        <c:axId val="716127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6128815"/>
        <c:crosses val="autoZero"/>
        <c:crossBetween val="midCat"/>
      </c:valAx>
      <c:valAx>
        <c:axId val="716128815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16127855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46"/>
              <c:pt idx="0">
                <c:v>2.4</c:v>
              </c:pt>
              <c:pt idx="1">
                <c:v>2.4</c:v>
              </c:pt>
              <c:pt idx="2">
                <c:v>2.88</c:v>
              </c:pt>
              <c:pt idx="3">
                <c:v>2.88</c:v>
              </c:pt>
              <c:pt idx="4">
                <c:v>3.88</c:v>
              </c:pt>
              <c:pt idx="5">
                <c:v>3.88</c:v>
              </c:pt>
              <c:pt idx="6">
                <c:v>4.28</c:v>
              </c:pt>
              <c:pt idx="7">
                <c:v>4.28</c:v>
              </c:pt>
              <c:pt idx="8">
                <c:v>5.6</c:v>
              </c:pt>
              <c:pt idx="9">
                <c:v>5.6</c:v>
              </c:pt>
              <c:pt idx="10">
                <c:v>7.4</c:v>
              </c:pt>
              <c:pt idx="11">
                <c:v>7.4</c:v>
              </c:pt>
              <c:pt idx="12">
                <c:v>8.8000000000000007</c:v>
              </c:pt>
              <c:pt idx="13">
                <c:v>8.8000000000000007</c:v>
              </c:pt>
              <c:pt idx="14">
                <c:v>10.48</c:v>
              </c:pt>
              <c:pt idx="15">
                <c:v>10.48</c:v>
              </c:pt>
              <c:pt idx="16">
                <c:v>10.88</c:v>
              </c:pt>
              <c:pt idx="17">
                <c:v>10.88</c:v>
              </c:pt>
              <c:pt idx="18">
                <c:v>13.08</c:v>
              </c:pt>
              <c:pt idx="19">
                <c:v>13.08</c:v>
              </c:pt>
              <c:pt idx="20">
                <c:v>13.32</c:v>
              </c:pt>
              <c:pt idx="21">
                <c:v>13.32</c:v>
              </c:pt>
              <c:pt idx="22">
                <c:v>18.2</c:v>
              </c:pt>
              <c:pt idx="23">
                <c:v>18.2</c:v>
              </c:pt>
              <c:pt idx="24">
                <c:v>25.6</c:v>
              </c:pt>
              <c:pt idx="25">
                <c:v>25.6</c:v>
              </c:pt>
              <c:pt idx="26">
                <c:v>29.08</c:v>
              </c:pt>
              <c:pt idx="27">
                <c:v>29.08</c:v>
              </c:pt>
              <c:pt idx="28">
                <c:v>29.28</c:v>
              </c:pt>
              <c:pt idx="29">
                <c:v>29.28</c:v>
              </c:pt>
              <c:pt idx="30">
                <c:v>30.68</c:v>
              </c:pt>
              <c:pt idx="31">
                <c:v>30.68</c:v>
              </c:pt>
              <c:pt idx="32">
                <c:v>32.32</c:v>
              </c:pt>
              <c:pt idx="33">
                <c:v>32.32</c:v>
              </c:pt>
              <c:pt idx="34">
                <c:v>34.799999999999997</c:v>
              </c:pt>
              <c:pt idx="35">
                <c:v>34.799999999999997</c:v>
              </c:pt>
              <c:pt idx="36">
                <c:v>35.200000000000003</c:v>
              </c:pt>
              <c:pt idx="37">
                <c:v>35.200000000000003</c:v>
              </c:pt>
              <c:pt idx="38">
                <c:v>37.08</c:v>
              </c:pt>
              <c:pt idx="39">
                <c:v>37.08</c:v>
              </c:pt>
              <c:pt idx="40">
                <c:v>38.799999999999997</c:v>
              </c:pt>
              <c:pt idx="41">
                <c:v>38.799999999999997</c:v>
              </c:pt>
              <c:pt idx="42">
                <c:v>41.8</c:v>
              </c:pt>
              <c:pt idx="43">
                <c:v>41.8</c:v>
              </c:pt>
              <c:pt idx="44">
                <c:v>42.6</c:v>
              </c:pt>
              <c:pt idx="45">
                <c:v>42.6</c:v>
              </c:pt>
            </c:numLit>
          </c:xVal>
          <c:yVal>
            <c:numLit>
              <c:formatCode>General</c:formatCode>
              <c:ptCount val="4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FDE-457F-80E3-50F6C90DE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11343"/>
        <c:axId val="883713743"/>
      </c:scatterChart>
      <c:valAx>
        <c:axId val="8837113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13743"/>
        <c:crosses val="autoZero"/>
        <c:crossBetween val="midCat"/>
      </c:valAx>
      <c:valAx>
        <c:axId val="88371374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1134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2"/>
              <c:pt idx="0">
                <c:v>3.8</c:v>
              </c:pt>
              <c:pt idx="1">
                <c:v>3.8</c:v>
              </c:pt>
              <c:pt idx="2">
                <c:v>4.4000000000000004</c:v>
              </c:pt>
              <c:pt idx="3">
                <c:v>4.4000000000000004</c:v>
              </c:pt>
              <c:pt idx="4">
                <c:v>6.72</c:v>
              </c:pt>
              <c:pt idx="5">
                <c:v>6.72</c:v>
              </c:pt>
              <c:pt idx="6">
                <c:v>7.72</c:v>
              </c:pt>
              <c:pt idx="7">
                <c:v>7.72</c:v>
              </c:pt>
              <c:pt idx="8">
                <c:v>9.7200000000000006</c:v>
              </c:pt>
              <c:pt idx="9">
                <c:v>9.7200000000000006</c:v>
              </c:pt>
              <c:pt idx="10">
                <c:v>11.08</c:v>
              </c:pt>
              <c:pt idx="11">
                <c:v>11.08</c:v>
              </c:pt>
              <c:pt idx="12">
                <c:v>12.48</c:v>
              </c:pt>
              <c:pt idx="13">
                <c:v>12.48</c:v>
              </c:pt>
              <c:pt idx="14">
                <c:v>14.12</c:v>
              </c:pt>
              <c:pt idx="15">
                <c:v>14.12</c:v>
              </c:pt>
              <c:pt idx="16">
                <c:v>14.48</c:v>
              </c:pt>
              <c:pt idx="17">
                <c:v>14.48</c:v>
              </c:pt>
              <c:pt idx="18">
                <c:v>16.079999999999998</c:v>
              </c:pt>
              <c:pt idx="19">
                <c:v>16.079999999999998</c:v>
              </c:pt>
              <c:pt idx="20">
                <c:v>16.399999999999999</c:v>
              </c:pt>
              <c:pt idx="21">
                <c:v>16.399999999999999</c:v>
              </c:pt>
              <c:pt idx="22">
                <c:v>17.920000000000002</c:v>
              </c:pt>
              <c:pt idx="23">
                <c:v>17.920000000000002</c:v>
              </c:pt>
              <c:pt idx="24">
                <c:v>19.68</c:v>
              </c:pt>
              <c:pt idx="25">
                <c:v>19.68</c:v>
              </c:pt>
              <c:pt idx="26">
                <c:v>20.079999999999998</c:v>
              </c:pt>
              <c:pt idx="27">
                <c:v>20.079999999999998</c:v>
              </c:pt>
              <c:pt idx="28">
                <c:v>20.68</c:v>
              </c:pt>
              <c:pt idx="29">
                <c:v>20.68</c:v>
              </c:pt>
              <c:pt idx="30">
                <c:v>20.72</c:v>
              </c:pt>
              <c:pt idx="31">
                <c:v>20.72</c:v>
              </c:pt>
              <c:pt idx="32">
                <c:v>21.6</c:v>
              </c:pt>
              <c:pt idx="33">
                <c:v>21.6</c:v>
              </c:pt>
              <c:pt idx="34">
                <c:v>22.08</c:v>
              </c:pt>
              <c:pt idx="35">
                <c:v>22.08</c:v>
              </c:pt>
              <c:pt idx="36">
                <c:v>22.52</c:v>
              </c:pt>
              <c:pt idx="37">
                <c:v>22.52</c:v>
              </c:pt>
              <c:pt idx="38">
                <c:v>24.28</c:v>
              </c:pt>
              <c:pt idx="39">
                <c:v>24.28</c:v>
              </c:pt>
              <c:pt idx="40">
                <c:v>27.28</c:v>
              </c:pt>
              <c:pt idx="41">
                <c:v>27.28</c:v>
              </c:pt>
              <c:pt idx="42">
                <c:v>27.4</c:v>
              </c:pt>
              <c:pt idx="43">
                <c:v>27.4</c:v>
              </c:pt>
              <c:pt idx="44">
                <c:v>27.72</c:v>
              </c:pt>
              <c:pt idx="45">
                <c:v>27.72</c:v>
              </c:pt>
              <c:pt idx="46">
                <c:v>29.88</c:v>
              </c:pt>
              <c:pt idx="47">
                <c:v>29.88</c:v>
              </c:pt>
              <c:pt idx="48">
                <c:v>30.88</c:v>
              </c:pt>
              <c:pt idx="49">
                <c:v>30.88</c:v>
              </c:pt>
              <c:pt idx="50">
                <c:v>33.520000000000003</c:v>
              </c:pt>
              <c:pt idx="51">
                <c:v>33.520000000000003</c:v>
              </c:pt>
            </c:numLit>
          </c:xVal>
          <c:yVal>
            <c:numLit>
              <c:formatCode>General</c:formatCode>
              <c:ptCount val="5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D43-46C8-8EFA-540168DBC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699823"/>
        <c:axId val="883707503"/>
      </c:scatterChart>
      <c:valAx>
        <c:axId val="8836998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707503"/>
        <c:crosses val="autoZero"/>
        <c:crossBetween val="midCat"/>
      </c:valAx>
      <c:valAx>
        <c:axId val="883707503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83699823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56"/>
              <c:pt idx="0">
                <c:v>3.52</c:v>
              </c:pt>
              <c:pt idx="1">
                <c:v>3.52</c:v>
              </c:pt>
              <c:pt idx="2">
                <c:v>4.12</c:v>
              </c:pt>
              <c:pt idx="3">
                <c:v>4.12</c:v>
              </c:pt>
              <c:pt idx="4">
                <c:v>4.88</c:v>
              </c:pt>
              <c:pt idx="5">
                <c:v>4.88</c:v>
              </c:pt>
              <c:pt idx="6">
                <c:v>5.68</c:v>
              </c:pt>
              <c:pt idx="7">
                <c:v>5.68</c:v>
              </c:pt>
              <c:pt idx="8">
                <c:v>6.68</c:v>
              </c:pt>
              <c:pt idx="9">
                <c:v>6.68</c:v>
              </c:pt>
              <c:pt idx="10">
                <c:v>8</c:v>
              </c:pt>
              <c:pt idx="11">
                <c:v>8</c:v>
              </c:pt>
              <c:pt idx="12">
                <c:v>9.52</c:v>
              </c:pt>
              <c:pt idx="13">
                <c:v>9.52</c:v>
              </c:pt>
              <c:pt idx="14">
                <c:v>9.68</c:v>
              </c:pt>
              <c:pt idx="15">
                <c:v>9.68</c:v>
              </c:pt>
              <c:pt idx="16">
                <c:v>11.32</c:v>
              </c:pt>
              <c:pt idx="17">
                <c:v>11.32</c:v>
              </c:pt>
              <c:pt idx="18">
                <c:v>12.92</c:v>
              </c:pt>
              <c:pt idx="19">
                <c:v>12.92</c:v>
              </c:pt>
              <c:pt idx="20">
                <c:v>13.08</c:v>
              </c:pt>
              <c:pt idx="21">
                <c:v>13.08</c:v>
              </c:pt>
              <c:pt idx="22">
                <c:v>15.2</c:v>
              </c:pt>
              <c:pt idx="23">
                <c:v>15.2</c:v>
              </c:pt>
              <c:pt idx="24">
                <c:v>15.2</c:v>
              </c:pt>
              <c:pt idx="25">
                <c:v>15.2</c:v>
              </c:pt>
              <c:pt idx="26">
                <c:v>16.68</c:v>
              </c:pt>
              <c:pt idx="27">
                <c:v>16.68</c:v>
              </c:pt>
              <c:pt idx="28">
                <c:v>19.48</c:v>
              </c:pt>
              <c:pt idx="29">
                <c:v>19.48</c:v>
              </c:pt>
              <c:pt idx="30">
                <c:v>20.12</c:v>
              </c:pt>
              <c:pt idx="31">
                <c:v>20.12</c:v>
              </c:pt>
              <c:pt idx="32">
                <c:v>20.399999999999999</c:v>
              </c:pt>
              <c:pt idx="33">
                <c:v>20.399999999999999</c:v>
              </c:pt>
              <c:pt idx="34">
                <c:v>22.2</c:v>
              </c:pt>
              <c:pt idx="35">
                <c:v>22.2</c:v>
              </c:pt>
              <c:pt idx="36">
                <c:v>22.28</c:v>
              </c:pt>
              <c:pt idx="37">
                <c:v>22.28</c:v>
              </c:pt>
              <c:pt idx="38">
                <c:v>23.72</c:v>
              </c:pt>
              <c:pt idx="39">
                <c:v>23.72</c:v>
              </c:pt>
              <c:pt idx="40">
                <c:v>24</c:v>
              </c:pt>
              <c:pt idx="41">
                <c:v>24</c:v>
              </c:pt>
              <c:pt idx="42">
                <c:v>26</c:v>
              </c:pt>
              <c:pt idx="43">
                <c:v>26</c:v>
              </c:pt>
              <c:pt idx="44">
                <c:v>27.92</c:v>
              </c:pt>
              <c:pt idx="45">
                <c:v>27.92</c:v>
              </c:pt>
              <c:pt idx="46">
                <c:v>31.6</c:v>
              </c:pt>
              <c:pt idx="47">
                <c:v>31.6</c:v>
              </c:pt>
              <c:pt idx="48">
                <c:v>32.68</c:v>
              </c:pt>
              <c:pt idx="49">
                <c:v>32.68</c:v>
              </c:pt>
              <c:pt idx="50">
                <c:v>33.68</c:v>
              </c:pt>
              <c:pt idx="51">
                <c:v>33.68</c:v>
              </c:pt>
              <c:pt idx="52">
                <c:v>34.119999999999997</c:v>
              </c:pt>
              <c:pt idx="53">
                <c:v>34.119999999999997</c:v>
              </c:pt>
              <c:pt idx="54">
                <c:v>37.28</c:v>
              </c:pt>
              <c:pt idx="55">
                <c:v>37.28</c:v>
              </c:pt>
            </c:numLit>
          </c:xVal>
          <c:yVal>
            <c:numLit>
              <c:formatCode>General</c:formatCode>
              <c:ptCount val="56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2DF-40ED-AFC0-C39D0ACFB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21839"/>
        <c:axId val="677922319"/>
      </c:scatterChart>
      <c:valAx>
        <c:axId val="6779218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922319"/>
        <c:crosses val="autoZero"/>
        <c:crossBetween val="midCat"/>
      </c:valAx>
      <c:valAx>
        <c:axId val="67792231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92183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32"/>
              <c:pt idx="0">
                <c:v>1.92</c:v>
              </c:pt>
              <c:pt idx="1">
                <c:v>1.92</c:v>
              </c:pt>
              <c:pt idx="2">
                <c:v>4.08</c:v>
              </c:pt>
              <c:pt idx="3">
                <c:v>4.08</c:v>
              </c:pt>
              <c:pt idx="4">
                <c:v>6</c:v>
              </c:pt>
              <c:pt idx="5">
                <c:v>6</c:v>
              </c:pt>
              <c:pt idx="6">
                <c:v>7.88</c:v>
              </c:pt>
              <c:pt idx="7">
                <c:v>7.88</c:v>
              </c:pt>
              <c:pt idx="8">
                <c:v>11.72</c:v>
              </c:pt>
              <c:pt idx="9">
                <c:v>11.72</c:v>
              </c:pt>
              <c:pt idx="10">
                <c:v>13.2</c:v>
              </c:pt>
              <c:pt idx="11">
                <c:v>13.2</c:v>
              </c:pt>
              <c:pt idx="12">
                <c:v>14.92</c:v>
              </c:pt>
              <c:pt idx="13">
                <c:v>14.92</c:v>
              </c:pt>
              <c:pt idx="14">
                <c:v>16.12</c:v>
              </c:pt>
              <c:pt idx="15">
                <c:v>16.12</c:v>
              </c:pt>
              <c:pt idx="16">
                <c:v>16.48</c:v>
              </c:pt>
              <c:pt idx="17">
                <c:v>16.48</c:v>
              </c:pt>
              <c:pt idx="18">
                <c:v>20.8</c:v>
              </c:pt>
              <c:pt idx="19">
                <c:v>20.8</c:v>
              </c:pt>
              <c:pt idx="20">
                <c:v>22.12</c:v>
              </c:pt>
              <c:pt idx="21">
                <c:v>22.12</c:v>
              </c:pt>
              <c:pt idx="22">
                <c:v>26.92</c:v>
              </c:pt>
              <c:pt idx="23">
                <c:v>26.92</c:v>
              </c:pt>
              <c:pt idx="24">
                <c:v>32.799999999999997</c:v>
              </c:pt>
              <c:pt idx="25">
                <c:v>32.799999999999997</c:v>
              </c:pt>
              <c:pt idx="26">
                <c:v>34.880000000000003</c:v>
              </c:pt>
              <c:pt idx="27">
                <c:v>34.880000000000003</c:v>
              </c:pt>
              <c:pt idx="28">
                <c:v>37.799999999999997</c:v>
              </c:pt>
              <c:pt idx="29">
                <c:v>37.799999999999997</c:v>
              </c:pt>
              <c:pt idx="30">
                <c:v>39.08</c:v>
              </c:pt>
              <c:pt idx="31">
                <c:v>39.08</c:v>
              </c:pt>
            </c:numLit>
          </c:xVal>
          <c:yVal>
            <c:numLit>
              <c:formatCode>General</c:formatCode>
              <c:ptCount val="3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045-4B11-B80B-880F93A4D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13199"/>
        <c:axId val="677913679"/>
      </c:scatterChart>
      <c:valAx>
        <c:axId val="67791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913679"/>
        <c:crosses val="autoZero"/>
        <c:crossBetween val="midCat"/>
      </c:valAx>
      <c:valAx>
        <c:axId val="677913679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913199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Cumulative Arrival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62"/>
              <c:pt idx="0">
                <c:v>2.12</c:v>
              </c:pt>
              <c:pt idx="1">
                <c:v>2.12</c:v>
              </c:pt>
              <c:pt idx="2">
                <c:v>3.52</c:v>
              </c:pt>
              <c:pt idx="3">
                <c:v>3.52</c:v>
              </c:pt>
              <c:pt idx="4">
                <c:v>4.32</c:v>
              </c:pt>
              <c:pt idx="5">
                <c:v>4.32</c:v>
              </c:pt>
              <c:pt idx="6">
                <c:v>5.2</c:v>
              </c:pt>
              <c:pt idx="7">
                <c:v>5.2</c:v>
              </c:pt>
              <c:pt idx="8">
                <c:v>6.2</c:v>
              </c:pt>
              <c:pt idx="9">
                <c:v>6.2</c:v>
              </c:pt>
              <c:pt idx="10">
                <c:v>8.32</c:v>
              </c:pt>
              <c:pt idx="11">
                <c:v>8.32</c:v>
              </c:pt>
              <c:pt idx="12">
                <c:v>9.92</c:v>
              </c:pt>
              <c:pt idx="13">
                <c:v>9.92</c:v>
              </c:pt>
              <c:pt idx="14">
                <c:v>11</c:v>
              </c:pt>
              <c:pt idx="15">
                <c:v>11</c:v>
              </c:pt>
              <c:pt idx="16">
                <c:v>12.12</c:v>
              </c:pt>
              <c:pt idx="17">
                <c:v>12.12</c:v>
              </c:pt>
              <c:pt idx="18">
                <c:v>12.12</c:v>
              </c:pt>
              <c:pt idx="19">
                <c:v>12.12</c:v>
              </c:pt>
              <c:pt idx="20">
                <c:v>14.8</c:v>
              </c:pt>
              <c:pt idx="21">
                <c:v>14.8</c:v>
              </c:pt>
              <c:pt idx="22">
                <c:v>16.88</c:v>
              </c:pt>
              <c:pt idx="23">
                <c:v>16.88</c:v>
              </c:pt>
              <c:pt idx="24">
                <c:v>19.88</c:v>
              </c:pt>
              <c:pt idx="25">
                <c:v>19.88</c:v>
              </c:pt>
              <c:pt idx="26">
                <c:v>22.4</c:v>
              </c:pt>
              <c:pt idx="27">
                <c:v>22.4</c:v>
              </c:pt>
              <c:pt idx="28">
                <c:v>23.88</c:v>
              </c:pt>
              <c:pt idx="29">
                <c:v>23.88</c:v>
              </c:pt>
              <c:pt idx="30">
                <c:v>25.8</c:v>
              </c:pt>
              <c:pt idx="31">
                <c:v>25.8</c:v>
              </c:pt>
              <c:pt idx="32">
                <c:v>27.92</c:v>
              </c:pt>
              <c:pt idx="33">
                <c:v>27.92</c:v>
              </c:pt>
              <c:pt idx="34">
                <c:v>28.12</c:v>
              </c:pt>
              <c:pt idx="35">
                <c:v>28.12</c:v>
              </c:pt>
              <c:pt idx="36">
                <c:v>29.6</c:v>
              </c:pt>
              <c:pt idx="37">
                <c:v>29.6</c:v>
              </c:pt>
              <c:pt idx="38">
                <c:v>30.12</c:v>
              </c:pt>
              <c:pt idx="39">
                <c:v>30.12</c:v>
              </c:pt>
              <c:pt idx="40">
                <c:v>31.08</c:v>
              </c:pt>
              <c:pt idx="41">
                <c:v>31.08</c:v>
              </c:pt>
              <c:pt idx="42">
                <c:v>31.6</c:v>
              </c:pt>
              <c:pt idx="43">
                <c:v>31.6</c:v>
              </c:pt>
              <c:pt idx="44">
                <c:v>32.799999999999997</c:v>
              </c:pt>
              <c:pt idx="45">
                <c:v>32.799999999999997</c:v>
              </c:pt>
              <c:pt idx="46">
                <c:v>33.479999999999997</c:v>
              </c:pt>
              <c:pt idx="47">
                <c:v>33.479999999999997</c:v>
              </c:pt>
              <c:pt idx="48">
                <c:v>33.92</c:v>
              </c:pt>
              <c:pt idx="49">
                <c:v>33.92</c:v>
              </c:pt>
              <c:pt idx="50">
                <c:v>35.08</c:v>
              </c:pt>
              <c:pt idx="51">
                <c:v>35.08</c:v>
              </c:pt>
              <c:pt idx="52">
                <c:v>36.32</c:v>
              </c:pt>
              <c:pt idx="53">
                <c:v>36.32</c:v>
              </c:pt>
              <c:pt idx="54">
                <c:v>37.119999999999997</c:v>
              </c:pt>
              <c:pt idx="55">
                <c:v>37.119999999999997</c:v>
              </c:pt>
              <c:pt idx="56">
                <c:v>37.32</c:v>
              </c:pt>
              <c:pt idx="57">
                <c:v>37.32</c:v>
              </c:pt>
              <c:pt idx="58">
                <c:v>39.68</c:v>
              </c:pt>
              <c:pt idx="59">
                <c:v>39.68</c:v>
              </c:pt>
              <c:pt idx="60">
                <c:v>41.88</c:v>
              </c:pt>
              <c:pt idx="61">
                <c:v>41.88</c:v>
              </c:pt>
            </c:numLit>
          </c:xVal>
          <c:yVal>
            <c:numLit>
              <c:formatCode>General</c:formatCode>
              <c:ptCount val="62"/>
              <c:pt idx="0">
                <c:v>0</c:v>
              </c:pt>
              <c:pt idx="1">
                <c:v>1</c:v>
              </c:pt>
              <c:pt idx="2">
                <c:v>1</c:v>
              </c:pt>
              <c:pt idx="3">
                <c:v>2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4</c:v>
              </c:pt>
              <c:pt idx="8">
                <c:v>4</c:v>
              </c:pt>
              <c:pt idx="9">
                <c:v>5</c:v>
              </c:pt>
              <c:pt idx="10">
                <c:v>5</c:v>
              </c:pt>
              <c:pt idx="11">
                <c:v>6</c:v>
              </c:pt>
              <c:pt idx="12">
                <c:v>6</c:v>
              </c:pt>
              <c:pt idx="13">
                <c:v>7</c:v>
              </c:pt>
              <c:pt idx="14">
                <c:v>7</c:v>
              </c:pt>
              <c:pt idx="15">
                <c:v>8</c:v>
              </c:pt>
              <c:pt idx="16">
                <c:v>8</c:v>
              </c:pt>
              <c:pt idx="17">
                <c:v>9</c:v>
              </c:pt>
              <c:pt idx="18">
                <c:v>9</c:v>
              </c:pt>
              <c:pt idx="19">
                <c:v>10</c:v>
              </c:pt>
              <c:pt idx="20">
                <c:v>10</c:v>
              </c:pt>
              <c:pt idx="21">
                <c:v>11</c:v>
              </c:pt>
              <c:pt idx="22">
                <c:v>11</c:v>
              </c:pt>
              <c:pt idx="23">
                <c:v>12</c:v>
              </c:pt>
              <c:pt idx="24">
                <c:v>12</c:v>
              </c:pt>
              <c:pt idx="25">
                <c:v>13</c:v>
              </c:pt>
              <c:pt idx="26">
                <c:v>13</c:v>
              </c:pt>
              <c:pt idx="27">
                <c:v>14</c:v>
              </c:pt>
              <c:pt idx="28">
                <c:v>14</c:v>
              </c:pt>
              <c:pt idx="29">
                <c:v>15</c:v>
              </c:pt>
              <c:pt idx="30">
                <c:v>15</c:v>
              </c:pt>
              <c:pt idx="31">
                <c:v>16</c:v>
              </c:pt>
              <c:pt idx="32">
                <c:v>16</c:v>
              </c:pt>
              <c:pt idx="33">
                <c:v>17</c:v>
              </c:pt>
              <c:pt idx="34">
                <c:v>17</c:v>
              </c:pt>
              <c:pt idx="35">
                <c:v>18</c:v>
              </c:pt>
              <c:pt idx="36">
                <c:v>18</c:v>
              </c:pt>
              <c:pt idx="37">
                <c:v>19</c:v>
              </c:pt>
              <c:pt idx="38">
                <c:v>19</c:v>
              </c:pt>
              <c:pt idx="39">
                <c:v>20</c:v>
              </c:pt>
              <c:pt idx="40">
                <c:v>20</c:v>
              </c:pt>
              <c:pt idx="41">
                <c:v>21</c:v>
              </c:pt>
              <c:pt idx="42">
                <c:v>21</c:v>
              </c:pt>
              <c:pt idx="43">
                <c:v>22</c:v>
              </c:pt>
              <c:pt idx="44">
                <c:v>22</c:v>
              </c:pt>
              <c:pt idx="45">
                <c:v>23</c:v>
              </c:pt>
              <c:pt idx="46">
                <c:v>23</c:v>
              </c:pt>
              <c:pt idx="47">
                <c:v>24</c:v>
              </c:pt>
              <c:pt idx="48">
                <c:v>24</c:v>
              </c:pt>
              <c:pt idx="49">
                <c:v>25</c:v>
              </c:pt>
              <c:pt idx="50">
                <c:v>25</c:v>
              </c:pt>
              <c:pt idx="51">
                <c:v>26</c:v>
              </c:pt>
              <c:pt idx="52">
                <c:v>26</c:v>
              </c:pt>
              <c:pt idx="53">
                <c:v>27</c:v>
              </c:pt>
              <c:pt idx="54">
                <c:v>27</c:v>
              </c:pt>
              <c:pt idx="55">
                <c:v>28</c:v>
              </c:pt>
              <c:pt idx="56">
                <c:v>28</c:v>
              </c:pt>
              <c:pt idx="57">
                <c:v>29</c:v>
              </c:pt>
              <c:pt idx="58">
                <c:v>29</c:v>
              </c:pt>
              <c:pt idx="59">
                <c:v>30</c:v>
              </c:pt>
              <c:pt idx="60">
                <c:v>30</c:v>
              </c:pt>
              <c:pt idx="61">
                <c:v>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447-40E0-B6F1-3ECE1DD9E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256207"/>
        <c:axId val="677253807"/>
      </c:scatterChart>
      <c:valAx>
        <c:axId val="6772562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Time (sec)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253807"/>
        <c:crosses val="autoZero"/>
        <c:crossBetween val="midCat"/>
      </c:valAx>
      <c:valAx>
        <c:axId val="677253807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Vehicle No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677256207"/>
        <c:crosses val="autoZero"/>
        <c:crossBetween val="midCat"/>
        <c:majorUnit val="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5" Type="http://schemas.openxmlformats.org/officeDocument/2006/relationships/chart" Target="../charts/chart43.xml"/><Relationship Id="rId4" Type="http://schemas.openxmlformats.org/officeDocument/2006/relationships/chart" Target="../charts/chart4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38</xdr:row>
      <xdr:rowOff>188767</xdr:rowOff>
    </xdr:from>
    <xdr:to>
      <xdr:col>10</xdr:col>
      <xdr:colOff>412172</xdr:colOff>
      <xdr:row>54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1B470F-F6D4-22C4-CB20-9516CDD4D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495300</xdr:colOff>
      <xdr:row>39</xdr:row>
      <xdr:rowOff>9525</xdr:rowOff>
    </xdr:from>
    <xdr:to>
      <xdr:col>13</xdr:col>
      <xdr:colOff>374072</xdr:colOff>
      <xdr:row>55</xdr:row>
      <xdr:rowOff>1732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440DC7-F5E4-4CCA-85F3-1874CB068F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438150</xdr:colOff>
      <xdr:row>39</xdr:row>
      <xdr:rowOff>0</xdr:rowOff>
    </xdr:from>
    <xdr:to>
      <xdr:col>18</xdr:col>
      <xdr:colOff>374072</xdr:colOff>
      <xdr:row>54</xdr:row>
      <xdr:rowOff>182707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2682DA-A41C-4C5D-97EB-B8E03605C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628650</xdr:colOff>
      <xdr:row>54</xdr:row>
      <xdr:rowOff>133349</xdr:rowOff>
    </xdr:from>
    <xdr:to>
      <xdr:col>14</xdr:col>
      <xdr:colOff>171450</xdr:colOff>
      <xdr:row>73</xdr:row>
      <xdr:rowOff>123824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AFF12FF-DACB-148D-FE70-3F71B23F3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92868</xdr:colOff>
      <xdr:row>21</xdr:row>
      <xdr:rowOff>-1</xdr:rowOff>
    </xdr:from>
    <xdr:to>
      <xdr:col>18</xdr:col>
      <xdr:colOff>171450</xdr:colOff>
      <xdr:row>41</xdr:row>
      <xdr:rowOff>45243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22C6ED-3027-57F6-97A5-F786E142F9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52</xdr:row>
      <xdr:rowOff>133350</xdr:rowOff>
    </xdr:from>
    <xdr:to>
      <xdr:col>10</xdr:col>
      <xdr:colOff>752475</xdr:colOff>
      <xdr:row>67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411CC3-EDA7-4F24-85B5-0E2E5005E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285750</xdr:colOff>
      <xdr:row>67</xdr:row>
      <xdr:rowOff>38100</xdr:rowOff>
    </xdr:from>
    <xdr:to>
      <xdr:col>10</xdr:col>
      <xdr:colOff>752475</xdr:colOff>
      <xdr:row>81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2CA3D44-4F95-456A-8F20-BA33D4A830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285750</xdr:colOff>
      <xdr:row>81</xdr:row>
      <xdr:rowOff>133350</xdr:rowOff>
    </xdr:from>
    <xdr:to>
      <xdr:col>10</xdr:col>
      <xdr:colOff>752475</xdr:colOff>
      <xdr:row>96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0A887B7-0A4F-4148-B58E-7A6365A66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15875</xdr:colOff>
      <xdr:row>30</xdr:row>
      <xdr:rowOff>171450</xdr:rowOff>
    </xdr:from>
    <xdr:to>
      <xdr:col>5</xdr:col>
      <xdr:colOff>714375</xdr:colOff>
      <xdr:row>50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F1ECF-9323-7880-FBB9-EB4A7D4BBE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63500</xdr:colOff>
      <xdr:row>28</xdr:row>
      <xdr:rowOff>47625</xdr:rowOff>
    </xdr:from>
    <xdr:to>
      <xdr:col>12</xdr:col>
      <xdr:colOff>638175</xdr:colOff>
      <xdr:row>47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CF7D3A-3BF2-2F81-DAB0-0D700AC3B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396875</xdr:colOff>
      <xdr:row>40</xdr:row>
      <xdr:rowOff>161925</xdr:rowOff>
    </xdr:from>
    <xdr:to>
      <xdr:col>19</xdr:col>
      <xdr:colOff>847725</xdr:colOff>
      <xdr:row>60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EF88CE-AED6-F6C6-A89C-1E0C471AE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</xdr:colOff>
      <xdr:row>34</xdr:row>
      <xdr:rowOff>114300</xdr:rowOff>
    </xdr:from>
    <xdr:to>
      <xdr:col>5</xdr:col>
      <xdr:colOff>752475</xdr:colOff>
      <xdr:row>53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A7378B-CA4D-652D-2ED8-FBBA85A849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44450</xdr:colOff>
      <xdr:row>31</xdr:row>
      <xdr:rowOff>19050</xdr:rowOff>
    </xdr:from>
    <xdr:to>
      <xdr:col>12</xdr:col>
      <xdr:colOff>619125</xdr:colOff>
      <xdr:row>50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EF838F-1B27-C2A7-8621-F484578542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349250</xdr:colOff>
      <xdr:row>49</xdr:row>
      <xdr:rowOff>85725</xdr:rowOff>
    </xdr:from>
    <xdr:to>
      <xdr:col>19</xdr:col>
      <xdr:colOff>800100</xdr:colOff>
      <xdr:row>68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92A2EC-6EB3-88FE-A29A-3B8847125B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38</xdr:row>
      <xdr:rowOff>123825</xdr:rowOff>
    </xdr:from>
    <xdr:to>
      <xdr:col>5</xdr:col>
      <xdr:colOff>704850</xdr:colOff>
      <xdr:row>57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F7DB76-0CBB-080E-D4F4-D8EA76136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199571</xdr:colOff>
      <xdr:row>33</xdr:row>
      <xdr:rowOff>27214</xdr:rowOff>
    </xdr:from>
    <xdr:to>
      <xdr:col>12</xdr:col>
      <xdr:colOff>770164</xdr:colOff>
      <xdr:row>52</xdr:row>
      <xdr:rowOff>58511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CAE13D-BC6E-FFFD-AD0C-9989945DD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267608</xdr:colOff>
      <xdr:row>51</xdr:row>
      <xdr:rowOff>54428</xdr:rowOff>
    </xdr:from>
    <xdr:to>
      <xdr:col>19</xdr:col>
      <xdr:colOff>729343</xdr:colOff>
      <xdr:row>70</xdr:row>
      <xdr:rowOff>112939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83F058-CFFA-6EEB-1C13-2EA9BB46A3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53975</xdr:colOff>
      <xdr:row>38</xdr:row>
      <xdr:rowOff>19050</xdr:rowOff>
    </xdr:from>
    <xdr:to>
      <xdr:col>5</xdr:col>
      <xdr:colOff>752475</xdr:colOff>
      <xdr:row>57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063811-4CA9-820F-165D-506B5C7CF8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234950</xdr:colOff>
      <xdr:row>27</xdr:row>
      <xdr:rowOff>161925</xdr:rowOff>
    </xdr:from>
    <xdr:to>
      <xdr:col>12</xdr:col>
      <xdr:colOff>809625</xdr:colOff>
      <xdr:row>46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307287-77AB-6FAE-92D7-E37BD7C12D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415925</xdr:colOff>
      <xdr:row>33</xdr:row>
      <xdr:rowOff>9525</xdr:rowOff>
    </xdr:from>
    <xdr:to>
      <xdr:col>19</xdr:col>
      <xdr:colOff>866775</xdr:colOff>
      <xdr:row>52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1BE768-35AC-68A6-1EE3-1F80D25515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37</xdr:row>
      <xdr:rowOff>19050</xdr:rowOff>
    </xdr:from>
    <xdr:to>
      <xdr:col>5</xdr:col>
      <xdr:colOff>762000</xdr:colOff>
      <xdr:row>56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81686A-1A57-0381-F2A8-F0582C7E7D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149225</xdr:colOff>
      <xdr:row>34</xdr:row>
      <xdr:rowOff>28575</xdr:rowOff>
    </xdr:from>
    <xdr:to>
      <xdr:col>12</xdr:col>
      <xdr:colOff>723900</xdr:colOff>
      <xdr:row>53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4FF7E6-0B5F-02D7-ABAF-02A591A532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396875</xdr:colOff>
      <xdr:row>31</xdr:row>
      <xdr:rowOff>19050</xdr:rowOff>
    </xdr:from>
    <xdr:to>
      <xdr:col>19</xdr:col>
      <xdr:colOff>847725</xdr:colOff>
      <xdr:row>50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60625E-3044-3F2A-FE1A-3CFEC6F60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36</xdr:row>
      <xdr:rowOff>9525</xdr:rowOff>
    </xdr:from>
    <xdr:to>
      <xdr:col>5</xdr:col>
      <xdr:colOff>771525</xdr:colOff>
      <xdr:row>55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582057-D12A-3817-7AB2-E825884B59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187325</xdr:colOff>
      <xdr:row>31</xdr:row>
      <xdr:rowOff>9525</xdr:rowOff>
    </xdr:from>
    <xdr:to>
      <xdr:col>12</xdr:col>
      <xdr:colOff>762000</xdr:colOff>
      <xdr:row>50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286DD5-AA47-0B86-65FB-58CCAE2FF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339725</xdr:colOff>
      <xdr:row>38</xdr:row>
      <xdr:rowOff>180975</xdr:rowOff>
    </xdr:from>
    <xdr:to>
      <xdr:col>19</xdr:col>
      <xdr:colOff>790575</xdr:colOff>
      <xdr:row>58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900F2D-DC5E-85B0-ADF2-4FC185CC73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32</xdr:row>
      <xdr:rowOff>19050</xdr:rowOff>
    </xdr:from>
    <xdr:to>
      <xdr:col>5</xdr:col>
      <xdr:colOff>771525</xdr:colOff>
      <xdr:row>51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D084B-F987-B498-A017-63B5A5CC67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206375</xdr:colOff>
      <xdr:row>30</xdr:row>
      <xdr:rowOff>19050</xdr:rowOff>
    </xdr:from>
    <xdr:to>
      <xdr:col>12</xdr:col>
      <xdr:colOff>781050</xdr:colOff>
      <xdr:row>49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E2B563-72ED-E25E-D0B7-163A7F4A3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292100</xdr:colOff>
      <xdr:row>29</xdr:row>
      <xdr:rowOff>180975</xdr:rowOff>
    </xdr:from>
    <xdr:to>
      <xdr:col>19</xdr:col>
      <xdr:colOff>742950</xdr:colOff>
      <xdr:row>49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0B9964-363B-9ED4-6C90-367D46746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34925</xdr:colOff>
      <xdr:row>44</xdr:row>
      <xdr:rowOff>28575</xdr:rowOff>
    </xdr:from>
    <xdr:to>
      <xdr:col>5</xdr:col>
      <xdr:colOff>733425</xdr:colOff>
      <xdr:row>63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04E67E4-DD54-C20D-C5A2-903F71513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149225</xdr:colOff>
      <xdr:row>32</xdr:row>
      <xdr:rowOff>28575</xdr:rowOff>
    </xdr:from>
    <xdr:to>
      <xdr:col>12</xdr:col>
      <xdr:colOff>723900</xdr:colOff>
      <xdr:row>51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2807A7-40E3-BF61-84CC-3F4146DFEC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358775</xdr:colOff>
      <xdr:row>33</xdr:row>
      <xdr:rowOff>9525</xdr:rowOff>
    </xdr:from>
    <xdr:to>
      <xdr:col>19</xdr:col>
      <xdr:colOff>809625</xdr:colOff>
      <xdr:row>52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36B323F-7E53-2DAF-BB42-4BF48BDFF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409574</xdr:colOff>
      <xdr:row>59</xdr:row>
      <xdr:rowOff>33337</xdr:rowOff>
    </xdr:from>
    <xdr:to>
      <xdr:col>11</xdr:col>
      <xdr:colOff>895350</xdr:colOff>
      <xdr:row>70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637261-C8E5-319D-3A0B-8598AA349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59</xdr:row>
      <xdr:rowOff>38100</xdr:rowOff>
    </xdr:from>
    <xdr:to>
      <xdr:col>17</xdr:col>
      <xdr:colOff>571500</xdr:colOff>
      <xdr:row>69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EE09CA-E0BB-43DB-87D9-8C998B00E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628651</xdr:colOff>
      <xdr:row>59</xdr:row>
      <xdr:rowOff>38100</xdr:rowOff>
    </xdr:from>
    <xdr:to>
      <xdr:col>22</xdr:col>
      <xdr:colOff>457200</xdr:colOff>
      <xdr:row>70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BBFEE9-BB6A-42D4-B1FD-70F71DCBC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139700</xdr:colOff>
      <xdr:row>36</xdr:row>
      <xdr:rowOff>19050</xdr:rowOff>
    </xdr:from>
    <xdr:to>
      <xdr:col>12</xdr:col>
      <xdr:colOff>714375</xdr:colOff>
      <xdr:row>55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C837DAF-DA30-8622-0355-63FC34B4C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273050</xdr:colOff>
      <xdr:row>36</xdr:row>
      <xdr:rowOff>0</xdr:rowOff>
    </xdr:from>
    <xdr:to>
      <xdr:col>19</xdr:col>
      <xdr:colOff>723900</xdr:colOff>
      <xdr:row>55</xdr:row>
      <xdr:rowOff>28575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DFF15CD-077F-D787-5D70-AC7AFA8F08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168275</xdr:colOff>
      <xdr:row>40</xdr:row>
      <xdr:rowOff>161925</xdr:rowOff>
    </xdr:from>
    <xdr:to>
      <xdr:col>6</xdr:col>
      <xdr:colOff>9525</xdr:colOff>
      <xdr:row>60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15DEEB-3D02-65FA-B314-16277CD71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59</xdr:row>
      <xdr:rowOff>0</xdr:rowOff>
    </xdr:from>
    <xdr:to>
      <xdr:col>12</xdr:col>
      <xdr:colOff>161926</xdr:colOff>
      <xdr:row>70</xdr:row>
      <xdr:rowOff>61913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789261-683B-4878-A86B-C4871AC70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59</xdr:row>
      <xdr:rowOff>9525</xdr:rowOff>
    </xdr:from>
    <xdr:to>
      <xdr:col>17</xdr:col>
      <xdr:colOff>762001</xdr:colOff>
      <xdr:row>70</xdr:row>
      <xdr:rowOff>71438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17672F-FC80-47DF-9C83-225204F0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828675</xdr:colOff>
      <xdr:row>59</xdr:row>
      <xdr:rowOff>9525</xdr:rowOff>
    </xdr:from>
    <xdr:to>
      <xdr:col>22</xdr:col>
      <xdr:colOff>571501</xdr:colOff>
      <xdr:row>70</xdr:row>
      <xdr:rowOff>71438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D1BDA98-5CEF-4454-9CA3-1FFEB17F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92075</xdr:colOff>
      <xdr:row>39</xdr:row>
      <xdr:rowOff>9525</xdr:rowOff>
    </xdr:from>
    <xdr:to>
      <xdr:col>5</xdr:col>
      <xdr:colOff>790575</xdr:colOff>
      <xdr:row>58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174221-D823-B7BE-A299-54CBF94AA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139700</xdr:colOff>
      <xdr:row>30</xdr:row>
      <xdr:rowOff>180975</xdr:rowOff>
    </xdr:from>
    <xdr:to>
      <xdr:col>12</xdr:col>
      <xdr:colOff>714375</xdr:colOff>
      <xdr:row>50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FA9D788-4B48-8921-B574-E7A3EBC74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377825</xdr:colOff>
      <xdr:row>33</xdr:row>
      <xdr:rowOff>19050</xdr:rowOff>
    </xdr:from>
    <xdr:to>
      <xdr:col>19</xdr:col>
      <xdr:colOff>828675</xdr:colOff>
      <xdr:row>52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A83AB0-A387-318F-8160-93C2C19CC7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434975</xdr:colOff>
      <xdr:row>29</xdr:row>
      <xdr:rowOff>9525</xdr:rowOff>
    </xdr:from>
    <xdr:to>
      <xdr:col>19</xdr:col>
      <xdr:colOff>885825</xdr:colOff>
      <xdr:row>48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442C82-7289-A6DF-1C51-C5E196410B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196850</xdr:colOff>
      <xdr:row>28</xdr:row>
      <xdr:rowOff>9525</xdr:rowOff>
    </xdr:from>
    <xdr:to>
      <xdr:col>12</xdr:col>
      <xdr:colOff>771525</xdr:colOff>
      <xdr:row>47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00A78B-BBBA-044D-EA89-0E7E62C1D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92075</xdr:colOff>
      <xdr:row>37</xdr:row>
      <xdr:rowOff>28575</xdr:rowOff>
    </xdr:from>
    <xdr:to>
      <xdr:col>5</xdr:col>
      <xdr:colOff>790575</xdr:colOff>
      <xdr:row>56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054149-6BB6-D994-016C-8219353D35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330200</xdr:colOff>
      <xdr:row>44</xdr:row>
      <xdr:rowOff>28575</xdr:rowOff>
    </xdr:from>
    <xdr:to>
      <xdr:col>19</xdr:col>
      <xdr:colOff>781050</xdr:colOff>
      <xdr:row>63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215357-35B0-BDA0-90D4-C98191689E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130175</xdr:colOff>
      <xdr:row>36</xdr:row>
      <xdr:rowOff>47625</xdr:rowOff>
    </xdr:from>
    <xdr:to>
      <xdr:col>12</xdr:col>
      <xdr:colOff>704850</xdr:colOff>
      <xdr:row>55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F5BF1A-C0AB-7F47-A8C8-EF1AD1C59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9525</xdr:rowOff>
    </xdr:from>
    <xdr:to>
      <xdr:col>5</xdr:col>
      <xdr:colOff>698500</xdr:colOff>
      <xdr:row>58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CFBC70-5E87-430F-4D4C-1D7CB451E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387350</xdr:colOff>
      <xdr:row>40</xdr:row>
      <xdr:rowOff>76200</xdr:rowOff>
    </xdr:from>
    <xdr:to>
      <xdr:col>19</xdr:col>
      <xdr:colOff>838200</xdr:colOff>
      <xdr:row>59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DC3118-FABB-C268-1E50-20AA3B3614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234950</xdr:colOff>
      <xdr:row>29</xdr:row>
      <xdr:rowOff>0</xdr:rowOff>
    </xdr:from>
    <xdr:to>
      <xdr:col>12</xdr:col>
      <xdr:colOff>809625</xdr:colOff>
      <xdr:row>47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7C0F14-3D4F-046E-112B-3E1DFFE9E4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82550</xdr:colOff>
      <xdr:row>43</xdr:row>
      <xdr:rowOff>180975</xdr:rowOff>
    </xdr:from>
    <xdr:to>
      <xdr:col>5</xdr:col>
      <xdr:colOff>781050</xdr:colOff>
      <xdr:row>63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BB24F8-9DA2-230E-8C5B-34D631F273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C2DE-8129-4698-A5C1-604971020A1F}">
  <sheetPr codeName="Sheet2">
    <pageSetUpPr fitToPage="1"/>
  </sheetPr>
  <dimension ref="A1:T63"/>
  <sheetViews>
    <sheetView topLeftCell="A39" zoomScale="80" zoomScaleNormal="80" workbookViewId="0">
      <selection activeCell="C45" sqref="C45"/>
    </sheetView>
  </sheetViews>
  <sheetFormatPr defaultRowHeight="15" x14ac:dyDescent="0.25"/>
  <cols>
    <col min="1" max="1" width="12" style="34" customWidth="1"/>
    <col min="2" max="2" width="23.28515625" style="34" customWidth="1"/>
    <col min="3" max="5" width="9.7109375" style="35" customWidth="1"/>
    <col min="6" max="6" width="5.140625" style="34" customWidth="1"/>
    <col min="7" max="7" width="10.42578125" style="34" bestFit="1" customWidth="1"/>
    <col min="8" max="8" width="9.5703125" style="34" bestFit="1" customWidth="1"/>
    <col min="9" max="12" width="9.140625" style="34"/>
    <col min="13" max="13" width="28.28515625" style="34" bestFit="1" customWidth="1"/>
    <col min="14" max="18" width="9.140625" style="34"/>
    <col min="19" max="19" width="23.42578125" style="34" bestFit="1" customWidth="1"/>
    <col min="20" max="20" width="79.140625" style="34" customWidth="1"/>
    <col min="21" max="21" width="10" style="34" bestFit="1" customWidth="1"/>
    <col min="22" max="22" width="32.28515625" style="34" bestFit="1" customWidth="1"/>
    <col min="23" max="16384" width="9.140625" style="34"/>
  </cols>
  <sheetData>
    <row r="1" spans="2:20" ht="15.75" x14ac:dyDescent="0.25">
      <c r="B1" s="160" t="s">
        <v>19</v>
      </c>
      <c r="C1" s="161"/>
      <c r="M1" s="12"/>
      <c r="N1"/>
      <c r="O1"/>
      <c r="T1" s="35"/>
    </row>
    <row r="2" spans="2:20" x14ac:dyDescent="0.25">
      <c r="B2" s="15" t="s">
        <v>4</v>
      </c>
      <c r="C2" s="16">
        <v>1</v>
      </c>
      <c r="M2"/>
      <c r="N2"/>
      <c r="T2" s="48"/>
    </row>
    <row r="3" spans="2:20" x14ac:dyDescent="0.25">
      <c r="B3" s="15" t="s">
        <v>17</v>
      </c>
      <c r="C3" s="16">
        <v>1.56</v>
      </c>
      <c r="N3"/>
      <c r="O3"/>
      <c r="T3" s="48"/>
    </row>
    <row r="4" spans="2:20" x14ac:dyDescent="0.25">
      <c r="B4" s="15" t="s">
        <v>6</v>
      </c>
      <c r="C4" s="16">
        <v>0.45</v>
      </c>
      <c r="M4"/>
      <c r="N4"/>
      <c r="O4"/>
      <c r="T4" s="48"/>
    </row>
    <row r="5" spans="2:20" x14ac:dyDescent="0.25">
      <c r="B5" s="15" t="s">
        <v>5</v>
      </c>
      <c r="C5" s="16">
        <v>0.38</v>
      </c>
      <c r="M5"/>
      <c r="N5"/>
      <c r="O5"/>
      <c r="T5" s="48"/>
    </row>
    <row r="6" spans="2:20" x14ac:dyDescent="0.25">
      <c r="B6" s="15" t="s">
        <v>18</v>
      </c>
      <c r="C6" s="16">
        <v>1.02</v>
      </c>
      <c r="M6"/>
      <c r="N6"/>
      <c r="O6"/>
      <c r="T6" s="48"/>
    </row>
    <row r="7" spans="2:20" x14ac:dyDescent="0.25">
      <c r="B7" s="15" t="s">
        <v>7</v>
      </c>
      <c r="C7" s="16">
        <v>0.33</v>
      </c>
      <c r="M7"/>
      <c r="N7"/>
      <c r="O7"/>
      <c r="T7" s="48"/>
    </row>
    <row r="8" spans="2:20" x14ac:dyDescent="0.25">
      <c r="B8" s="15" t="s">
        <v>23</v>
      </c>
      <c r="C8" s="16">
        <v>1.84</v>
      </c>
      <c r="M8"/>
      <c r="N8"/>
      <c r="O8"/>
      <c r="T8" s="48"/>
    </row>
    <row r="9" spans="2:20" x14ac:dyDescent="0.25">
      <c r="M9"/>
      <c r="N9"/>
      <c r="O9"/>
      <c r="T9" s="48"/>
    </row>
    <row r="10" spans="2:20" x14ac:dyDescent="0.25">
      <c r="B10" s="162" t="s">
        <v>29</v>
      </c>
      <c r="C10" s="162"/>
      <c r="D10" s="162"/>
      <c r="E10" s="48"/>
      <c r="M10" s="1"/>
      <c r="N10"/>
      <c r="O10" s="1"/>
      <c r="T10" s="48"/>
    </row>
    <row r="11" spans="2:20" x14ac:dyDescent="0.25">
      <c r="B11" s="38" t="s">
        <v>33</v>
      </c>
      <c r="C11" s="38" t="s">
        <v>0</v>
      </c>
      <c r="D11" s="38" t="s">
        <v>32</v>
      </c>
      <c r="E11" s="48"/>
      <c r="M11" s="1"/>
      <c r="N11" s="1"/>
      <c r="O11" s="1"/>
      <c r="T11" s="48"/>
    </row>
    <row r="12" spans="2:20" x14ac:dyDescent="0.25">
      <c r="B12" s="22" t="s">
        <v>30</v>
      </c>
      <c r="C12" s="44">
        <v>1</v>
      </c>
      <c r="D12" s="45">
        <f>3600/C12</f>
        <v>3600</v>
      </c>
      <c r="E12" s="118" t="s">
        <v>55</v>
      </c>
      <c r="M12"/>
      <c r="N12"/>
      <c r="O12"/>
      <c r="T12" s="48"/>
    </row>
    <row r="13" spans="2:20" x14ac:dyDescent="0.25">
      <c r="B13" s="22" t="s">
        <v>31</v>
      </c>
      <c r="C13" s="46">
        <v>0.5</v>
      </c>
      <c r="D13" s="45">
        <f>3600/C13</f>
        <v>7200</v>
      </c>
      <c r="E13" s="118" t="s">
        <v>54</v>
      </c>
      <c r="M13"/>
      <c r="N13"/>
      <c r="O13"/>
      <c r="T13" s="48"/>
    </row>
    <row r="14" spans="2:20" x14ac:dyDescent="0.25">
      <c r="B14" s="22" t="s">
        <v>34</v>
      </c>
      <c r="C14" s="163" t="s">
        <v>35</v>
      </c>
      <c r="D14" s="163"/>
      <c r="E14" s="48" t="s">
        <v>36</v>
      </c>
      <c r="M14"/>
      <c r="N14"/>
      <c r="O14"/>
      <c r="T14" s="48"/>
    </row>
    <row r="15" spans="2:20" x14ac:dyDescent="0.25">
      <c r="B15" s="22" t="s">
        <v>38</v>
      </c>
      <c r="C15" s="163" t="s">
        <v>37</v>
      </c>
      <c r="D15" s="163"/>
      <c r="E15" s="48" t="s">
        <v>36</v>
      </c>
      <c r="M15"/>
      <c r="N15"/>
      <c r="O15"/>
      <c r="T15" s="48"/>
    </row>
    <row r="16" spans="2:20" x14ac:dyDescent="0.25">
      <c r="M16"/>
      <c r="N16"/>
      <c r="O16"/>
      <c r="T16" s="48"/>
    </row>
    <row r="17" spans="1:20" x14ac:dyDescent="0.25">
      <c r="B17" s="119" t="s">
        <v>59</v>
      </c>
      <c r="M17"/>
      <c r="N17"/>
      <c r="O17"/>
    </row>
    <row r="18" spans="1:20" x14ac:dyDescent="0.25">
      <c r="B18" s="34" t="s">
        <v>56</v>
      </c>
      <c r="M18"/>
      <c r="N18"/>
      <c r="O18"/>
      <c r="T18" s="48"/>
    </row>
    <row r="19" spans="1:20" x14ac:dyDescent="0.25">
      <c r="B19" s="34" t="s">
        <v>57</v>
      </c>
      <c r="M19"/>
      <c r="N19"/>
      <c r="O19"/>
      <c r="T19" s="48"/>
    </row>
    <row r="20" spans="1:20" x14ac:dyDescent="0.25">
      <c r="B20" s="159" t="s">
        <v>58</v>
      </c>
      <c r="C20" s="159" t="s">
        <v>24</v>
      </c>
      <c r="D20" s="159"/>
      <c r="E20" s="159"/>
      <c r="H20" s="36"/>
      <c r="I20" s="36"/>
      <c r="M20"/>
      <c r="N20"/>
      <c r="O20"/>
      <c r="T20" s="48"/>
    </row>
    <row r="21" spans="1:20" ht="15.75" thickBot="1" x14ac:dyDescent="0.3">
      <c r="B21" s="159"/>
      <c r="C21" s="47" t="s">
        <v>16</v>
      </c>
      <c r="D21" s="47" t="s">
        <v>10</v>
      </c>
      <c r="E21" s="47" t="s">
        <v>15</v>
      </c>
      <c r="H21" s="38" t="s">
        <v>16</v>
      </c>
      <c r="I21" s="38" t="s">
        <v>10</v>
      </c>
      <c r="J21" s="38" t="s">
        <v>15</v>
      </c>
      <c r="M21"/>
      <c r="N21"/>
      <c r="O21"/>
      <c r="T21" s="48"/>
    </row>
    <row r="22" spans="1:20" ht="15.75" thickBot="1" x14ac:dyDescent="0.3">
      <c r="A22" s="35"/>
      <c r="B22" s="27" t="str">
        <f>'8.15'!E1</f>
        <v>08:15:19-08:15:56 AM</v>
      </c>
      <c r="C22" s="150">
        <f>'8.15'!F9</f>
        <v>1835.1296242353624</v>
      </c>
      <c r="D22" s="150" t="s">
        <v>72</v>
      </c>
      <c r="E22" s="101">
        <f>'8.15'!T9</f>
        <v>3522.504892367906</v>
      </c>
      <c r="G22" s="37" t="s">
        <v>53</v>
      </c>
      <c r="H22" s="29">
        <f>AVERAGE(C22:C34)</f>
        <v>1952.3707759982547</v>
      </c>
      <c r="I22" s="29">
        <f t="shared" ref="I22:J22" si="0">AVERAGE(D22:D34)</f>
        <v>1974.2813706800473</v>
      </c>
      <c r="J22" s="29">
        <f t="shared" si="0"/>
        <v>2824.5311182090177</v>
      </c>
      <c r="M22"/>
      <c r="N22"/>
      <c r="O22"/>
      <c r="T22" s="48"/>
    </row>
    <row r="23" spans="1:20" x14ac:dyDescent="0.25">
      <c r="A23" s="35"/>
      <c r="B23" s="27" t="str">
        <f>'08.58'!E1</f>
        <v>08:58:39-08:59:20 AM</v>
      </c>
      <c r="C23" s="101">
        <f>'08.58'!F9</f>
        <v>1975.2987888824598</v>
      </c>
      <c r="D23" s="101" t="s">
        <v>72</v>
      </c>
      <c r="E23" s="101">
        <f>'08.58'!T9</f>
        <v>3489.4025552027174</v>
      </c>
      <c r="G23" s="121" t="s">
        <v>52</v>
      </c>
      <c r="H23" s="24">
        <f>_xlfn.STDEV.S(C22:C34)</f>
        <v>152.497816219881</v>
      </c>
      <c r="I23" s="24">
        <f t="shared" ref="I23:J23" si="1">_xlfn.STDEV.S(D22:D34)</f>
        <v>211.94888963246643</v>
      </c>
      <c r="J23" s="24">
        <f t="shared" si="1"/>
        <v>745.3874666988828</v>
      </c>
      <c r="T23" s="48"/>
    </row>
    <row r="24" spans="1:20" x14ac:dyDescent="0.25">
      <c r="A24" s="35"/>
      <c r="B24" s="27" t="str">
        <f>'9.03'!E1</f>
        <v>09:03:36-09:04:19 AM</v>
      </c>
      <c r="C24" s="101">
        <f>'9.03'!F9</f>
        <v>1746.9697623258423</v>
      </c>
      <c r="D24" s="101">
        <f>'9.03'!M9</f>
        <v>1788.2373719533725</v>
      </c>
      <c r="E24" s="101">
        <f>'9.03'!T9</f>
        <v>2806.997646658539</v>
      </c>
      <c r="G24" s="121" t="s">
        <v>60</v>
      </c>
      <c r="H24" s="102">
        <f>H23/H22</f>
        <v>7.8109044703308608E-2</v>
      </c>
      <c r="I24" s="102">
        <f>I23/I22</f>
        <v>0.10735495597542917</v>
      </c>
      <c r="J24" s="102">
        <f>J23/J22</f>
        <v>0.26389777117113833</v>
      </c>
      <c r="T24" s="48"/>
    </row>
    <row r="25" spans="1:20" x14ac:dyDescent="0.25">
      <c r="A25" s="35"/>
      <c r="B25" s="27" t="str">
        <f>'12.07'!E1</f>
        <v>12:07:16-12:07:58 PM</v>
      </c>
      <c r="C25" s="101">
        <f>'12.07'!F9</f>
        <v>1996.2897241490562</v>
      </c>
      <c r="D25" s="101" t="s">
        <v>72</v>
      </c>
      <c r="E25" s="101" t="s">
        <v>72</v>
      </c>
      <c r="T25" s="48"/>
    </row>
    <row r="26" spans="1:20" x14ac:dyDescent="0.25">
      <c r="A26" s="35"/>
      <c r="B26" s="27" t="str">
        <f>'12.16'!E1</f>
        <v>12:16:56-12:17:39 PM</v>
      </c>
      <c r="C26" s="101">
        <f>'12.16'!F9</f>
        <v>1843.0182133564617</v>
      </c>
      <c r="D26" s="101">
        <f>'12.16'!M9</f>
        <v>1890.2929954142892</v>
      </c>
      <c r="E26" s="101">
        <f>'12.16'!T9</f>
        <v>2020.9580838323354</v>
      </c>
      <c r="G26" s="121" t="s">
        <v>71</v>
      </c>
      <c r="H26" s="24">
        <f>MEDIAN(C22:C34)</f>
        <v>1933.9490453366388</v>
      </c>
      <c r="I26" s="24">
        <f>MEDIAN(D22:D34)</f>
        <v>1890.2929954142892</v>
      </c>
      <c r="J26" s="24">
        <f>MEDIAN(E22:E34)</f>
        <v>2536.0844109082941</v>
      </c>
      <c r="T26" s="48"/>
    </row>
    <row r="27" spans="1:20" x14ac:dyDescent="0.25">
      <c r="A27" s="35"/>
      <c r="B27" s="27" t="str">
        <f>'1.00'!E1</f>
        <v>01:00:26-01:01:07 PM</v>
      </c>
      <c r="C27" s="101">
        <f>'1.00'!F9</f>
        <v>1956.4951563158104</v>
      </c>
      <c r="D27" s="101">
        <f>'1.00'!M9</f>
        <v>1824.6325392802844</v>
      </c>
      <c r="E27" s="101">
        <f>'1.00'!T9</f>
        <v>2536.0844109082941</v>
      </c>
      <c r="G27" s="121" t="s">
        <v>26</v>
      </c>
      <c r="H27" s="24">
        <f>MIN(C22:C34)</f>
        <v>1746.9697623258423</v>
      </c>
      <c r="I27" s="24">
        <f t="shared" ref="I27:J27" si="2">MIN(D22:D34)</f>
        <v>1762.434957757511</v>
      </c>
      <c r="J27" s="24">
        <f t="shared" si="2"/>
        <v>2020.9580838323354</v>
      </c>
      <c r="T27" s="48"/>
    </row>
    <row r="28" spans="1:20" x14ac:dyDescent="0.25">
      <c r="A28" s="35"/>
      <c r="B28" s="27" t="str">
        <f>'1.04'!E1</f>
        <v>01:04:04-01:04:39 PM</v>
      </c>
      <c r="C28" s="101">
        <f>'1.04'!F9</f>
        <v>1911.4029343574673</v>
      </c>
      <c r="D28" s="101">
        <f>'1.04'!M9</f>
        <v>2210.5263157894738</v>
      </c>
      <c r="E28" s="101">
        <f>'1.04'!T9</f>
        <v>2297.2076165194753</v>
      </c>
      <c r="G28" s="121" t="s">
        <v>27</v>
      </c>
      <c r="H28" s="24">
        <f>MAX(C22:C34)</f>
        <v>2338.1009424567378</v>
      </c>
      <c r="I28" s="24">
        <f t="shared" ref="I28:J28" si="3">MAX(D22:D34)</f>
        <v>2287.3740582735772</v>
      </c>
      <c r="J28" s="24">
        <f t="shared" si="3"/>
        <v>4182.2949513725234</v>
      </c>
    </row>
    <row r="29" spans="1:20" x14ac:dyDescent="0.25">
      <c r="A29" s="35"/>
      <c r="B29" s="27" t="str">
        <f>'3.01'!E1</f>
        <v>03:01:17-03:02:06 PM</v>
      </c>
      <c r="C29" s="101" t="s">
        <v>72</v>
      </c>
      <c r="D29" s="101" t="s">
        <v>72</v>
      </c>
      <c r="E29" s="101" t="s">
        <v>72</v>
      </c>
    </row>
    <row r="30" spans="1:20" x14ac:dyDescent="0.25">
      <c r="A30" s="35"/>
      <c r="B30" s="27" t="str">
        <f>'3.35'!E1</f>
        <v>03:35:07-03:35:54 PM</v>
      </c>
      <c r="C30" s="101">
        <f>'3.35'!F9</f>
        <v>2338.1009424567378</v>
      </c>
      <c r="D30" s="101">
        <f>'3.35'!M9</f>
        <v>2287.3740582735772</v>
      </c>
      <c r="E30" s="101">
        <f>'3.35'!T9</f>
        <v>2085.777603962978</v>
      </c>
    </row>
    <row r="31" spans="1:20" x14ac:dyDescent="0.25">
      <c r="A31" s="35"/>
      <c r="B31" s="27" t="str">
        <f>'3.40'!E1</f>
        <v>03:40:00-03:40:39 PM</v>
      </c>
      <c r="C31" s="101">
        <f>'3.40'!F9</f>
        <v>1991.7085909030552</v>
      </c>
      <c r="D31" s="101" t="s">
        <v>72</v>
      </c>
      <c r="E31" s="101" t="s">
        <v>72</v>
      </c>
    </row>
    <row r="32" spans="1:20" x14ac:dyDescent="0.25">
      <c r="A32" s="35"/>
      <c r="B32" s="27" t="str">
        <f>'5.02'!E1</f>
        <v>05:02:08-05:02:46 PM</v>
      </c>
      <c r="C32" s="101">
        <f>'5.02'!F9</f>
        <v>1844.5715563339613</v>
      </c>
      <c r="D32" s="101" t="s">
        <v>72</v>
      </c>
      <c r="E32" s="101" t="s">
        <v>72</v>
      </c>
    </row>
    <row r="33" spans="1:7" x14ac:dyDescent="0.25">
      <c r="A33" s="35"/>
      <c r="B33" s="27" t="str">
        <f>'5.11'!E1</f>
        <v>05:11:50-05:12:35 PM</v>
      </c>
      <c r="C33" s="101">
        <f>'5.11'!F9</f>
        <v>1899.2762888389589</v>
      </c>
      <c r="D33" s="101">
        <f>'5.11'!M9</f>
        <v>1762.434957757511</v>
      </c>
      <c r="E33" s="101">
        <f>'5.11'!T9</f>
        <v>4182.2949513725234</v>
      </c>
      <c r="G33" s="48"/>
    </row>
    <row r="34" spans="1:7" x14ac:dyDescent="0.25">
      <c r="A34" s="35"/>
      <c r="B34" s="27" t="str">
        <f>'5.21'!E1</f>
        <v>05:21:28-05:22:11 PM</v>
      </c>
      <c r="C34" s="101">
        <f>'5.21'!F9</f>
        <v>2090.1877298238819</v>
      </c>
      <c r="D34" s="101">
        <f>'5.21'!M9</f>
        <v>2056.4713562918223</v>
      </c>
      <c r="E34" s="101">
        <f>'5.21'!T9</f>
        <v>2479.5523030563932</v>
      </c>
      <c r="G34" s="120"/>
    </row>
    <row r="38" spans="1:7" x14ac:dyDescent="0.25">
      <c r="C38" s="34"/>
      <c r="D38" s="34"/>
      <c r="E38" s="34"/>
    </row>
    <row r="39" spans="1:7" x14ac:dyDescent="0.25">
      <c r="C39" s="34"/>
      <c r="D39" s="34"/>
      <c r="E39" s="34"/>
    </row>
    <row r="40" spans="1:7" x14ac:dyDescent="0.25">
      <c r="B40" s="129" t="s">
        <v>67</v>
      </c>
      <c r="C40" s="47" t="s">
        <v>16</v>
      </c>
      <c r="D40" s="47" t="s">
        <v>10</v>
      </c>
      <c r="E40" s="47" t="s">
        <v>15</v>
      </c>
    </row>
    <row r="41" spans="1:7" x14ac:dyDescent="0.25">
      <c r="B41" s="127" t="s">
        <v>4</v>
      </c>
      <c r="C41" s="156">
        <f>C48/$C$55</f>
        <v>0.59090909090909094</v>
      </c>
      <c r="D41" s="156">
        <f>D48/$D$55</f>
        <v>0.79640718562874246</v>
      </c>
      <c r="E41" s="156">
        <f>E48/$E$55</f>
        <v>0.33471074380165289</v>
      </c>
    </row>
    <row r="42" spans="1:7" x14ac:dyDescent="0.25">
      <c r="B42" s="127" t="s">
        <v>69</v>
      </c>
      <c r="C42" s="156">
        <f t="shared" ref="C42:C44" si="4">C49/$C$55</f>
        <v>0.19090909090909092</v>
      </c>
      <c r="D42" s="156">
        <f t="shared" ref="D42:D44" si="5">D49/$D$55</f>
        <v>9.580838323353294E-2</v>
      </c>
      <c r="E42" s="156">
        <f t="shared" ref="E42:E44" si="6">E49/$E$55</f>
        <v>0.23966942148760331</v>
      </c>
    </row>
    <row r="43" spans="1:7" x14ac:dyDescent="0.25">
      <c r="B43" s="127" t="s">
        <v>5</v>
      </c>
      <c r="C43" s="156">
        <f t="shared" si="4"/>
        <v>0.20454545454545456</v>
      </c>
      <c r="D43" s="156">
        <f t="shared" si="5"/>
        <v>0.10179640718562874</v>
      </c>
      <c r="E43" s="156">
        <f t="shared" si="6"/>
        <v>0.4049586776859504</v>
      </c>
    </row>
    <row r="44" spans="1:7" x14ac:dyDescent="0.25">
      <c r="B44" s="127" t="s">
        <v>7</v>
      </c>
      <c r="C44" s="156">
        <f t="shared" si="4"/>
        <v>0</v>
      </c>
      <c r="D44" s="156">
        <f t="shared" si="5"/>
        <v>0</v>
      </c>
      <c r="E44" s="156">
        <f t="shared" si="6"/>
        <v>0</v>
      </c>
    </row>
    <row r="45" spans="1:7" x14ac:dyDescent="0.25">
      <c r="C45" s="157">
        <f>SUM(C41:C44)</f>
        <v>0.98636363636363644</v>
      </c>
      <c r="D45" s="157">
        <f>SUM(D41:D44)</f>
        <v>0.99401197604790414</v>
      </c>
      <c r="E45" s="157">
        <f>SUM(E41:E44)</f>
        <v>0.97933884297520657</v>
      </c>
    </row>
    <row r="46" spans="1:7" x14ac:dyDescent="0.25">
      <c r="C46" s="131"/>
      <c r="D46" s="131"/>
      <c r="E46" s="131"/>
    </row>
    <row r="47" spans="1:7" x14ac:dyDescent="0.25">
      <c r="B47" s="129" t="s">
        <v>68</v>
      </c>
      <c r="C47" s="47" t="s">
        <v>16</v>
      </c>
      <c r="D47" s="47" t="s">
        <v>10</v>
      </c>
      <c r="E47" s="47" t="s">
        <v>15</v>
      </c>
    </row>
    <row r="48" spans="1:7" x14ac:dyDescent="0.25">
      <c r="B48" s="158" t="s">
        <v>4</v>
      </c>
      <c r="C48" s="130">
        <f>COUNTIF('8.15'!$B$14:$B$22,Log!B48)+COUNTIF('08.58'!$B$13:$B$26,Log!B48)+COUNTIF('9.03'!$B$24:$B$35,Log!B48)+COUNTIF('12.07'!$B$15:$B$30,Log!B48)+COUNTIF('12.16'!$B$13:$B$36,Log!B48)+COUNTIF('1.00'!$B$14:$B$33,Log!B48)+COUNTIF('1.04'!$B$13:$B$28,Log!B48)+COUNTIF('3.01'!$B$17:$B$26,Log!B48)+COUNTIF('3.35'!$B$15:$B$34,Log!B48)+COUNTIF('3.40'!$B$17:$B$35,Log!B48)+COUNTIF('5.02'!$B$21:$B$36,Log!B48)+COUNTIF('5.11'!$B$13:$B$38,Log!B48)+COUNTIF('5.21'!$B$26:$B$43,Log!B48)</f>
        <v>130</v>
      </c>
      <c r="D48" s="130">
        <f>COUNTIF('8.15'!$I$13:$I$27,Log!B48)+COUNTIF('08.58'!$I$14:$I$22,Log!B48)+COUNTIF('9.03'!$I$21:$I$32,Log!B48)+COUNTIF('12.07'!$I$13:$I$27,Log!B48)+COUNTIF('12.16'!$I$13:$I$33,Log!B48)+COUNTIF('1.00'!$I$20:$I$30,Log!B48)+COUNTIF('1.04'!$I$13:$I$20,Log!B48)+COUNTIF('3.01'!$I$15:$I$22,Log!B48)+COUNTIF('3.35'!$I$21:$I$35,Log!B48)+COUNTIF('3.40'!$I$13:$I$30,Log!B48)+COUNTIF('5.02'!$I$13:$I$27,Log!B48)+COUNTIF('5.11'!$I$13:$I$23,Log!B48)+COUNTIF('5.21'!$I$13:$I$21,Log!B48)</f>
        <v>133</v>
      </c>
      <c r="E48" s="130">
        <f>COUNTIF('8.15'!$P$13:$P$29,Log!B48)+COUNTIF('08.58'!$P$15:$P$48,Log!B48)+COUNTIF('9.03'!$P$29:$P$48,Log!B48)+COUNTIF('12.07'!$P$21:$P$29,Log!B48)+COUNTIF('12.16'!$P$14:$P$28,Log!B48)+COUNTIF('1.00'!$P$13:$P$38,Log!B48)+COUNTIF('1.04'!$P$13:$P$25,Log!B48)+COUNTIF('3.01'!$P$13:$P$22,Log!B48)+COUNTIF('3.35'!$P$13:$P$34,Log!B48)+COUNTIF('3.40'!$P$13:$P$29,Log!B48)+COUNTIF('5.02'!$P$13:$P$28,Log!B48)+COUNTIF('5.11'!$P$13:$P$32,Log!B48)+COUNTIF('5.21'!$P$13:$P$35,Log!B48)</f>
        <v>81</v>
      </c>
    </row>
    <row r="49" spans="2:6" x14ac:dyDescent="0.25">
      <c r="B49" s="158" t="s">
        <v>6</v>
      </c>
      <c r="C49" s="130">
        <f>COUNTIF('8.15'!$B$14:$B$22,Log!B49)+COUNTIF('08.58'!$B$13:$B$26,Log!B49)+COUNTIF('9.03'!$B$24:$B$35,Log!B49)+COUNTIF('12.07'!$B$15:$B$30,Log!B49)+COUNTIF('12.16'!$B$13:$B$36,Log!B49)+COUNTIF('1.00'!$B$14:$B$33,Log!B49)+COUNTIF('1.04'!$B$13:$B$28,Log!B49)+COUNTIF('3.01'!$B$17:$B$26,Log!B49)+COUNTIF('3.35'!$B$15:$B$34,Log!B49)+COUNTIF('3.40'!$B$17:$B$35,Log!B49)+COUNTIF('5.02'!$B$21:$B$36,Log!B49)+COUNTIF('5.11'!$B$13:$B$38,Log!B49)+COUNTIF('5.21'!$B$26:$B$43,Log!B49)</f>
        <v>42</v>
      </c>
      <c r="D49" s="130">
        <f>COUNTIF('8.15'!$I$13:$I$27,Log!B49)+COUNTIF('08.58'!$I$14:$I$22,Log!B49)+COUNTIF('9.03'!$I$21:$I$32,Log!B49)+COUNTIF('12.07'!$I$13:$I$27,Log!B49)+COUNTIF('12.16'!$I$13:$I$33,Log!B49)+COUNTIF('1.00'!$I$20:$I$30,Log!B49)+COUNTIF('1.04'!$I$13:$I$20,Log!B49)+COUNTIF('3.01'!$I$15:$I$22,Log!B49)+COUNTIF('3.35'!$I$21:$I$35,Log!B49)+COUNTIF('3.40'!$I$13:$I$30,Log!B49)+COUNTIF('5.02'!$I$13:$I$27,Log!B49)+COUNTIF('5.11'!$I$13:$I$23,Log!B49)+COUNTIF('5.21'!$I$13:$I$21,Log!B49)</f>
        <v>16</v>
      </c>
      <c r="E49" s="130">
        <f>COUNTIF('8.15'!$P$13:$P$29,Log!B49)+COUNTIF('08.58'!$P$15:$P$48,Log!B49)+COUNTIF('9.03'!$P$29:$P$48,Log!B49)+COUNTIF('12.07'!$P$21:$P$29,Log!B49)+COUNTIF('12.16'!$P$14:$P$28,Log!B49)+COUNTIF('1.00'!$P$13:$P$38,Log!B49)+COUNTIF('1.04'!$P$13:$P$25,Log!B49)+COUNTIF('3.01'!$P$13:$P$22,Log!B49)+COUNTIF('3.35'!$P$13:$P$34,Log!B49)+COUNTIF('3.40'!$P$13:$P$29,Log!B49)+COUNTIF('5.02'!$P$13:$P$28,Log!B49)+COUNTIF('5.11'!$P$13:$P$32,Log!B49)+COUNTIF('5.21'!$P$13:$P$35,Log!B49)</f>
        <v>58</v>
      </c>
    </row>
    <row r="50" spans="2:6" x14ac:dyDescent="0.25">
      <c r="B50" s="158" t="s">
        <v>5</v>
      </c>
      <c r="C50" s="130">
        <f>COUNTIF('8.15'!$B$14:$B$22,Log!B50)+COUNTIF('08.58'!$B$13:$B$26,Log!B50)+COUNTIF('9.03'!$B$24:$B$35,Log!B50)+COUNTIF('12.07'!$B$15:$B$30,Log!B50)+COUNTIF('12.16'!$B$13:$B$36,Log!B50)+COUNTIF('1.00'!$B$14:$B$33,Log!B50)+COUNTIF('1.04'!$B$13:$B$28,Log!B50)+COUNTIF('3.01'!$B$17:$B$26,Log!B50)+COUNTIF('3.35'!$B$15:$B$34,Log!B50)+COUNTIF('3.40'!$B$17:$B$35,Log!B50)+COUNTIF('5.02'!$B$21:$B$36,Log!B50)+COUNTIF('5.11'!$B$13:$B$38,Log!B50)+COUNTIF('5.21'!$B$26:$B$43,Log!B50)</f>
        <v>45</v>
      </c>
      <c r="D50" s="130">
        <f>COUNTIF('8.15'!$I$13:$I$27,Log!B50)+COUNTIF('08.58'!$I$14:$I$22,Log!B50)+COUNTIF('9.03'!$I$21:$I$32,Log!B50)+COUNTIF('12.07'!$I$13:$I$27,Log!B50)+COUNTIF('12.16'!$I$13:$I$33,Log!B50)+COUNTIF('1.00'!$I$20:$I$30,Log!B50)+COUNTIF('1.04'!$I$13:$I$20,Log!B50)+COUNTIF('3.01'!$I$15:$I$22,Log!B50)+COUNTIF('3.35'!$I$21:$I$35,Log!B50)+COUNTIF('3.40'!$I$13:$I$30,Log!B50)+COUNTIF('5.02'!$I$13:$I$27,Log!B50)+COUNTIF('5.11'!$I$13:$I$23,Log!B50)+COUNTIF('5.21'!$I$13:$I$21,Log!B50)</f>
        <v>17</v>
      </c>
      <c r="E50" s="130">
        <f>COUNTIF('8.15'!$P$13:$P$29,Log!B50)+COUNTIF('08.58'!$P$15:$P$48,Log!B50)+COUNTIF('9.03'!$P$29:$P$48,Log!B50)+COUNTIF('12.07'!$P$21:$P$29,Log!B50)+COUNTIF('12.16'!$P$14:$P$28,Log!B50)+COUNTIF('1.00'!$P$13:$P$38,Log!B50)+COUNTIF('1.04'!$P$13:$P$25,Log!B50)+COUNTIF('3.01'!$P$13:$P$22,Log!B50)+COUNTIF('3.35'!$P$13:$P$34,Log!B50)+COUNTIF('3.40'!$P$13:$P$29,Log!B50)+COUNTIF('5.02'!$P$13:$P$28,Log!B50)+COUNTIF('5.11'!$P$13:$P$32,Log!B50)+COUNTIF('5.21'!$P$13:$P$35,Log!B50)</f>
        <v>98</v>
      </c>
    </row>
    <row r="51" spans="2:6" x14ac:dyDescent="0.25">
      <c r="B51" s="158" t="s">
        <v>18</v>
      </c>
      <c r="C51" s="130">
        <f>COUNTIF('8.15'!$B$14:$B$22,Log!B51)+COUNTIF('08.58'!$B$13:$B$26,Log!B51)+COUNTIF('9.03'!$B$24:$B$35,Log!B51)+COUNTIF('12.07'!$B$15:$B$30,Log!B51)+COUNTIF('12.16'!$B$13:$B$36,Log!B51)+COUNTIF('1.00'!$B$14:$B$33,Log!B51)+COUNTIF('1.04'!$B$13:$B$28,Log!B51)+COUNTIF('3.01'!$B$17:$B$26,Log!B51)+COUNTIF('3.35'!$B$15:$B$34,Log!B51)+COUNTIF('3.40'!$B$17:$B$35,Log!B51)+COUNTIF('5.02'!$B$21:$B$36,Log!B51)+COUNTIF('5.11'!$B$13:$B$38,Log!B51)+COUNTIF('5.21'!$B$26:$B$43,Log!B51)</f>
        <v>0</v>
      </c>
      <c r="D51" s="130">
        <f>COUNTIF('8.15'!$I$13:$I$27,Log!B51)+COUNTIF('08.58'!$I$14:$I$22,Log!B51)+COUNTIF('9.03'!$I$21:$I$32,Log!B51)+COUNTIF('12.07'!$I$13:$I$27,Log!B51)+COUNTIF('12.16'!$I$13:$I$33,Log!B51)+COUNTIF('1.00'!$I$20:$I$30,Log!B51)+COUNTIF('1.04'!$I$13:$I$20,Log!B51)+COUNTIF('3.01'!$I$15:$I$22,Log!B51)+COUNTIF('3.35'!$I$21:$I$35,Log!B51)+COUNTIF('3.40'!$I$13:$I$30,Log!B51)+COUNTIF('5.02'!$I$13:$I$27,Log!B51)+COUNTIF('5.11'!$I$13:$I$23,Log!B51)+COUNTIF('5.21'!$I$13:$I$21,Log!B51)</f>
        <v>0</v>
      </c>
      <c r="E51" s="130">
        <f>COUNTIF('8.15'!$P$13:$P$29,Log!B51)+COUNTIF('08.58'!$P$15:$P$48,Log!B51)+COUNTIF('9.03'!$P$29:$P$48,Log!B51)+COUNTIF('12.07'!$P$21:$P$29,Log!B51)+COUNTIF('12.16'!$P$14:$P$28,Log!B51)+COUNTIF('1.00'!$P$13:$P$38,Log!B51)+COUNTIF('1.04'!$P$13:$P$25,Log!B51)+COUNTIF('3.01'!$P$13:$P$22,Log!B51)+COUNTIF('3.35'!$P$13:$P$34,Log!B51)+COUNTIF('3.40'!$P$13:$P$29,Log!B51)+COUNTIF('5.02'!$P$13:$P$28,Log!B51)+COUNTIF('5.11'!$P$13:$P$32,Log!B51)+COUNTIF('5.21'!$P$13:$P$35,Log!B51)</f>
        <v>0</v>
      </c>
    </row>
    <row r="52" spans="2:6" x14ac:dyDescent="0.25">
      <c r="B52" s="158" t="s">
        <v>7</v>
      </c>
      <c r="C52" s="130">
        <f>COUNTIF('8.15'!$B$14:$B$22,Log!B52)+COUNTIF('08.58'!$B$13:$B$26,Log!B52)+COUNTIF('9.03'!$B$24:$B$35,Log!B52)+COUNTIF('12.07'!$B$15:$B$30,Log!B52)+COUNTIF('12.16'!$B$13:$B$36,Log!B52)+COUNTIF('1.00'!$B$14:$B$33,Log!B52)+COUNTIF('1.04'!$B$13:$B$28,Log!B52)+COUNTIF('3.01'!$B$17:$B$26,Log!B52)+COUNTIF('3.35'!$B$15:$B$34,Log!B52)+COUNTIF('3.40'!$B$17:$B$35,Log!B52)+COUNTIF('5.02'!$B$21:$B$36,Log!B52)+COUNTIF('5.11'!$B$13:$B$38,Log!B52)+COUNTIF('5.21'!$B$26:$B$43,Log!B52)</f>
        <v>2</v>
      </c>
      <c r="D52" s="130">
        <f>COUNTIF('8.15'!$I$13:$I$27,Log!B52)+COUNTIF('08.58'!$I$14:$I$22,Log!B52)+COUNTIF('9.03'!$I$21:$I$32,Log!B52)+COUNTIF('12.07'!$I$13:$I$27,Log!B52)+COUNTIF('12.16'!$I$13:$I$33,Log!B52)+COUNTIF('1.00'!$I$20:$I$30,Log!B52)+COUNTIF('1.04'!$I$13:$I$20,Log!B52)+COUNTIF('3.01'!$I$15:$I$22,Log!B52)+COUNTIF('3.35'!$I$21:$I$35,Log!B52)+COUNTIF('3.40'!$I$13:$I$30,Log!B52)+COUNTIF('5.02'!$I$13:$I$27,Log!B52)+COUNTIF('5.11'!$I$13:$I$23,Log!B52)+COUNTIF('5.21'!$I$13:$I$21,Log!B52)</f>
        <v>1</v>
      </c>
      <c r="E52" s="130">
        <f>COUNTIF('8.15'!$P$13:$P$29,Log!B52)+COUNTIF('08.58'!$P$15:$P$48,Log!B52)+COUNTIF('9.03'!$P$29:$P$48,Log!B52)+COUNTIF('12.07'!$P$21:$P$29,Log!B52)+COUNTIF('12.16'!$P$14:$P$28,Log!B52)+COUNTIF('1.00'!$P$13:$P$38,Log!B52)+COUNTIF('1.04'!$P$13:$P$25,Log!B52)+COUNTIF('3.01'!$P$13:$P$22,Log!B52)+COUNTIF('3.35'!$P$13:$P$34,Log!B52)+COUNTIF('3.40'!$P$13:$P$29,Log!B52)+COUNTIF('5.02'!$P$13:$P$28,Log!B52)+COUNTIF('5.11'!$P$13:$P$32,Log!B52)+COUNTIF('5.21'!$P$13:$P$35,Log!B52)</f>
        <v>4</v>
      </c>
    </row>
    <row r="53" spans="2:6" x14ac:dyDescent="0.25">
      <c r="B53" s="158" t="s">
        <v>23</v>
      </c>
      <c r="C53" s="130">
        <f>COUNTIF('8.15'!$B$14:$B$22,Log!B53)+COUNTIF('08.58'!$B$13:$B$26,Log!B53)+COUNTIF('9.03'!$B$24:$B$35,Log!B53)+COUNTIF('12.07'!$B$15:$B$30,Log!B53)+COUNTIF('12.16'!$B$13:$B$36,Log!B53)+COUNTIF('1.00'!$B$14:$B$33,Log!B53)+COUNTIF('1.04'!$B$13:$B$28,Log!B53)+COUNTIF('3.01'!$B$17:$B$26,Log!B53)+COUNTIF('3.35'!$B$15:$B$34,Log!B53)+COUNTIF('3.40'!$B$17:$B$35,Log!B53)+COUNTIF('5.02'!$B$21:$B$36,Log!B53)+COUNTIF('5.11'!$B$13:$B$38,Log!B53)+COUNTIF('5.21'!$B$26:$B$43,Log!B53)</f>
        <v>1</v>
      </c>
      <c r="D53" s="130">
        <f>COUNTIF('8.15'!$I$13:$I$27,Log!B53)+COUNTIF('08.58'!$I$14:$I$22,Log!B53)+COUNTIF('9.03'!$I$21:$I$32,Log!B53)+COUNTIF('12.07'!$I$13:$I$27,Log!B53)+COUNTIF('12.16'!$I$13:$I$33,Log!B53)+COUNTIF('1.00'!$I$20:$I$30,Log!B53)+COUNTIF('1.04'!$I$13:$I$20,Log!B53)+COUNTIF('3.01'!$I$15:$I$22,Log!B53)+COUNTIF('3.35'!$I$21:$I$35,Log!B53)+COUNTIF('3.40'!$I$13:$I$30,Log!B53)+COUNTIF('5.02'!$I$13:$I$27,Log!B53)+COUNTIF('5.11'!$I$13:$I$23,Log!B53)+COUNTIF('5.21'!$I$13:$I$21,Log!B53)</f>
        <v>0</v>
      </c>
      <c r="E53" s="130">
        <f>COUNTIF('8.15'!$P$13:$P$29,Log!B53)+COUNTIF('08.58'!$P$15:$P$48,Log!B53)+COUNTIF('9.03'!$P$29:$P$48,Log!B53)+COUNTIF('12.07'!$P$21:$P$29,Log!B53)+COUNTIF('12.16'!$P$14:$P$28,Log!B53)+COUNTIF('1.00'!$P$13:$P$38,Log!B53)+COUNTIF('1.04'!$P$13:$P$25,Log!B53)+COUNTIF('3.01'!$P$13:$P$22,Log!B53)+COUNTIF('3.35'!$P$13:$P$34,Log!B53)+COUNTIF('3.40'!$P$13:$P$29,Log!B53)+COUNTIF('5.02'!$P$13:$P$28,Log!B53)+COUNTIF('5.11'!$P$13:$P$32,Log!B53)+COUNTIF('5.21'!$P$13:$P$35,Log!B53)</f>
        <v>1</v>
      </c>
    </row>
    <row r="54" spans="2:6" x14ac:dyDescent="0.25">
      <c r="B54" s="158" t="s">
        <v>17</v>
      </c>
      <c r="C54" s="130">
        <f>COUNTIF('8.15'!$B$14:$B$22,Log!B54)+COUNTIF('08.58'!$B$13:$B$26,Log!B54)+COUNTIF('9.03'!$B$24:$B$35,Log!B54)+COUNTIF('12.07'!$B$15:$B$30,Log!B54)+COUNTIF('12.16'!$B$13:$B$36,Log!B54)+COUNTIF('1.00'!$B$14:$B$33,Log!B54)+COUNTIF('1.04'!$B$13:$B$28,Log!B54)+COUNTIF('3.01'!$B$17:$B$26,Log!B54)+COUNTIF('3.35'!$B$15:$B$34,Log!B54)+COUNTIF('3.40'!$B$17:$B$35,Log!B54)+COUNTIF('5.02'!$B$21:$B$36,Log!B54)+COUNTIF('5.11'!$B$13:$B$38,Log!B54)+COUNTIF('5.21'!$B$26:$B$43,Log!B54)</f>
        <v>0</v>
      </c>
      <c r="D54" s="130">
        <f>COUNTIF('8.15'!$I$13:$I$27,Log!B54)+COUNTIF('08.58'!$I$14:$I$22,Log!B54)+COUNTIF('9.03'!$I$21:$I$32,Log!B54)+COUNTIF('12.07'!$I$13:$I$27,Log!B54)+COUNTIF('12.16'!$I$13:$I$33,Log!B54)+COUNTIF('1.00'!$I$20:$I$30,Log!B54)+COUNTIF('1.04'!$I$13:$I$20,Log!B54)+COUNTIF('3.01'!$I$15:$I$22,Log!B54)+COUNTIF('3.35'!$I$21:$I$35,Log!B54)+COUNTIF('3.40'!$I$13:$I$30,Log!B54)+COUNTIF('5.02'!$I$13:$I$27,Log!B54)+COUNTIF('5.11'!$I$13:$I$23,Log!B54)+COUNTIF('5.21'!$I$13:$I$21,Log!B54)</f>
        <v>0</v>
      </c>
      <c r="E54" s="130">
        <f>COUNTIF('8.15'!$P$13:$P$29,Log!B54)+COUNTIF('08.58'!$P$15:$P$48,Log!B54)+COUNTIF('9.03'!$P$29:$P$48,Log!B54)+COUNTIF('12.07'!$P$21:$P$29,Log!B54)+COUNTIF('12.16'!$P$14:$P$28,Log!B54)+COUNTIF('1.00'!$P$13:$P$38,Log!B54)+COUNTIF('1.04'!$P$13:$P$25,Log!B54)+COUNTIF('3.01'!$P$13:$P$22,Log!B54)+COUNTIF('3.35'!$P$13:$P$34,Log!B54)+COUNTIF('3.40'!$P$13:$P$29,Log!B54)+COUNTIF('5.02'!$P$13:$P$28,Log!B54)+COUNTIF('5.11'!$P$13:$P$32,Log!B54)+COUNTIF('5.21'!$P$13:$P$35,Log!B54)</f>
        <v>0</v>
      </c>
    </row>
    <row r="55" spans="2:6" x14ac:dyDescent="0.25">
      <c r="B55" s="129" t="s">
        <v>70</v>
      </c>
      <c r="C55" s="130">
        <f>SUM(C48:C54)</f>
        <v>220</v>
      </c>
      <c r="D55" s="130">
        <f>SUM(D48:D54)</f>
        <v>167</v>
      </c>
      <c r="E55" s="130">
        <f>SUM(E48:E54)</f>
        <v>242</v>
      </c>
    </row>
    <row r="61" spans="2:6" x14ac:dyDescent="0.25">
      <c r="F61" s="35"/>
    </row>
    <row r="62" spans="2:6" x14ac:dyDescent="0.25">
      <c r="F62" s="35"/>
    </row>
    <row r="63" spans="2:6" x14ac:dyDescent="0.25">
      <c r="F63" s="35"/>
    </row>
  </sheetData>
  <mergeCells count="6">
    <mergeCell ref="B20:B21"/>
    <mergeCell ref="C20:E20"/>
    <mergeCell ref="B1:C1"/>
    <mergeCell ref="B10:D10"/>
    <mergeCell ref="C15:D15"/>
    <mergeCell ref="C14:D14"/>
  </mergeCells>
  <phoneticPr fontId="15" type="noConversion"/>
  <pageMargins left="0.7" right="0.7" top="0.75" bottom="0.75" header="0.3" footer="0.3"/>
  <pageSetup paperSize="9" orientation="landscape" r:id="rId1"/>
  <colBreaks count="1" manualBreakCount="1">
    <brk id="10" max="33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71A0-337F-466A-9075-ADBBA46629E7}">
  <sheetPr codeName="Sheet3"/>
  <dimension ref="A1:W86"/>
  <sheetViews>
    <sheetView tabSelected="1" topLeftCell="A12" zoomScaleNormal="100" workbookViewId="0">
      <selection activeCell="T13" sqref="T13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49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20.440000000000001</v>
      </c>
      <c r="M2" s="17">
        <f>SUM(M20:M28)</f>
        <v>21.844000000000001</v>
      </c>
      <c r="R2" s="4" t="s">
        <v>12</v>
      </c>
      <c r="S2" s="8">
        <f>SUM(S25:S28)</f>
        <v>1.8800000000000008</v>
      </c>
      <c r="T2" s="8">
        <f>SUM(T25:T28)</f>
        <v>2.1432000000000011</v>
      </c>
    </row>
    <row r="3" spans="1:20" x14ac:dyDescent="0.25">
      <c r="K3" s="4" t="s">
        <v>13</v>
      </c>
      <c r="L3" s="18">
        <f>AVERAGE(L24:L26)</f>
        <v>2.4266666666666659</v>
      </c>
      <c r="M3" s="19">
        <f>AVERAGE(M22:M29)</f>
        <v>2.3073333333333337</v>
      </c>
      <c r="R3" s="4" t="s">
        <v>13</v>
      </c>
      <c r="S3" s="9">
        <f>AVERAGE(S25:S28)</f>
        <v>0.4700000000000002</v>
      </c>
      <c r="T3" s="9">
        <f>AVERAGE(T23:T32)</f>
        <v>0.86508000000000007</v>
      </c>
    </row>
    <row r="4" spans="1:20" x14ac:dyDescent="0.25">
      <c r="A4" s="4" t="s">
        <v>4</v>
      </c>
      <c r="B4" s="128">
        <f>100*COUNTIF($B$14:$B$30,A4)/COUNTA($B$14:$B$30)</f>
        <v>58.823529411764703</v>
      </c>
      <c r="H4" s="4" t="s">
        <v>4</v>
      </c>
      <c r="I4" s="128">
        <f>100*COUNTIF($I$13:$I$27,H4)/COUNTA($I$13:$I$27)</f>
        <v>80</v>
      </c>
      <c r="K4" s="4" t="s">
        <v>1</v>
      </c>
      <c r="L4" s="20">
        <f>3600/L3</f>
        <v>1483.516483516484</v>
      </c>
      <c r="M4" s="21">
        <f>3600/M3</f>
        <v>1560.2427044206875</v>
      </c>
      <c r="O4" s="4" t="s">
        <v>4</v>
      </c>
      <c r="P4" s="128">
        <f>100*COUNTIF($P$13:$P$29,O4)/COUNTA($P$13:$P$29)</f>
        <v>5.882352941176471</v>
      </c>
      <c r="R4" s="4" t="s">
        <v>1</v>
      </c>
      <c r="S4" s="10">
        <f>3600/S3</f>
        <v>7659.574468085103</v>
      </c>
      <c r="T4" s="10">
        <f>3600/T3</f>
        <v>4161.4648356221387</v>
      </c>
    </row>
    <row r="5" spans="1:20" x14ac:dyDescent="0.25">
      <c r="A5" s="4" t="s">
        <v>6</v>
      </c>
      <c r="B5" s="128">
        <f t="shared" ref="B5:B9" si="0">100*COUNTIF($B$14:$B$30,A5)/COUNTA($B$14:$B$30)</f>
        <v>23.529411764705884</v>
      </c>
      <c r="H5" s="4" t="s">
        <v>6</v>
      </c>
      <c r="I5" s="128">
        <f t="shared" ref="I5:I9" si="1">100*COUNTIF($I$13:$I$27,H5)/COUNTA($I$13:$I$27)</f>
        <v>13.333333333333334</v>
      </c>
      <c r="O5" s="4" t="s">
        <v>6</v>
      </c>
      <c r="P5" s="128">
        <f t="shared" ref="P5:P9" si="2">100*COUNTIF($P$13:$P$29,O5)/COUNTA($P$13:$P$29)</f>
        <v>35.294117647058826</v>
      </c>
    </row>
    <row r="6" spans="1:20" x14ac:dyDescent="0.25">
      <c r="A6" s="4" t="s">
        <v>5</v>
      </c>
      <c r="B6" s="128">
        <f t="shared" si="0"/>
        <v>11.764705882352942</v>
      </c>
      <c r="E6" s="27" t="s">
        <v>22</v>
      </c>
      <c r="F6" s="27" t="s">
        <v>21</v>
      </c>
      <c r="H6" s="4" t="s">
        <v>5</v>
      </c>
      <c r="I6" s="128">
        <f t="shared" si="1"/>
        <v>6.666666666666667</v>
      </c>
      <c r="L6" s="27" t="s">
        <v>22</v>
      </c>
      <c r="M6" s="27" t="s">
        <v>21</v>
      </c>
      <c r="O6" s="4" t="s">
        <v>5</v>
      </c>
      <c r="P6" s="128">
        <f t="shared" si="2"/>
        <v>58.823529411764703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5.882352941176471</v>
      </c>
      <c r="D7" s="28" t="s">
        <v>20</v>
      </c>
      <c r="E7" s="23">
        <f>SUM(E14:E30)</f>
        <v>26.039999999999996</v>
      </c>
      <c r="F7" s="23">
        <f>SUM(F14:F30)</f>
        <v>25.828799999999994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29.400000000000002</v>
      </c>
      <c r="M7" s="23">
        <f>SUM(M14:M37)</f>
        <v>32.1248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7.2399999999999984</v>
      </c>
      <c r="T7" s="23">
        <f>SUM(T13:T23)</f>
        <v>7.5119999999999978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AVERAGEIF(E14:E30,"&lt;&gt;0")</f>
        <v>1.8599999999999997</v>
      </c>
      <c r="F8" s="26">
        <f>AVERAGEIF(F15:F22,"&lt;&gt;0")</f>
        <v>1.961714285714286</v>
      </c>
      <c r="H8" s="4" t="s">
        <v>7</v>
      </c>
      <c r="I8" s="128">
        <f t="shared" si="1"/>
        <v>0</v>
      </c>
      <c r="K8" s="28" t="s">
        <v>13</v>
      </c>
      <c r="L8" s="26">
        <f>AVERAGEIF(L14:L19,"&lt;&gt;0")</f>
        <v>2.2400000000000002</v>
      </c>
      <c r="M8" s="26">
        <f>AVERAGEIF(M15:M19,"&lt;&gt;0")</f>
        <v>1.4669333333333332</v>
      </c>
      <c r="O8" s="4" t="s">
        <v>7</v>
      </c>
      <c r="P8" s="128">
        <f t="shared" si="2"/>
        <v>0</v>
      </c>
      <c r="R8" s="28" t="s">
        <v>13</v>
      </c>
      <c r="S8" s="26">
        <f>AVERAGEIF(S14:S29,"&lt;&gt;0")</f>
        <v>1.1949999999999998</v>
      </c>
      <c r="T8" s="26">
        <f>AVERAGEIF(T14:T16,"&lt;&gt;0")</f>
        <v>1.022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1935.4838709677424</v>
      </c>
      <c r="F9" s="29">
        <f>3600/F8</f>
        <v>1835.1296242353624</v>
      </c>
      <c r="H9" s="4" t="s">
        <v>23</v>
      </c>
      <c r="I9" s="128">
        <f t="shared" si="1"/>
        <v>0</v>
      </c>
      <c r="K9" s="28" t="s">
        <v>1</v>
      </c>
      <c r="L9" s="25">
        <f>3600/L8</f>
        <v>1607.1428571428569</v>
      </c>
      <c r="M9" s="29">
        <f>3600/M8</f>
        <v>2454.0992546809675</v>
      </c>
      <c r="O9" s="4" t="s">
        <v>23</v>
      </c>
      <c r="P9" s="128">
        <f t="shared" si="2"/>
        <v>0</v>
      </c>
      <c r="R9" s="28" t="s">
        <v>1</v>
      </c>
      <c r="S9" s="25">
        <f>3600/S8</f>
        <v>3012.5523012552303</v>
      </c>
      <c r="T9" s="29">
        <f>3600/T8</f>
        <v>3522.504892367906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6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3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77" t="s">
        <v>11</v>
      </c>
      <c r="H12" s="55" t="s">
        <v>8</v>
      </c>
      <c r="I12" s="91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3" t="s">
        <v>8</v>
      </c>
      <c r="P12" s="3" t="s">
        <v>9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ht="15.75" thickBot="1" x14ac:dyDescent="0.3">
      <c r="A13" s="113">
        <v>8</v>
      </c>
      <c r="B13" s="113" t="s">
        <v>4</v>
      </c>
      <c r="C13" s="112">
        <f>VLOOKUP(B13,Log!$B$2:$C$8,2,)</f>
        <v>1</v>
      </c>
      <c r="D13" s="112">
        <v>2.88</v>
      </c>
      <c r="E13" s="138">
        <v>0</v>
      </c>
      <c r="F13" s="135">
        <v>0</v>
      </c>
      <c r="H13" s="109">
        <v>2</v>
      </c>
      <c r="I13" s="110" t="s">
        <v>4</v>
      </c>
      <c r="J13" s="112">
        <f>VLOOKUP(I13,Log!$B$2:$C$8,2,)</f>
        <v>1</v>
      </c>
      <c r="K13" s="113">
        <v>2.52</v>
      </c>
      <c r="L13" s="141">
        <v>0</v>
      </c>
      <c r="M13" s="114">
        <v>0</v>
      </c>
      <c r="N13" s="13"/>
      <c r="O13" s="113">
        <v>12</v>
      </c>
      <c r="P13" s="113" t="s">
        <v>5</v>
      </c>
      <c r="Q13" s="112">
        <f>VLOOKUP(P13,Log!$B$2:$C$8,2,)</f>
        <v>0.38</v>
      </c>
      <c r="R13" s="113">
        <v>1</v>
      </c>
      <c r="S13" s="141">
        <v>0</v>
      </c>
      <c r="T13" s="114">
        <v>0</v>
      </c>
    </row>
    <row r="14" spans="1:20" x14ac:dyDescent="0.25">
      <c r="A14" s="113">
        <v>29</v>
      </c>
      <c r="B14" s="113" t="s">
        <v>6</v>
      </c>
      <c r="C14" s="112">
        <f>VLOOKUP(B14,Log!$B$2:$C$8,2,)</f>
        <v>0.45</v>
      </c>
      <c r="D14" s="112">
        <v>5.12</v>
      </c>
      <c r="E14" s="138">
        <f>IF(OR(AND(B14="Motorbike",D14-D13&lt;Log!$C$13),AND(B14&lt;&gt;"Motorbike",D14-D13&lt;Log!$C$12)),0,D14-D13)</f>
        <v>2.2400000000000002</v>
      </c>
      <c r="F14" s="140">
        <f>IF(E15&lt;&gt;0,C14*E14,IF(E16=0,(C14+C15+C16)*E14,(C14+C15)*E14))</f>
        <v>1.0080000000000002</v>
      </c>
      <c r="H14" s="71">
        <v>4</v>
      </c>
      <c r="I14" s="60" t="s">
        <v>4</v>
      </c>
      <c r="J14" s="5">
        <f>VLOOKUP(I14,Log!$B$2:$C$8,2,)</f>
        <v>1</v>
      </c>
      <c r="K14" s="4">
        <v>4.4800000000000004</v>
      </c>
      <c r="L14" s="32">
        <f>IF(OR(AND(I14="Motorbike",K14-K13&lt;Log!$C$13),AND(I14&lt;&gt;"Motorbike",K14-K13&lt;Log!$C$12)),0,K14-K13)</f>
        <v>1.9600000000000004</v>
      </c>
      <c r="M14" s="32">
        <f>IF(L15&lt;&gt;0,J14*L14,IF(L16=0,(J14+J15+J16)*L14,(J14+J15)*L14))</f>
        <v>5.8800000000000008</v>
      </c>
      <c r="N14" s="13"/>
      <c r="O14" s="58">
        <v>3</v>
      </c>
      <c r="P14" s="54" t="s">
        <v>6</v>
      </c>
      <c r="Q14" s="5">
        <f>VLOOKUP(P14,Log!$B$2:$C$8,2,)</f>
        <v>0.45</v>
      </c>
      <c r="R14" s="4">
        <v>2.2000000000000002</v>
      </c>
      <c r="S14" s="32">
        <f>IF(OR(AND(P14="Motorbike",R14-R13&lt;Log!$C$13),AND(P14&lt;&gt;"Motorbike",R14-R13&lt;Log!$C$12)),0,R14-R13)</f>
        <v>1.2000000000000002</v>
      </c>
      <c r="T14" s="104">
        <f>IF(S15&lt;&gt;0,Q14*S14,IF(S16=0,(Q14+Q15+Q16)*S14,(Q14+Q15)*S14))</f>
        <v>0.54000000000000015</v>
      </c>
    </row>
    <row r="15" spans="1:20" x14ac:dyDescent="0.25">
      <c r="A15" s="4">
        <v>15</v>
      </c>
      <c r="B15" s="4" t="s">
        <v>4</v>
      </c>
      <c r="C15" s="5">
        <f>VLOOKUP(B15,Log!$B$2:$C$8,2,)</f>
        <v>1</v>
      </c>
      <c r="D15" s="5">
        <v>5.8</v>
      </c>
      <c r="E15" s="153">
        <f>D15-D14</f>
        <v>0.67999999999999972</v>
      </c>
      <c r="F15" s="133">
        <f t="shared" ref="F15:F30" si="3">IF(E16&lt;&gt;0,C15*E15,IF(E17=0,(C15+C16+C17)*E15,(C15+C16)*E15))</f>
        <v>0.67999999999999972</v>
      </c>
      <c r="H15" s="71">
        <v>6</v>
      </c>
      <c r="I15" s="60" t="s">
        <v>4</v>
      </c>
      <c r="J15" s="5">
        <f>VLOOKUP(I15,Log!$B$2:$C$8,2,)</f>
        <v>1</v>
      </c>
      <c r="K15" s="4">
        <v>5.08</v>
      </c>
      <c r="L15" s="32">
        <f>IF(OR(AND(I15="Motorbike",K15-K14&lt;Log!$C$13),AND(I15&lt;&gt;"Motorbike",K15-K14&lt;Log!$C$12)),0,K15-K14)</f>
        <v>0</v>
      </c>
      <c r="M15" s="32">
        <f t="shared" ref="M15:M27" si="4">IF(L16&lt;&gt;0,J15*L15,IF(L17=0,(J15+J16+J17)*L15,(J15+J16)*L15))</f>
        <v>0</v>
      </c>
      <c r="N15" s="13"/>
      <c r="O15" s="58">
        <v>5</v>
      </c>
      <c r="P15" s="54" t="s">
        <v>6</v>
      </c>
      <c r="Q15" s="5">
        <f>VLOOKUP(P15,Log!$B$2:$C$8,2,)</f>
        <v>0.45</v>
      </c>
      <c r="R15" s="4">
        <v>3.52</v>
      </c>
      <c r="S15" s="32">
        <f>IF(OR(AND(P15="Motorbike",R15-R14&lt;Log!$C$13),AND(P15&lt;&gt;"Motorbike",R15-R14&lt;Log!$C$12)),0,R15-R14)</f>
        <v>1.3199999999999998</v>
      </c>
      <c r="T15" s="104">
        <f t="shared" ref="T15:T39" si="5">IF(S16&lt;&gt;0,Q15*S15,IF(S17=0,(Q15+Q16+Q17)*S15,(Q15+Q16)*S15))</f>
        <v>0.59399999999999997</v>
      </c>
    </row>
    <row r="16" spans="1:20" x14ac:dyDescent="0.25">
      <c r="A16" s="4">
        <v>19</v>
      </c>
      <c r="B16" s="4" t="s">
        <v>4</v>
      </c>
      <c r="C16" s="5">
        <f>VLOOKUP(B16,Log!$B$2:$C$8,2,)</f>
        <v>1</v>
      </c>
      <c r="D16" s="5">
        <v>7.72</v>
      </c>
      <c r="E16" s="132">
        <f>IF(OR(AND(B16="Motorbike",D16-D15&lt;Log!$C$13),AND(B16&lt;&gt;"Motorbike",D16-D15&lt;Log!$C$12)),0,IF(E15&lt;&gt;0,D16-D15,IF(E14=0,D16-D13,D16-D14)))</f>
        <v>1.92</v>
      </c>
      <c r="F16" s="133">
        <f t="shared" si="3"/>
        <v>1.92</v>
      </c>
      <c r="H16" s="71">
        <v>15</v>
      </c>
      <c r="I16" s="60" t="s">
        <v>4</v>
      </c>
      <c r="J16" s="5">
        <f>VLOOKUP(I16,Log!$B$2:$C$8,2,)</f>
        <v>1</v>
      </c>
      <c r="K16" s="4">
        <v>6</v>
      </c>
      <c r="L16" s="32">
        <f>IF(OR(AND(I16="Motorbike",K16-K15&lt;Log!$C$13),AND(I16&lt;&gt;"Motorbike",K16-K15&lt;Log!$C$12)),0,IF(L15&lt;&gt;0,K16-K15,IF(L14=0,K16-K13,K16-K14)))</f>
        <v>0</v>
      </c>
      <c r="M16" s="32">
        <f t="shared" si="4"/>
        <v>0</v>
      </c>
      <c r="N16" s="13"/>
      <c r="O16" s="58">
        <v>13</v>
      </c>
      <c r="P16" s="54" t="s">
        <v>4</v>
      </c>
      <c r="Q16" s="5">
        <f>VLOOKUP(P16,Log!$B$2:$C$8,2,)</f>
        <v>1</v>
      </c>
      <c r="R16" s="4">
        <v>4.92</v>
      </c>
      <c r="S16" s="32">
        <f>IF(OR(AND(OR(P16="Motorbike",P16="CNG",),R16-R15&lt;Log!$C$13),AND(OR(P16&lt;&gt;"Motorbike",P16&lt;&gt;"CNG"),R16-R15&lt;Log!$C$12)),0,IF(S15&lt;&gt;0,R16-R15,IF(S14=0,R16-R13,R16-R14)))</f>
        <v>1.4</v>
      </c>
      <c r="T16" s="104">
        <f t="shared" si="5"/>
        <v>1.9319999999999997</v>
      </c>
    </row>
    <row r="17" spans="1:23" ht="15.75" thickBot="1" x14ac:dyDescent="0.3">
      <c r="A17" s="4">
        <v>46</v>
      </c>
      <c r="B17" s="4" t="s">
        <v>4</v>
      </c>
      <c r="C17" s="5">
        <f>VLOOKUP(B17,Log!$B$2:$C$8,2,)</f>
        <v>1</v>
      </c>
      <c r="D17" s="5">
        <v>9.68</v>
      </c>
      <c r="E17" s="132">
        <f>IF(OR(AND(B17="Motorbike",D17-D16&lt;Log!$C$13),AND(B17&lt;&gt;"Motorbike",D17-D16&lt;Log!$C$12)),0,IF(E16&lt;&gt;0,D17-D16,IF(E15=0,D17-D14,D17-D15)))</f>
        <v>1.96</v>
      </c>
      <c r="F17" s="133">
        <f t="shared" si="3"/>
        <v>1.96</v>
      </c>
      <c r="H17" s="71">
        <v>23</v>
      </c>
      <c r="I17" s="54" t="s">
        <v>4</v>
      </c>
      <c r="J17" s="5">
        <f>VLOOKUP(I17,Log!$B$2:$C$8,2,)</f>
        <v>1</v>
      </c>
      <c r="K17" s="4">
        <v>7.08</v>
      </c>
      <c r="L17" s="32">
        <f>IF(OR(AND(I17="Motorbike",K17-K16&lt;Log!$C$13),AND(I17&lt;&gt;"Motorbike",K17-K16&lt;Log!$C$12)),0,IF(L16&lt;&gt;0,K17-K16,IF(L15=0,K17-K14,K17-K15)))</f>
        <v>2.5999999999999996</v>
      </c>
      <c r="M17" s="32">
        <f t="shared" si="4"/>
        <v>2.5999999999999996</v>
      </c>
      <c r="N17" s="13"/>
      <c r="O17" s="58">
        <v>58</v>
      </c>
      <c r="P17" s="69" t="s">
        <v>5</v>
      </c>
      <c r="Q17" s="5">
        <f>VLOOKUP(P17,Log!$B$2:$C$8,2,)</f>
        <v>0.38</v>
      </c>
      <c r="R17" s="4">
        <v>5.72</v>
      </c>
      <c r="S17" s="32">
        <f>IF(OR(AND(OR(P17="Motorbike",P17="CNG",),R17-R16&lt;Log!$C$13),AND(OR(P17&lt;&gt;"Motorbike",P17&lt;&gt;"CNG"),R17-R16&lt;Log!$C$12)),0,IF(S16&lt;&gt;0,R17-R16,IF(S15=0,R17-R14,R17-R15)))</f>
        <v>0</v>
      </c>
      <c r="T17" s="104">
        <f t="shared" si="5"/>
        <v>0</v>
      </c>
    </row>
    <row r="18" spans="1:23" ht="15.75" thickBot="1" x14ac:dyDescent="0.3">
      <c r="A18" s="4">
        <v>32</v>
      </c>
      <c r="B18" s="4" t="s">
        <v>4</v>
      </c>
      <c r="C18" s="5">
        <f>VLOOKUP(B18,Log!$B$2:$C$8,2,)</f>
        <v>1</v>
      </c>
      <c r="D18" s="5">
        <v>11.88</v>
      </c>
      <c r="E18" s="132">
        <f>IF(OR(AND(B18="Motorbike",D18-D17&lt;Log!$C$13),AND(B18&lt;&gt;"Motorbike",D18-D17&lt;Log!$C$12)),0,IF(E17&lt;&gt;0,D18-D17,IF(E16=0,D18-D15,D18-D16)))</f>
        <v>2.2000000000000011</v>
      </c>
      <c r="F18" s="133">
        <f t="shared" si="3"/>
        <v>2.2000000000000011</v>
      </c>
      <c r="H18" s="64">
        <v>56</v>
      </c>
      <c r="I18" s="54" t="s">
        <v>6</v>
      </c>
      <c r="J18" s="5">
        <f>VLOOKUP(I18,Log!$B$2:$C$8,2,)</f>
        <v>0.45</v>
      </c>
      <c r="K18" s="4">
        <v>8.92</v>
      </c>
      <c r="L18" s="32">
        <f>IF(OR(AND(I18="Motorbike",K18-K17&lt;Log!$C$13),AND(I18&lt;&gt;"Motorbike",K18-K17&lt;Log!$C$12)),0,IF(L17&lt;&gt;0,K18-K17,IF(L16=0,K18-K15,K18-K16)))</f>
        <v>1.8399999999999999</v>
      </c>
      <c r="M18" s="32">
        <f t="shared" si="4"/>
        <v>0.82799999999999996</v>
      </c>
      <c r="N18" s="13"/>
      <c r="O18" s="58">
        <v>21</v>
      </c>
      <c r="P18" s="85" t="s">
        <v>6</v>
      </c>
      <c r="Q18" s="68">
        <f>VLOOKUP(P18,Log!$B$2:$C$8,2,)</f>
        <v>0.45</v>
      </c>
      <c r="R18" s="4">
        <v>6.8</v>
      </c>
      <c r="S18" s="32">
        <f>IF(OR(AND(OR(P18="Motorbike",P18="CNG",),R18-R17&lt;Log!$C$13),AND(OR(P18&lt;&gt;"Motorbike",P18&lt;&gt;"CNG"),R18-R17&lt;Log!$C$12)),0,IF(S17&lt;&gt;0,R18-R17,IF(S16=0,R18-R15,R18-R16)))</f>
        <v>1.88</v>
      </c>
      <c r="T18" s="104">
        <f t="shared" si="5"/>
        <v>1.6919999999999999</v>
      </c>
    </row>
    <row r="19" spans="1:23" ht="15.75" thickBot="1" x14ac:dyDescent="0.3">
      <c r="A19" s="4">
        <v>61</v>
      </c>
      <c r="B19" s="4" t="s">
        <v>4</v>
      </c>
      <c r="C19" s="5">
        <f>VLOOKUP(B19,Log!$B$2:$C$8,2,)</f>
        <v>1</v>
      </c>
      <c r="D19" s="5">
        <v>14.08</v>
      </c>
      <c r="E19" s="132">
        <f>IF(OR(AND(B19="Motorbike",D19-D18&lt;Log!$C$13),AND(B19&lt;&gt;"Motorbike",D19-D18&lt;Log!$C$12)),0,IF(E18&lt;&gt;0,D19-D18,IF(E17=0,D19-D16,D19-D17)))</f>
        <v>2.1999999999999993</v>
      </c>
      <c r="F19" s="133">
        <f t="shared" si="3"/>
        <v>2.1999999999999993</v>
      </c>
      <c r="H19" s="88">
        <v>80</v>
      </c>
      <c r="I19" s="54" t="s">
        <v>5</v>
      </c>
      <c r="J19" s="5">
        <f>VLOOKUP(I19,Log!$B$2:$C$8,2,)</f>
        <v>0.38</v>
      </c>
      <c r="K19" s="4">
        <v>11.48</v>
      </c>
      <c r="L19" s="32">
        <f>IF(OR(AND(I19="Motorbike",K19-K18&lt;Log!$C$13),AND(I19&lt;&gt;"Motorbike",K19-K18&lt;Log!$C$12)),0,IF(L18&lt;&gt;0,K19-K18,IF(L17=0,K19-K16,K19-K17)))</f>
        <v>2.5600000000000005</v>
      </c>
      <c r="M19" s="32">
        <f t="shared" si="4"/>
        <v>0.97280000000000022</v>
      </c>
      <c r="N19" s="13"/>
      <c r="O19" s="58">
        <v>36</v>
      </c>
      <c r="P19" s="86" t="s">
        <v>6</v>
      </c>
      <c r="Q19" s="68">
        <f>VLOOKUP(P19,Log!$B$2:$C$8,2,)</f>
        <v>0.45</v>
      </c>
      <c r="R19" s="4">
        <v>6.88</v>
      </c>
      <c r="S19" s="32">
        <f>IF(OR(AND(OR(P19="Motorbike",P19="CNG",),R19-R18&lt;Log!$C$13),AND(OR(P19&lt;&gt;"Motorbike",P19&lt;&gt;"CNG"),R19-R18&lt;Log!$C$12)),0,IF(S18&lt;&gt;0,R19-R18,IF(S17=0,R19-R16,R19-R17)))</f>
        <v>0</v>
      </c>
      <c r="T19" s="104">
        <f t="shared" si="5"/>
        <v>0</v>
      </c>
    </row>
    <row r="20" spans="1:23" x14ac:dyDescent="0.25">
      <c r="A20" s="4">
        <v>107</v>
      </c>
      <c r="B20" s="4" t="s">
        <v>5</v>
      </c>
      <c r="C20" s="5">
        <f>VLOOKUP(B20,Log!$B$2:$C$8,2,)</f>
        <v>0.38</v>
      </c>
      <c r="D20" s="5">
        <v>15.48</v>
      </c>
      <c r="E20" s="132">
        <f>IF(OR(AND(B20="Motorbike",D20-D19&lt;Log!$C$13),AND(B20&lt;&gt;"Motorbike",D20-D19&lt;Log!$C$12)),0,IF(E19&lt;&gt;0,D20-D19,IF(E18=0,D20-D17,D20-D18)))</f>
        <v>1.4000000000000004</v>
      </c>
      <c r="F20" s="133">
        <f t="shared" si="3"/>
        <v>1.9320000000000004</v>
      </c>
      <c r="H20" s="63">
        <v>116</v>
      </c>
      <c r="I20" s="54" t="s">
        <v>4</v>
      </c>
      <c r="J20" s="5">
        <f>VLOOKUP(I20,Log!$B$2:$C$8,2,)</f>
        <v>1</v>
      </c>
      <c r="K20" s="4">
        <v>17.600000000000001</v>
      </c>
      <c r="L20" s="32">
        <f>IF(OR(AND(I20="Motorbike",K20-K19&lt;Log!$C$13),AND(I20&lt;&gt;"Motorbike",K20-K19&lt;Log!$C$12)),0,IF(L19&lt;&gt;0,K20-K19,IF(L18=0,K20-K17,K20-K18)))</f>
        <v>6.120000000000001</v>
      </c>
      <c r="M20" s="32">
        <f t="shared" si="4"/>
        <v>6.120000000000001</v>
      </c>
      <c r="N20" s="13"/>
      <c r="O20" s="58">
        <v>79</v>
      </c>
      <c r="P20" s="70" t="s">
        <v>5</v>
      </c>
      <c r="Q20" s="5">
        <f>VLOOKUP(P20,Log!$B$2:$C$8,2,)</f>
        <v>0.38</v>
      </c>
      <c r="R20" s="4">
        <v>8.1199999999999992</v>
      </c>
      <c r="S20" s="32">
        <f>IF(OR(AND(OR(P20="Motorbike",P20="CNG",),R20-R19&lt;Log!$C$13),AND(OR(P20&lt;&gt;"Motorbike",P20&lt;&gt;"CNG"),R20-R19&lt;Log!$C$12)),0,IF(S19&lt;&gt;0,R20-R19,IF(S18=0,R20-R17,R20-R18)))</f>
        <v>1.3199999999999994</v>
      </c>
      <c r="T20" s="104">
        <f>S20*(0.38+0.38+0.38+0.38+0.45)</f>
        <v>2.6003999999999987</v>
      </c>
    </row>
    <row r="21" spans="1:23" x14ac:dyDescent="0.25">
      <c r="A21" s="4">
        <v>87</v>
      </c>
      <c r="B21" s="4" t="s">
        <v>4</v>
      </c>
      <c r="C21" s="5">
        <f>VLOOKUP(B21,Log!$B$2:$C$8,2,)</f>
        <v>1</v>
      </c>
      <c r="D21" s="5">
        <v>16.2</v>
      </c>
      <c r="E21" s="132">
        <f>IF(OR(AND(B21="Motorbike",D21-D20&lt;Log!$C$13),AND(B21&lt;&gt;"Motorbike",D21-D20&lt;Log!$C$12)),0,IF(E20&lt;&gt;0,D21-D20,IF(E19=0,D21-D18,D21-D19)))</f>
        <v>0</v>
      </c>
      <c r="F21" s="133">
        <f t="shared" si="3"/>
        <v>0</v>
      </c>
      <c r="H21" s="71">
        <v>90</v>
      </c>
      <c r="I21" s="54" t="s">
        <v>4</v>
      </c>
      <c r="J21" s="5">
        <f>VLOOKUP(I21,Log!$B$2:$C$8,2,)</f>
        <v>1</v>
      </c>
      <c r="K21" s="4">
        <v>19.48</v>
      </c>
      <c r="L21" s="32">
        <f>IF(OR(AND(I21="Motorbike",K21-K20&lt;Log!$C$13),AND(I21&lt;&gt;"Motorbike",K21-K20&lt;Log!$C$12)),0,IF(L20&lt;&gt;0,K21-K20,IF(L19=0,K21-K18,K21-K19)))</f>
        <v>1.879999999999999</v>
      </c>
      <c r="M21" s="32">
        <f t="shared" si="4"/>
        <v>1.879999999999999</v>
      </c>
      <c r="N21" s="13"/>
      <c r="O21" s="58">
        <v>20</v>
      </c>
      <c r="P21" s="54" t="s">
        <v>5</v>
      </c>
      <c r="Q21" s="5">
        <f>VLOOKUP(P21,Log!$B$2:$C$8,2,)</f>
        <v>0.38</v>
      </c>
      <c r="R21" s="4">
        <v>8.6</v>
      </c>
      <c r="S21" s="32">
        <f>IF(OR(AND(OR(P21="Motorbike",P21="CNG",),R21-R20&lt;Log!$C$13),AND(OR(P21&lt;&gt;"Motorbike",P21&lt;&gt;"CNG"),R21-R20&lt;Log!$C$12)),0,IF(S20&lt;&gt;0,R21-R20,IF(S19=0,R21-R18,R21-R19)))</f>
        <v>0</v>
      </c>
      <c r="T21" s="104">
        <f t="shared" si="5"/>
        <v>0</v>
      </c>
    </row>
    <row r="22" spans="1:23" ht="15.75" thickBot="1" x14ac:dyDescent="0.3">
      <c r="A22" s="4">
        <v>65</v>
      </c>
      <c r="B22" s="4" t="s">
        <v>4</v>
      </c>
      <c r="C22" s="5">
        <f>VLOOKUP(B22,Log!$B$2:$C$8,2,)</f>
        <v>1</v>
      </c>
      <c r="D22" s="5">
        <v>18.32</v>
      </c>
      <c r="E22" s="132">
        <f>IF(OR(AND(B22="Motorbike",D22-D21&lt;Log!$C$13),AND(B22&lt;&gt;"Motorbike",D22-D21&lt;Log!$C$12)),0,IF(E21&lt;&gt;0,D22-D21,IF(E20=0,D22-D19,D22-D20)))</f>
        <v>2.84</v>
      </c>
      <c r="F22" s="134">
        <f t="shared" si="3"/>
        <v>2.84</v>
      </c>
      <c r="H22" s="71">
        <v>137</v>
      </c>
      <c r="I22" s="54" t="s">
        <v>4</v>
      </c>
      <c r="J22" s="5">
        <f>VLOOKUP(I22,Log!$B$2:$C$8,2,)</f>
        <v>1</v>
      </c>
      <c r="K22" s="4">
        <v>22.6</v>
      </c>
      <c r="L22" s="32">
        <f>IF(OR(AND(I22="Motorbike",K22-K21&lt;Log!$C$13),AND(I22&lt;&gt;"Motorbike",K22-K21&lt;Log!$C$12)),0,IF(L21&lt;&gt;0,K22-K21,IF(L20=0,K22-K19,K22-K20)))</f>
        <v>3.120000000000001</v>
      </c>
      <c r="M22" s="32">
        <f t="shared" si="4"/>
        <v>4.5240000000000009</v>
      </c>
      <c r="N22" s="13"/>
      <c r="O22" s="58">
        <v>50</v>
      </c>
      <c r="P22" s="54" t="s">
        <v>5</v>
      </c>
      <c r="Q22" s="5">
        <f>VLOOKUP(P22,Log!$B$2:$C$8,2,)</f>
        <v>0.38</v>
      </c>
      <c r="R22" s="4">
        <v>9</v>
      </c>
      <c r="S22" s="32">
        <f>IF(OR(AND(OR(P22="Motorbike",P22="CNG",),R22-R21&lt;Log!$C$13),AND(OR(P22&lt;&gt;"Motorbike",P22&lt;&gt;"CNG"),R22-R21&lt;Log!$C$12)),0,IF(S21&lt;&gt;0,R22-R21,IF(S20=0,R22-R19,R22-R20)))</f>
        <v>0</v>
      </c>
      <c r="T22" s="104">
        <f t="shared" si="5"/>
        <v>0</v>
      </c>
    </row>
    <row r="23" spans="1:23" x14ac:dyDescent="0.25">
      <c r="A23" s="4">
        <v>121</v>
      </c>
      <c r="B23" s="4" t="s">
        <v>6</v>
      </c>
      <c r="C23" s="5">
        <f>VLOOKUP(B23,Log!$B$2:$C$8,2,)</f>
        <v>0.45</v>
      </c>
      <c r="D23" s="5">
        <v>21.28</v>
      </c>
      <c r="E23" s="132">
        <f>IF(OR(AND(B23="Motorbike",D23-D22&lt;Log!$C$13),AND(B23&lt;&gt;"Motorbike",D23-D22&lt;Log!$C$12)),0,IF(E22&lt;&gt;0,D23-D22,IF(E21=0,D23-D20,D23-D21)))</f>
        <v>2.9600000000000009</v>
      </c>
      <c r="F23" s="103">
        <f t="shared" si="3"/>
        <v>4.2920000000000007</v>
      </c>
      <c r="H23" s="71">
        <v>119</v>
      </c>
      <c r="I23" s="54" t="s">
        <v>6</v>
      </c>
      <c r="J23" s="5">
        <f>VLOOKUP(I23,Log!$B$2:$C$8,2,)</f>
        <v>0.45</v>
      </c>
      <c r="K23" s="4">
        <v>23.32</v>
      </c>
      <c r="L23" s="32">
        <f>IF(OR(AND(I23="Motorbike",K23-K22&lt;Log!$C$13),AND(I23&lt;&gt;"Motorbike",K23-K22&lt;Log!$C$12)),0,IF(L22&lt;&gt;0,K23-K22,IF(L21=0,K23-K20,K23-K21)))</f>
        <v>0</v>
      </c>
      <c r="M23" s="32">
        <f t="shared" si="4"/>
        <v>0</v>
      </c>
      <c r="N23" s="13"/>
      <c r="O23" s="58">
        <v>84</v>
      </c>
      <c r="P23" s="60" t="s">
        <v>5</v>
      </c>
      <c r="Q23" s="5">
        <f>VLOOKUP(P23,Log!$B$2:$C$8,2,)</f>
        <v>0.38</v>
      </c>
      <c r="R23" s="4">
        <v>9.1199999999999992</v>
      </c>
      <c r="S23" s="147">
        <f>R23-R22</f>
        <v>0.11999999999999922</v>
      </c>
      <c r="T23" s="104">
        <f t="shared" si="5"/>
        <v>0.15359999999999902</v>
      </c>
    </row>
    <row r="24" spans="1:23" x14ac:dyDescent="0.25">
      <c r="A24" s="4">
        <v>109</v>
      </c>
      <c r="B24" s="4" t="s">
        <v>4</v>
      </c>
      <c r="C24" s="5">
        <f>VLOOKUP(B24,Log!$B$2:$C$8,2,)</f>
        <v>1</v>
      </c>
      <c r="D24" s="5">
        <v>21.72</v>
      </c>
      <c r="E24" s="132">
        <f>IF(OR(AND(B24="Motorbike",D24-D23&lt;Log!$C$13),AND(B24&lt;&gt;"Motorbike",D24-D23&lt;Log!$C$12)),0,IF(E23&lt;&gt;0,D24-D23,IF(E22=0,D24-D21,D24-D22)))</f>
        <v>0</v>
      </c>
      <c r="F24" s="32">
        <f t="shared" si="3"/>
        <v>0</v>
      </c>
      <c r="H24" s="71">
        <v>149</v>
      </c>
      <c r="I24" s="54" t="s">
        <v>4</v>
      </c>
      <c r="J24" s="5">
        <f>VLOOKUP(I24,Log!$B$2:$C$8,2,)</f>
        <v>1</v>
      </c>
      <c r="K24" s="4">
        <v>24.8</v>
      </c>
      <c r="L24" s="32">
        <f>IF(OR(AND(I24="Motorbike",K24-K23&lt;Log!$C$13),AND(I24&lt;&gt;"Motorbike",K24-K23&lt;Log!$C$12)),0,IF(L23&lt;&gt;0,K24-K23,IF(L22=0,K24-K21,K24-K22)))</f>
        <v>2.1999999999999993</v>
      </c>
      <c r="M24" s="32">
        <f t="shared" si="4"/>
        <v>2.1999999999999993</v>
      </c>
      <c r="N24" s="13"/>
      <c r="O24" s="58">
        <v>56</v>
      </c>
      <c r="P24" s="54" t="s">
        <v>6</v>
      </c>
      <c r="Q24" s="5">
        <f>VLOOKUP(P24,Log!$B$2:$C$8,2,)</f>
        <v>0.45</v>
      </c>
      <c r="R24" s="4">
        <v>9.1999999999999993</v>
      </c>
      <c r="S24" s="32">
        <f>IF(OR(AND(OR(P24="Motorbike",P24="CNG",),R24-R23&lt;Log!$C$13),AND(OR(P24&lt;&gt;"Motorbike",P24&lt;&gt;"CNG"),R24-R23&lt;Log!$C$12)),0,IF(S23&lt;&gt;0,R24-R23,IF(S22=0,R24-R21,R24-R22)))</f>
        <v>0</v>
      </c>
      <c r="T24" s="104">
        <f t="shared" si="5"/>
        <v>0</v>
      </c>
    </row>
    <row r="25" spans="1:23" x14ac:dyDescent="0.25">
      <c r="A25" s="4">
        <v>133</v>
      </c>
      <c r="B25" s="4" t="s">
        <v>4</v>
      </c>
      <c r="C25" s="5">
        <f>VLOOKUP(B25,Log!$B$2:$C$8,2,)</f>
        <v>1</v>
      </c>
      <c r="D25" s="5">
        <v>23.72</v>
      </c>
      <c r="E25" s="132">
        <f>IF(OR(AND(B25="Motorbike",D25-D24&lt;Log!$C$13),AND(B25&lt;&gt;"Motorbike",D25-D24&lt;Log!$C$12)),0,IF(E24&lt;&gt;0,D25-D24,IF(E23=0,D25-D22,D25-D23)))</f>
        <v>2.4399999999999977</v>
      </c>
      <c r="F25" s="32">
        <f t="shared" si="3"/>
        <v>2.4399999999999977</v>
      </c>
      <c r="H25" s="71">
        <v>165</v>
      </c>
      <c r="I25" s="54" t="s">
        <v>4</v>
      </c>
      <c r="J25" s="5">
        <f>VLOOKUP(I25,Log!$B$2:$C$8,2,)</f>
        <v>1</v>
      </c>
      <c r="K25" s="4">
        <v>27.12</v>
      </c>
      <c r="L25" s="32">
        <f>IF(OR(AND(I25="Motorbike",K25-K24&lt;Log!$C$13),AND(I25&lt;&gt;"Motorbike",K25-K24&lt;Log!$C$12)),0,IF(L24&lt;&gt;0,K25-K24,IF(L23=0,K25-K22,K25-K23)))</f>
        <v>2.3200000000000003</v>
      </c>
      <c r="M25" s="32">
        <f t="shared" si="4"/>
        <v>2.3200000000000003</v>
      </c>
      <c r="N25" s="13"/>
      <c r="O25" s="58">
        <v>51</v>
      </c>
      <c r="P25" s="54" t="s">
        <v>6</v>
      </c>
      <c r="Q25" s="5">
        <f>VLOOKUP(P25,Log!$B$2:$C$8,2,)</f>
        <v>0.45</v>
      </c>
      <c r="R25" s="4">
        <v>9.8800000000000008</v>
      </c>
      <c r="S25" s="32">
        <f>IF(OR(AND(OR(P25="Motorbike",P25="CNG",),R25-R24&lt;Log!$C$13),AND(OR(P25&lt;&gt;"Motorbike",P25&lt;&gt;"CNG"),R25-R24&lt;Log!$C$12)),0,IF(S24&lt;&gt;0,R25-R24,IF(S23=0,R25-R22,R25-R23)))</f>
        <v>0</v>
      </c>
      <c r="T25" s="104">
        <f t="shared" si="5"/>
        <v>0</v>
      </c>
    </row>
    <row r="26" spans="1:23" x14ac:dyDescent="0.25">
      <c r="A26" s="4">
        <v>152</v>
      </c>
      <c r="B26" s="152" t="s">
        <v>18</v>
      </c>
      <c r="C26" s="5">
        <f>VLOOKUP(B26,Log!$B$2:$C$8,2,)</f>
        <v>1.02</v>
      </c>
      <c r="D26" s="5">
        <v>24.52</v>
      </c>
      <c r="E26" s="132">
        <f>D26-D25</f>
        <v>0.80000000000000071</v>
      </c>
      <c r="F26" s="32">
        <f t="shared" si="3"/>
        <v>0.81600000000000072</v>
      </c>
      <c r="H26" s="71">
        <v>177</v>
      </c>
      <c r="I26" s="54" t="s">
        <v>4</v>
      </c>
      <c r="J26" s="5">
        <f>VLOOKUP(I26,Log!$B$2:$C$8,2,)</f>
        <v>1</v>
      </c>
      <c r="K26" s="4">
        <v>29.88</v>
      </c>
      <c r="L26" s="32">
        <f>IF(OR(AND(I26="Motorbike",K26-K25&lt;Log!$C$13),AND(I26&lt;&gt;"Motorbike",K26-K25&lt;Log!$C$12)),0,IF(L25&lt;&gt;0,K26-K25,IF(L24=0,K26-K23,K26-K24)))</f>
        <v>2.759999999999998</v>
      </c>
      <c r="M26" s="32">
        <f t="shared" si="4"/>
        <v>2.759999999999998</v>
      </c>
      <c r="N26" s="13"/>
      <c r="O26" s="58">
        <v>97</v>
      </c>
      <c r="P26" s="54" t="s">
        <v>5</v>
      </c>
      <c r="Q26" s="5">
        <f>VLOOKUP(P26,Log!$B$2:$C$8,2,)</f>
        <v>0.38</v>
      </c>
      <c r="R26" s="4">
        <v>11</v>
      </c>
      <c r="S26" s="32">
        <f>IF(OR(AND(OR(P26="Motorbike",P26="CNG",),R26-R25&lt;Log!$C$13),AND(OR(P26&lt;&gt;"Motorbike",P26&lt;&gt;"CNG"),R26-R25&lt;Log!$C$12)),0,IF(S25&lt;&gt;0,R26-R25,IF(S24=0,R26-R23,R26-R24)))</f>
        <v>1.8800000000000008</v>
      </c>
      <c r="T26" s="104">
        <f t="shared" si="5"/>
        <v>2.1432000000000011</v>
      </c>
    </row>
    <row r="27" spans="1:23" ht="15.75" thickBot="1" x14ac:dyDescent="0.3">
      <c r="A27" s="4">
        <v>166</v>
      </c>
      <c r="B27" s="4" t="s">
        <v>6</v>
      </c>
      <c r="C27" s="5">
        <f>VLOOKUP(B27,Log!$B$2:$C$8,2,)</f>
        <v>0.45</v>
      </c>
      <c r="D27" s="5">
        <v>26.12</v>
      </c>
      <c r="E27" s="132">
        <f>IF(OR(AND(B27="Motorbike",D27-D26&lt;Log!$C$13),AND(B27&lt;&gt;"Motorbike",D27-D26&lt;Log!$C$12)),0,IF(E26&lt;&gt;0,D27-D26,IF(E25=0,D27-D24,D27-D25)))</f>
        <v>1.6000000000000014</v>
      </c>
      <c r="F27" s="32">
        <f t="shared" si="3"/>
        <v>2.3200000000000021</v>
      </c>
      <c r="H27" s="64">
        <v>188</v>
      </c>
      <c r="I27" s="54" t="s">
        <v>4</v>
      </c>
      <c r="J27" s="5">
        <f>VLOOKUP(I27,Log!$B$2:$C$8,2,)</f>
        <v>1</v>
      </c>
      <c r="K27" s="4">
        <v>31.92</v>
      </c>
      <c r="L27" s="32">
        <f>IF(OR(AND(I27="Motorbike",K27-K26&lt;Log!$C$13),AND(I27&lt;&gt;"Motorbike",K27-K26&lt;Log!$C$12)),0,IF(L26&lt;&gt;0,K27-K26,IF(L25=0,K27-K24,K27-K25)))</f>
        <v>2.0400000000000027</v>
      </c>
      <c r="M27" s="32">
        <f t="shared" si="4"/>
        <v>2.0400000000000027</v>
      </c>
      <c r="N27" s="13"/>
      <c r="O27" s="58">
        <v>76</v>
      </c>
      <c r="P27" s="54" t="s">
        <v>5</v>
      </c>
      <c r="Q27" s="5">
        <f>VLOOKUP(P27,Log!$B$2:$C$8,2,)</f>
        <v>0.38</v>
      </c>
      <c r="R27" s="4">
        <v>11.2</v>
      </c>
      <c r="S27" s="32">
        <f>IF(OR(AND(OR(P27="Motorbike",P27="CNG",),R27-R26&lt;Log!$C$13),AND(OR(P27&lt;&gt;"Motorbike",P27&lt;&gt;"CNG"),R27-R26&lt;Log!$C$12)),0,IF(S26&lt;&gt;0,R27-R26,IF(S25=0,R27-R24,R27-R25)))</f>
        <v>0</v>
      </c>
      <c r="T27" s="104">
        <f t="shared" si="5"/>
        <v>0</v>
      </c>
    </row>
    <row r="28" spans="1:23" x14ac:dyDescent="0.25">
      <c r="A28" s="4">
        <v>169</v>
      </c>
      <c r="B28" s="4" t="s">
        <v>4</v>
      </c>
      <c r="C28" s="5">
        <f>VLOOKUP(B28,Log!$B$2:$C$8,2,)</f>
        <v>1</v>
      </c>
      <c r="D28" s="5">
        <v>26.92</v>
      </c>
      <c r="E28" s="132">
        <f>IF(OR(AND(B28="Motorbike",D28-D27&lt;Log!$C$13),AND(B28&lt;&gt;"Motorbike",D28-D27&lt;Log!$C$12)),0,IF(E27&lt;&gt;0,D28-D27,IF(E26=0,D28-D25,D28-D26)))</f>
        <v>0</v>
      </c>
      <c r="F28" s="32">
        <f t="shared" si="3"/>
        <v>0</v>
      </c>
      <c r="N28" s="13"/>
      <c r="O28" s="58">
        <v>94</v>
      </c>
      <c r="P28" s="54" t="s">
        <v>5</v>
      </c>
      <c r="Q28" s="5">
        <f>VLOOKUP(P28,Log!$B$2:$C$8,2,)</f>
        <v>0.38</v>
      </c>
      <c r="R28" s="4">
        <v>11.68</v>
      </c>
      <c r="S28" s="32">
        <f>IF(OR(AND(OR(P28="Motorbike",P28="CNG",),R28-R27&lt;Log!$C$13),AND(OR(P28&lt;&gt;"Motorbike",P28&lt;&gt;"CNG"),R28-R27&lt;Log!$C$12)),0,IF(S27&lt;&gt;0,R28-R27,IF(S26=0,R28-R25,R28-R26)))</f>
        <v>0</v>
      </c>
      <c r="T28" s="104">
        <f t="shared" si="5"/>
        <v>0</v>
      </c>
    </row>
    <row r="29" spans="1:23" ht="15.75" thickBot="1" x14ac:dyDescent="0.3">
      <c r="A29" s="4">
        <v>171</v>
      </c>
      <c r="B29" s="4" t="s">
        <v>5</v>
      </c>
      <c r="C29" s="5">
        <f>VLOOKUP(B29,Log!$B$2:$C$8,2,)</f>
        <v>0.38</v>
      </c>
      <c r="D29" s="5">
        <v>27.48</v>
      </c>
      <c r="E29" s="132">
        <f>D29-D28</f>
        <v>0.55999999999999872</v>
      </c>
      <c r="F29" s="32">
        <f>E29*C29</f>
        <v>0.21279999999999952</v>
      </c>
      <c r="N29" s="13"/>
      <c r="O29" s="59">
        <v>96</v>
      </c>
      <c r="P29" s="54" t="s">
        <v>5</v>
      </c>
      <c r="Q29" s="5">
        <f>VLOOKUP(P29,Log!$B$2:$C$8,2,)</f>
        <v>0.38</v>
      </c>
      <c r="R29" s="4">
        <v>12.12</v>
      </c>
      <c r="S29" s="32">
        <f>R29-R28</f>
        <v>0.4399999999999995</v>
      </c>
      <c r="T29" s="104">
        <f t="shared" si="5"/>
        <v>0.16719999999999982</v>
      </c>
      <c r="W29" s="11"/>
    </row>
    <row r="30" spans="1:23" x14ac:dyDescent="0.25">
      <c r="A30" s="4">
        <v>174</v>
      </c>
      <c r="B30" s="4" t="s">
        <v>6</v>
      </c>
      <c r="C30" s="5">
        <f>VLOOKUP(B30,Log!$B$2:$C$8,2,)</f>
        <v>0.45</v>
      </c>
      <c r="D30" s="5">
        <v>29.72</v>
      </c>
      <c r="E30" s="132">
        <f>IF(OR(AND(B30="Motorbike",D30-D29&lt;Log!$C$13),AND(B30&lt;&gt;"Motorbike",D30-D29&lt;Log!$C$12)),0,IF(E29&lt;&gt;0,D30-D29,IF(E28=0,D30-D27,D30-D28)))</f>
        <v>2.2399999999999984</v>
      </c>
      <c r="F30" s="32">
        <f t="shared" si="3"/>
        <v>1.0079999999999993</v>
      </c>
      <c r="N30" s="13"/>
      <c r="O30" s="56">
        <v>92</v>
      </c>
      <c r="P30" s="4" t="s">
        <v>4</v>
      </c>
      <c r="Q30" s="5">
        <f>VLOOKUP(P30,Log!$B$2:$C$8,2,)</f>
        <v>1</v>
      </c>
      <c r="R30" s="4">
        <v>16.12</v>
      </c>
      <c r="S30" s="32">
        <f>IF(OR(AND(OR(P30="Motorbike",P30="CNG",),R30-R29&lt;Log!$C$13),AND(OR(P30&lt;&gt;"Motorbike",P30&lt;&gt;"CNG"),R30-R29&lt;Log!$C$12)),0,IF(S29&lt;&gt;0,R30-R29,IF(S28=0,R30-R27,R30-R28)))</f>
        <v>4.0000000000000018</v>
      </c>
      <c r="T30" s="32">
        <f t="shared" si="5"/>
        <v>4.0000000000000018</v>
      </c>
      <c r="W30" s="11"/>
    </row>
    <row r="31" spans="1:23" ht="15.75" thickBot="1" x14ac:dyDescent="0.3">
      <c r="N31" s="13"/>
      <c r="O31" s="49">
        <v>134</v>
      </c>
      <c r="P31" s="4" t="s">
        <v>5</v>
      </c>
      <c r="Q31" s="5">
        <f>VLOOKUP(P31,Log!$B$2:$C$8,2,)</f>
        <v>0.38</v>
      </c>
      <c r="R31" s="4">
        <v>19.2</v>
      </c>
      <c r="S31" s="32">
        <f>IF(OR(AND(OR(P31="Motorbike",P31="CNG",),R31-R30&lt;Log!$C$13),AND(OR(P31&lt;&gt;"Motorbike",P31&lt;&gt;"CNG"),R31-R30&lt;Log!$C$12)),0,IF(S30&lt;&gt;0,R31-R30,IF(S29=0,R31-R28,R31-R29)))</f>
        <v>3.0799999999999983</v>
      </c>
      <c r="T31" s="32">
        <f t="shared" si="5"/>
        <v>2.1867999999999985</v>
      </c>
      <c r="W31" s="11"/>
    </row>
    <row r="32" spans="1:23" x14ac:dyDescent="0.25">
      <c r="N32" s="13"/>
      <c r="O32" s="57">
        <v>131</v>
      </c>
      <c r="P32" s="54" t="s">
        <v>7</v>
      </c>
      <c r="Q32" s="5">
        <f>VLOOKUP(P32,Log!$B$2:$C$8,2,)</f>
        <v>0.33</v>
      </c>
      <c r="R32" s="4">
        <v>20</v>
      </c>
      <c r="S32" s="32">
        <f>IF(OR(AND(OR(P32="Motorbike",P32="CNG",),R32-R31&lt;Log!$C$13),AND(OR(P32&lt;&gt;"Motorbike",P32&lt;&gt;"CNG"),R32-R31&lt;Log!$C$12)),0,IF(S31&lt;&gt;0,R32-R31,IF(S30=0,R32-R29,R32-R30)))</f>
        <v>0</v>
      </c>
      <c r="T32" s="32">
        <f t="shared" si="5"/>
        <v>0</v>
      </c>
      <c r="W32" s="11"/>
    </row>
    <row r="33" spans="14:23" x14ac:dyDescent="0.25">
      <c r="N33" s="13"/>
      <c r="O33" s="58">
        <v>138</v>
      </c>
      <c r="P33" s="54" t="s">
        <v>5</v>
      </c>
      <c r="Q33" s="5">
        <f>VLOOKUP(P33,Log!$B$2:$C$8,2,)</f>
        <v>0.38</v>
      </c>
      <c r="R33" s="4">
        <v>21.2</v>
      </c>
      <c r="S33" s="32">
        <f>IF(OR(AND(OR(P33="Motorbike",P33="CNG",),R33-R32&lt;Log!$C$13),AND(OR(P33&lt;&gt;"Motorbike",P33&lt;&gt;"CNG"),R33-R32&lt;Log!$C$12)),0,IF(S32&lt;&gt;0,R33-R32,IF(S31=0,R33-R30,R33-R31)))</f>
        <v>2</v>
      </c>
      <c r="T33" s="32">
        <f t="shared" si="5"/>
        <v>2.76</v>
      </c>
      <c r="W33" s="11"/>
    </row>
    <row r="34" spans="14:23" x14ac:dyDescent="0.25">
      <c r="N34" s="13"/>
      <c r="O34" s="58">
        <v>139</v>
      </c>
      <c r="P34" s="54" t="s">
        <v>4</v>
      </c>
      <c r="Q34" s="5">
        <f>VLOOKUP(P34,Log!$B$2:$C$8,2,)</f>
        <v>1</v>
      </c>
      <c r="R34" s="4">
        <v>22.12</v>
      </c>
      <c r="S34" s="32">
        <f>IF(OR(AND(OR(P34="Motorbike",P34="CNG",),R34-R33&lt;Log!$C$13),AND(OR(P34&lt;&gt;"Motorbike",P34&lt;&gt;"CNG"),R34-R33&lt;Log!$C$12)),0,IF(S33&lt;&gt;0,R34-R33,IF(S32=0,R34-R31,R34-R32)))</f>
        <v>0</v>
      </c>
      <c r="T34" s="32">
        <f t="shared" si="5"/>
        <v>0</v>
      </c>
      <c r="W34" s="11"/>
    </row>
    <row r="35" spans="14:23" x14ac:dyDescent="0.25">
      <c r="O35" s="58">
        <v>147</v>
      </c>
      <c r="P35" s="54" t="s">
        <v>4</v>
      </c>
      <c r="Q35" s="5">
        <f>VLOOKUP(P35,Log!$B$2:$C$8,2,)</f>
        <v>1</v>
      </c>
      <c r="R35" s="4">
        <v>23.88</v>
      </c>
      <c r="S35" s="32">
        <f>IF(OR(AND(OR(P35="Motorbike",P35="CNG",),R35-R34&lt;Log!$C$13),AND(OR(P35&lt;&gt;"Motorbike",P35&lt;&gt;"CNG"),R35-R34&lt;Log!$C$12)),0,IF(S34&lt;&gt;0,R35-R34,IF(S33=0,R35-R32,R35-R33)))</f>
        <v>2.6799999999999997</v>
      </c>
      <c r="T35" s="32">
        <f t="shared" si="5"/>
        <v>2.6799999999999997</v>
      </c>
      <c r="W35" s="11"/>
    </row>
    <row r="36" spans="14:23" x14ac:dyDescent="0.25">
      <c r="O36" s="58">
        <v>160</v>
      </c>
      <c r="P36" s="54" t="s">
        <v>4</v>
      </c>
      <c r="Q36" s="5">
        <f>VLOOKUP(P36,Log!$B$2:$C$8,2,)</f>
        <v>1</v>
      </c>
      <c r="R36" s="4">
        <v>26.08</v>
      </c>
      <c r="S36" s="32">
        <f>IF(OR(AND(OR(P36="Motorbike",P36="CNG",),R36-R35&lt;Log!$C$13),AND(OR(P36&lt;&gt;"Motorbike",P36&lt;&gt;"CNG"),R36-R35&lt;Log!$C$12)),0,IF(S35&lt;&gt;0,R36-R35,IF(S34=0,R36-R33,R36-R34)))</f>
        <v>2.1999999999999993</v>
      </c>
      <c r="T36" s="32">
        <f t="shared" si="5"/>
        <v>2.1999999999999993</v>
      </c>
      <c r="W36" s="11"/>
    </row>
    <row r="37" spans="14:23" x14ac:dyDescent="0.25">
      <c r="O37" s="58">
        <v>157</v>
      </c>
      <c r="P37" s="54" t="s">
        <v>4</v>
      </c>
      <c r="Q37" s="5">
        <f>VLOOKUP(P37,Log!$B$2:$C$8,2,)</f>
        <v>1</v>
      </c>
      <c r="R37" s="4">
        <v>29.32</v>
      </c>
      <c r="S37" s="32">
        <f>IF(OR(AND(OR(P37="Motorbike",P37="CNG",),R37-R36&lt;Log!$C$13),AND(OR(P37&lt;&gt;"Motorbike",P37&lt;&gt;"CNG"),R37-R36&lt;Log!$C$12)),0,IF(S36&lt;&gt;0,R37-R36,IF(S35=0,R37-R34,R37-R35)))</f>
        <v>3.240000000000002</v>
      </c>
      <c r="T37" s="32">
        <f t="shared" si="5"/>
        <v>3.240000000000002</v>
      </c>
      <c r="W37" s="11"/>
    </row>
    <row r="38" spans="14:23" x14ac:dyDescent="0.25">
      <c r="O38" s="58">
        <v>172</v>
      </c>
      <c r="P38" s="54" t="s">
        <v>18</v>
      </c>
      <c r="Q38" s="5">
        <f>VLOOKUP(P38,Log!$B$2:$C$8,2,)</f>
        <v>1.02</v>
      </c>
      <c r="R38" s="4">
        <v>30.72</v>
      </c>
      <c r="S38" s="32">
        <f>IF(OR(AND(OR(P38="Motorbike",P38="CNG",),R38-R37&lt;Log!$C$13),AND(OR(P38&lt;&gt;"Motorbike",P38&lt;&gt;"CNG"),R38-R37&lt;Log!$C$12)),0,IF(S37&lt;&gt;0,R38-R37,IF(S36=0,R38-R35,R38-R36)))</f>
        <v>1.3999999999999986</v>
      </c>
      <c r="T38" s="32">
        <f t="shared" si="5"/>
        <v>1.4279999999999986</v>
      </c>
      <c r="W38" s="11"/>
    </row>
    <row r="39" spans="14:23" ht="15.75" thickBot="1" x14ac:dyDescent="0.3">
      <c r="O39" s="59">
        <v>192</v>
      </c>
      <c r="P39" s="54" t="s">
        <v>4</v>
      </c>
      <c r="Q39" s="5">
        <f>VLOOKUP(P39,Log!$B$2:$C$8,2,)</f>
        <v>1</v>
      </c>
      <c r="R39" s="4">
        <v>33.880000000000003</v>
      </c>
      <c r="S39" s="32">
        <f>IF(OR(AND(OR(P39="Motorbike",P39="CNG",),R39-R38&lt;Log!$C$13),AND(OR(P39&lt;&gt;"Motorbike",P39&lt;&gt;"CNG"),R39-R38&lt;Log!$C$12)),0,IF(S38&lt;&gt;0,R39-R38,IF(S37=0,R39-R36,R39-R37)))</f>
        <v>3.1600000000000037</v>
      </c>
      <c r="T39" s="32">
        <f t="shared" si="5"/>
        <v>3.1600000000000037</v>
      </c>
      <c r="W39" s="11"/>
    </row>
    <row r="40" spans="14:23" x14ac:dyDescent="0.25">
      <c r="Q40" s="43"/>
      <c r="W40" s="11"/>
    </row>
    <row r="41" spans="14:23" x14ac:dyDescent="0.25">
      <c r="W41" s="11"/>
    </row>
    <row r="42" spans="14:23" x14ac:dyDescent="0.25">
      <c r="S42" s="122"/>
      <c r="T42" s="122"/>
      <c r="W42" s="11"/>
    </row>
    <row r="43" spans="14:23" x14ac:dyDescent="0.25">
      <c r="S43" s="123"/>
      <c r="T43" s="123"/>
      <c r="W43" s="11"/>
    </row>
    <row r="44" spans="14:23" x14ac:dyDescent="0.25">
      <c r="W44" s="11"/>
    </row>
    <row r="69" spans="1:4" x14ac:dyDescent="0.25">
      <c r="A69" t="s">
        <v>63</v>
      </c>
      <c r="B69" s="125">
        <v>6</v>
      </c>
    </row>
    <row r="70" spans="1:4" x14ac:dyDescent="0.25">
      <c r="B70" s="167" t="s">
        <v>65</v>
      </c>
      <c r="C70" s="167"/>
      <c r="D70" s="167"/>
    </row>
    <row r="71" spans="1:4" x14ac:dyDescent="0.25">
      <c r="A71" t="s">
        <v>64</v>
      </c>
      <c r="B71" t="s">
        <v>16</v>
      </c>
      <c r="C71" t="s">
        <v>10</v>
      </c>
      <c r="D71" t="s">
        <v>15</v>
      </c>
    </row>
    <row r="72" spans="1:4" x14ac:dyDescent="0.25">
      <c r="A72">
        <v>0</v>
      </c>
      <c r="B72">
        <v>0</v>
      </c>
      <c r="C72">
        <v>0</v>
      </c>
      <c r="D72">
        <v>0</v>
      </c>
    </row>
    <row r="73" spans="1:4" x14ac:dyDescent="0.25">
      <c r="A73">
        <f t="shared" ref="A73:A86" si="6">A72+$B$69</f>
        <v>6</v>
      </c>
      <c r="B73" cm="1">
        <f t="array" ref="B73">SUMPRODUCT(($D$13:$D$36&gt;=A72)*($D$13:$D$36&lt;=A73)*$C$13:$C$36)</f>
        <v>2.4500000000000002</v>
      </c>
      <c r="C73" cm="1">
        <f t="array" ref="C73">SUMPRODUCT(($K$13:$K$30&gt;=A72)*($K$13:$K$30&lt;=A73)*$J$13:$J$30)</f>
        <v>4</v>
      </c>
      <c r="D73" cm="1">
        <f t="array" ref="D73">SUMPRODUCT(($R$13:$R$39&gt;=A72)*($R$13:$R$39&lt;=A73)*$Q$13:$Q$39)</f>
        <v>2.66</v>
      </c>
    </row>
    <row r="74" spans="1:4" x14ac:dyDescent="0.25">
      <c r="A74">
        <f t="shared" si="6"/>
        <v>12</v>
      </c>
      <c r="B74" cm="1">
        <f t="array" ref="B74">SUMPRODUCT(($D$13:$D$36&gt;=A73)*($D$13:$D$36&lt;=A74)*$C$13:$C$36)</f>
        <v>3</v>
      </c>
      <c r="C74" cm="1">
        <f t="array" ref="C74">SUMPRODUCT(($K$13:$K$30&gt;=A73)*($K$13:$K$30&lt;=A74)*$J$13:$J$30)</f>
        <v>2.83</v>
      </c>
      <c r="D74" cm="1">
        <f t="array" ref="D74">SUMPRODUCT(($R$13:$R$39&gt;=A73)*($R$13:$R$39&lt;=A74)*$Q$13:$Q$39)</f>
        <v>4.46</v>
      </c>
    </row>
    <row r="75" spans="1:4" x14ac:dyDescent="0.25">
      <c r="A75">
        <f t="shared" si="6"/>
        <v>18</v>
      </c>
      <c r="B75" cm="1">
        <f t="array" ref="B75">SUMPRODUCT(($D$13:$D$36&gt;=A74)*($D$13:$D$36&lt;=A75)*$C$13:$C$36)</f>
        <v>2.38</v>
      </c>
      <c r="C75" cm="1">
        <f t="array" ref="C75">SUMPRODUCT(($K$13:$K$30&gt;=A74)*($K$13:$K$30&lt;=A75)*$J$13:$J$30)</f>
        <v>1</v>
      </c>
      <c r="D75" cm="1">
        <f t="array" ref="D75">SUMPRODUCT(($R$13:$R$39&gt;=A74)*($R$13:$R$39&lt;=A75)*$Q$13:$Q$39)</f>
        <v>1.38</v>
      </c>
    </row>
    <row r="76" spans="1:4" x14ac:dyDescent="0.25">
      <c r="A76">
        <f t="shared" si="6"/>
        <v>24</v>
      </c>
      <c r="B76" cm="1">
        <f t="array" ref="B76">SUMPRODUCT(($D$13:$D$36&gt;=A75)*($D$13:$D$36&lt;=A76)*$C$13:$C$36)</f>
        <v>3.45</v>
      </c>
      <c r="C76" cm="1">
        <f t="array" ref="C76">SUMPRODUCT(($K$13:$K$30&gt;=A75)*($K$13:$K$30&lt;=A76)*$J$13:$J$30)</f>
        <v>2.4500000000000002</v>
      </c>
      <c r="D76" cm="1">
        <f t="array" ref="D76">SUMPRODUCT(($R$13:$R$39&gt;=A75)*($R$13:$R$39&lt;=A76)*$Q$13:$Q$39)</f>
        <v>3.09</v>
      </c>
    </row>
    <row r="77" spans="1:4" x14ac:dyDescent="0.25">
      <c r="A77">
        <f t="shared" si="6"/>
        <v>30</v>
      </c>
      <c r="B77" cm="1">
        <f t="array" ref="B77">SUMPRODUCT(($D$13:$D$36&gt;=A76)*($D$13:$D$36&lt;=A77)*$C$13:$C$36)</f>
        <v>3.3</v>
      </c>
      <c r="C77" cm="1">
        <f t="array" ref="C77">SUMPRODUCT(($K$13:$K$30&gt;=A76)*($K$13:$K$30&lt;=A77)*$J$13:$J$30)</f>
        <v>3</v>
      </c>
      <c r="D77" cm="1">
        <f t="array" ref="D77">SUMPRODUCT(($R$13:$R$39&gt;=A76)*($R$13:$R$39&lt;=A77)*$Q$13:$Q$39)</f>
        <v>2</v>
      </c>
    </row>
    <row r="78" spans="1:4" x14ac:dyDescent="0.25">
      <c r="A78">
        <f t="shared" si="6"/>
        <v>36</v>
      </c>
      <c r="B78" cm="1">
        <f t="array" ref="B78">SUMPRODUCT(($D$13:$D$36&gt;=A77)*($D$13:$D$36&lt;=A78)*$C$13:$C$36)</f>
        <v>0</v>
      </c>
      <c r="C78" cm="1">
        <f t="array" ref="C78">SUMPRODUCT(($K$13:$K$30&gt;=A77)*($K$13:$K$30&lt;=A78)*$J$13:$J$30)</f>
        <v>1</v>
      </c>
      <c r="D78" cm="1">
        <f t="array" ref="D78">SUMPRODUCT(($R$13:$R$39&gt;=A77)*($R$13:$R$39&lt;=A78)*$Q$13:$Q$39)</f>
        <v>2.02</v>
      </c>
    </row>
    <row r="79" spans="1:4" x14ac:dyDescent="0.25">
      <c r="A79">
        <f t="shared" si="6"/>
        <v>42</v>
      </c>
      <c r="B79" cm="1">
        <f t="array" ref="B79">SUMPRODUCT(($D$13:$D$36&gt;=A78)*($D$13:$D$36&lt;=A79)*$C$13:$C$36)</f>
        <v>0</v>
      </c>
      <c r="C79" cm="1">
        <f t="array" ref="C79">SUMPRODUCT(($K$13:$K$30&gt;=A78)*($K$13:$K$30&lt;=A79)*$J$13:$J$30)</f>
        <v>0</v>
      </c>
      <c r="D79" cm="1">
        <f t="array" ref="D79">SUMPRODUCT(($R$13:$R$39&gt;=A78)*($R$13:$R$39&lt;=A79)*$Q$13:$Q$39)</f>
        <v>0</v>
      </c>
    </row>
    <row r="80" spans="1:4" x14ac:dyDescent="0.25">
      <c r="A80">
        <f t="shared" si="6"/>
        <v>48</v>
      </c>
      <c r="B80" cm="1">
        <f t="array" ref="B80">SUMPRODUCT(($D$13:$D$36&gt;=A79)*($D$13:$D$36&lt;=A80)*$C$13:$C$36)</f>
        <v>0</v>
      </c>
      <c r="C80" cm="1">
        <f t="array" ref="C80">SUMPRODUCT(($K$13:$K$30&gt;=A79)*($K$13:$K$30&lt;=A80)*$J$13:$J$30)</f>
        <v>0</v>
      </c>
      <c r="D80" cm="1">
        <f t="array" ref="D80">SUMPRODUCT(($R$13:$R$39&gt;=A79)*($R$13:$R$39&lt;=A80)*$Q$13:$Q$39)</f>
        <v>0</v>
      </c>
    </row>
    <row r="81" spans="1:4" x14ac:dyDescent="0.25">
      <c r="A81">
        <f t="shared" si="6"/>
        <v>54</v>
      </c>
      <c r="B81" cm="1">
        <f t="array" ref="B81">SUMPRODUCT(($D$13:$D$36&gt;=A80)*($D$13:$D$36&lt;=A81)*$C$13:$C$36)</f>
        <v>0</v>
      </c>
      <c r="C81" cm="1">
        <f t="array" ref="C81">SUMPRODUCT(($K$13:$K$30&gt;=A80)*($K$13:$K$30&lt;=A81)*$J$13:$J$30)</f>
        <v>0</v>
      </c>
      <c r="D81" cm="1">
        <f t="array" ref="D81">SUMPRODUCT(($R$13:$R$39&gt;=A80)*($R$13:$R$39&lt;=A81)*$Q$13:$Q$39)</f>
        <v>0</v>
      </c>
    </row>
    <row r="82" spans="1:4" x14ac:dyDescent="0.25">
      <c r="A82">
        <f t="shared" si="6"/>
        <v>60</v>
      </c>
      <c r="B82" cm="1">
        <f t="array" ref="B82">SUMPRODUCT(($D$13:$D$36&gt;=A81)*($D$13:$D$36&lt;=A82)*$C$13:$C$36)</f>
        <v>0</v>
      </c>
      <c r="C82" cm="1">
        <f t="array" ref="C82">SUMPRODUCT(($K$13:$K$30&gt;=A81)*($K$13:$K$30&lt;=A82)*$J$13:$J$30)</f>
        <v>0</v>
      </c>
      <c r="D82" cm="1">
        <f t="array" ref="D82">SUMPRODUCT(($R$13:$R$39&gt;=A81)*($R$13:$R$39&lt;=A82)*$Q$13:$Q$39)</f>
        <v>0</v>
      </c>
    </row>
    <row r="83" spans="1:4" x14ac:dyDescent="0.25">
      <c r="A83">
        <f t="shared" si="6"/>
        <v>66</v>
      </c>
      <c r="B83" cm="1">
        <f t="array" ref="B83">SUMPRODUCT(($D$13:$D$36&gt;=A82)*($D$13:$D$36&lt;=A83)*$C$13:$C$36)</f>
        <v>0</v>
      </c>
      <c r="C83" cm="1">
        <f t="array" ref="C83">SUMPRODUCT(($K$13:$K$30&gt;=A82)*($K$13:$K$30&lt;=A83)*$J$13:$J$30)</f>
        <v>0</v>
      </c>
      <c r="D83" cm="1">
        <f t="array" ref="D83">SUMPRODUCT(($R$13:$R$39&gt;=A82)*($R$13:$R$39&lt;=A83)*$Q$13:$Q$39)</f>
        <v>0</v>
      </c>
    </row>
    <row r="84" spans="1:4" x14ac:dyDescent="0.25">
      <c r="A84">
        <f t="shared" si="6"/>
        <v>72</v>
      </c>
      <c r="B84" cm="1">
        <f t="array" ref="B84">SUMPRODUCT(($D$13:$D$36&gt;=A83)*($D$13:$D$36&lt;=A84)*$C$13:$C$36)</f>
        <v>0</v>
      </c>
      <c r="C84" cm="1">
        <f t="array" ref="C84">SUMPRODUCT(($K$13:$K$30&gt;=A83)*($K$13:$K$30&lt;=A84)*$J$13:$J$30)</f>
        <v>0</v>
      </c>
      <c r="D84" cm="1">
        <f t="array" ref="D84">SUMPRODUCT(($R$13:$R$39&gt;=A83)*($R$13:$R$39&lt;=A84)*$Q$13:$Q$39)</f>
        <v>0</v>
      </c>
    </row>
    <row r="85" spans="1:4" x14ac:dyDescent="0.25">
      <c r="A85">
        <f t="shared" si="6"/>
        <v>78</v>
      </c>
      <c r="B85" cm="1">
        <f t="array" ref="B85">SUMPRODUCT(($D$13:$D$36&gt;=A84)*($D$13:$D$36&lt;=A85)*$C$13:$C$36)</f>
        <v>0</v>
      </c>
      <c r="C85" cm="1">
        <f t="array" ref="C85">SUMPRODUCT(($K$13:$K$30&gt;=A84)*($K$13:$K$30&lt;=A85)*$J$13:$J$30)</f>
        <v>0</v>
      </c>
      <c r="D85" cm="1">
        <f t="array" ref="D85">SUMPRODUCT(($R$13:$R$39&gt;=A84)*($R$13:$R$39&lt;=A85)*$Q$13:$Q$39)</f>
        <v>0</v>
      </c>
    </row>
    <row r="86" spans="1:4" x14ac:dyDescent="0.25">
      <c r="A86">
        <f t="shared" si="6"/>
        <v>84</v>
      </c>
      <c r="B86" cm="1">
        <f t="array" ref="B86">SUMPRODUCT(($D$13:$D$36&gt;=A85)*($D$13:$D$36&lt;=A86)*$C$13:$C$36)</f>
        <v>0</v>
      </c>
      <c r="C86" cm="1">
        <f t="array" ref="C86">SUMPRODUCT(($K$13:$K$30&gt;=A85)*($K$13:$K$30&lt;=A86)*$J$13:$J$30)</f>
        <v>0</v>
      </c>
      <c r="D86" cm="1">
        <f t="array" ref="D86">SUMPRODUCT(($R$13:$R$39&gt;=A85)*($R$13:$R$39&lt;=A86)*$Q$13:$Q$39)</f>
        <v>0</v>
      </c>
    </row>
  </sheetData>
  <mergeCells count="5">
    <mergeCell ref="C1:D1"/>
    <mergeCell ref="A11:F11"/>
    <mergeCell ref="H11:M11"/>
    <mergeCell ref="O11:T11"/>
    <mergeCell ref="B70:D70"/>
  </mergeCells>
  <phoneticPr fontId="15" type="noConversion"/>
  <conditionalFormatting sqref="E14:E30">
    <cfRule type="cellIs" dxfId="162" priority="22" operator="greaterThanOrEqual">
      <formula>4</formula>
    </cfRule>
  </conditionalFormatting>
  <conditionalFormatting sqref="E13:F13">
    <cfRule type="cellIs" dxfId="161" priority="33" operator="greaterThanOrEqual">
      <formula>4</formula>
    </cfRule>
  </conditionalFormatting>
  <conditionalFormatting sqref="E31:F39 F40 E47">
    <cfRule type="cellIs" dxfId="160" priority="5" operator="greaterThan">
      <formula>4</formula>
    </cfRule>
  </conditionalFormatting>
  <conditionalFormatting sqref="F14:F22">
    <cfRule type="cellIs" dxfId="159" priority="24" operator="greaterThan">
      <formula>4</formula>
    </cfRule>
  </conditionalFormatting>
  <conditionalFormatting sqref="L14:L27">
    <cfRule type="cellIs" dxfId="158" priority="14" operator="greaterThanOrEqual">
      <formula>4</formula>
    </cfRule>
  </conditionalFormatting>
  <conditionalFormatting sqref="L28:M37">
    <cfRule type="cellIs" dxfId="157" priority="47" operator="greaterThan">
      <formula>4</formula>
    </cfRule>
  </conditionalFormatting>
  <conditionalFormatting sqref="M13:M27">
    <cfRule type="cellIs" dxfId="156" priority="16" operator="greaterThan">
      <formula>4</formula>
    </cfRule>
  </conditionalFormatting>
  <conditionalFormatting sqref="S14:S39">
    <cfRule type="cellIs" dxfId="155" priority="3" operator="greaterThanOrEqual">
      <formula>4</formula>
    </cfRule>
  </conditionalFormatting>
  <conditionalFormatting sqref="T13:T39">
    <cfRule type="cellIs" dxfId="154" priority="9" operator="greaterThan">
      <formula>4</formula>
    </cfRule>
  </conditionalFormatting>
  <conditionalFormatting sqref="F23:F30">
    <cfRule type="cellIs" dxfId="153" priority="1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4" id="{4C241FC6-FAA6-4535-B9E6-AAED709E553F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E14:E30</xm:sqref>
        </x14:conditionalFormatting>
        <x14:conditionalFormatting xmlns:xm="http://schemas.microsoft.com/office/excel/2006/main">
          <x14:cfRule type="expression" priority="23" id="{56FC54F9-F71F-4C5B-99FB-A5787FE6FFAC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E14:E30</xm:sqref>
        </x14:conditionalFormatting>
        <x14:conditionalFormatting xmlns:xm="http://schemas.microsoft.com/office/excel/2006/main">
          <x14:cfRule type="expression" priority="13" id="{2E3D4BDD-25EE-4AE8-9F56-3E81C413FBEF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5" id="{0B7AA55F-7B76-41E3-AD1F-4E81A2C7CEBB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L14:L27 S14:S39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9710C-A8B1-4546-8678-4C5042F2CE95}">
  <sheetPr codeName="Sheet4"/>
  <dimension ref="A1:T53"/>
  <sheetViews>
    <sheetView workbookViewId="0">
      <selection activeCell="T8" sqref="T8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46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16.72</v>
      </c>
      <c r="M2" s="17">
        <f>SUM(M20:M28)</f>
        <v>14.8064</v>
      </c>
      <c r="R2" s="4" t="s">
        <v>12</v>
      </c>
      <c r="S2" s="8">
        <f>SUM(S25:S28)</f>
        <v>2.6400000000000006</v>
      </c>
      <c r="T2" s="8">
        <f>SUM(T25:T28)</f>
        <v>2.0792000000000006</v>
      </c>
    </row>
    <row r="3" spans="1:20" x14ac:dyDescent="0.25">
      <c r="K3" s="4" t="s">
        <v>13</v>
      </c>
      <c r="L3" s="18">
        <f>AVERAGE(L24:L26)</f>
        <v>1.840000000000001</v>
      </c>
      <c r="M3" s="65">
        <f>AVERAGE(M25:M27)</f>
        <v>2.1733333333333333</v>
      </c>
      <c r="R3" s="4" t="s">
        <v>13</v>
      </c>
      <c r="S3" s="9">
        <f>AVERAGE(S25:S28)</f>
        <v>0.66000000000000014</v>
      </c>
      <c r="T3" s="9">
        <f>AVERAGE(T23:T28)</f>
        <v>0.49346666666666678</v>
      </c>
    </row>
    <row r="4" spans="1:20" x14ac:dyDescent="0.25">
      <c r="A4" s="4" t="s">
        <v>4</v>
      </c>
      <c r="B4" s="128">
        <f>100*COUNTIF($B$13:$B$26,A4)/COUNTA($B$13:$B$26)</f>
        <v>50</v>
      </c>
      <c r="H4" s="4" t="s">
        <v>4</v>
      </c>
      <c r="I4" s="128">
        <f>100*COUNTIF($I$13:$I$22,H4)/COUNTA($I$13:$I$22)</f>
        <v>70</v>
      </c>
      <c r="K4" s="4" t="s">
        <v>1</v>
      </c>
      <c r="L4" s="21">
        <f>3600/L3</f>
        <v>1956.5217391304338</v>
      </c>
      <c r="M4" s="66">
        <f>3600/M3</f>
        <v>1656.4417177914111</v>
      </c>
      <c r="O4" s="4" t="s">
        <v>4</v>
      </c>
      <c r="P4" s="128">
        <f>100*COUNTIF($P$15:$P$48,O4)/COUNTA($P$15:$P$48)</f>
        <v>8.8235294117647065</v>
      </c>
      <c r="R4" s="4" t="s">
        <v>1</v>
      </c>
      <c r="S4" s="10">
        <f>3600/S3</f>
        <v>5454.5454545454531</v>
      </c>
      <c r="T4" s="10">
        <f>3600/T3</f>
        <v>7295.3255876790045</v>
      </c>
    </row>
    <row r="5" spans="1:20" x14ac:dyDescent="0.25">
      <c r="A5" s="4" t="s">
        <v>6</v>
      </c>
      <c r="B5" s="128">
        <f t="shared" ref="B5:B9" si="0">100*COUNTIF($B$13:$B$26,A5)/COUNTA($B$13:$B$26)</f>
        <v>28.571428571428573</v>
      </c>
      <c r="H5" s="4" t="s">
        <v>6</v>
      </c>
      <c r="I5" s="128">
        <f t="shared" ref="I5:I9" si="1">100*COUNTIF($I$13:$I$22,H5)/COUNTA($I$13:$I$22)</f>
        <v>10</v>
      </c>
      <c r="O5" s="4" t="s">
        <v>6</v>
      </c>
      <c r="P5" s="128">
        <f t="shared" ref="P5:P9" si="2">100*COUNTIF($P$15:$P$48,O5)/COUNTA($P$15:$P$48)</f>
        <v>17.647058823529413</v>
      </c>
    </row>
    <row r="6" spans="1:20" x14ac:dyDescent="0.25">
      <c r="A6" s="4" t="s">
        <v>5</v>
      </c>
      <c r="B6" s="128">
        <f t="shared" si="0"/>
        <v>21.428571428571427</v>
      </c>
      <c r="E6" s="27" t="s">
        <v>22</v>
      </c>
      <c r="F6" s="27" t="s">
        <v>21</v>
      </c>
      <c r="H6" s="4" t="s">
        <v>5</v>
      </c>
      <c r="I6" s="128">
        <f t="shared" si="1"/>
        <v>20</v>
      </c>
      <c r="L6" s="27" t="s">
        <v>22</v>
      </c>
      <c r="M6" s="27" t="s">
        <v>21</v>
      </c>
      <c r="O6" s="4" t="s">
        <v>5</v>
      </c>
      <c r="P6" s="128">
        <f t="shared" si="2"/>
        <v>70.588235294117652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26.96</v>
      </c>
      <c r="F7" s="23">
        <f>SUM(F14:F30)</f>
        <v>28.967600000000004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31.4</v>
      </c>
      <c r="M7" s="23">
        <f>SUM(M14:M37)</f>
        <v>30.641599999999993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8.7999999999999989</v>
      </c>
      <c r="T7" s="23">
        <f>SUM(T13:T23)</f>
        <v>7.6391999999999998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AVERAGEIF(E14:E29,"&lt;&gt;0")</f>
        <v>2.0738461538461541</v>
      </c>
      <c r="F8" s="26">
        <f>AVERAGEIF(F13:F26,"&lt;&gt;0")</f>
        <v>1.8225090909090909</v>
      </c>
      <c r="H8" s="4" t="s">
        <v>7</v>
      </c>
      <c r="I8" s="128">
        <f t="shared" si="1"/>
        <v>0</v>
      </c>
      <c r="K8" s="28" t="s">
        <v>13</v>
      </c>
      <c r="L8" s="26">
        <f>AVERAGEIF(L14:L29,"&lt;&gt;0")</f>
        <v>2.2615384615384615</v>
      </c>
      <c r="M8" s="26">
        <f>AVERAGEIF(M17:M22,"&lt;&gt;0")</f>
        <v>1.94</v>
      </c>
      <c r="O8" s="4" t="s">
        <v>7</v>
      </c>
      <c r="P8" s="128">
        <f t="shared" si="2"/>
        <v>2.9411764705882355</v>
      </c>
      <c r="R8" s="28" t="s">
        <v>13</v>
      </c>
      <c r="S8" s="26">
        <f>AVERAGEIF(S14:S29,"&lt;&gt;0")</f>
        <v>1.3333333333333333</v>
      </c>
      <c r="T8" s="26">
        <f>AVERAGEIF(T16:T48,"&lt;&gt;0")</f>
        <v>1.0316952380952382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1735.9050445103856</v>
      </c>
      <c r="F9" s="29">
        <f>3600/F8</f>
        <v>1975.2987888824598</v>
      </c>
      <c r="H9" s="4" t="s">
        <v>23</v>
      </c>
      <c r="I9" s="128">
        <f t="shared" si="1"/>
        <v>0</v>
      </c>
      <c r="K9" s="28" t="s">
        <v>1</v>
      </c>
      <c r="L9" s="25">
        <f>3600/L8</f>
        <v>1591.8367346938776</v>
      </c>
      <c r="M9" s="29">
        <f>3600/M8</f>
        <v>1855.6701030927836</v>
      </c>
      <c r="O9" s="4" t="s">
        <v>23</v>
      </c>
      <c r="P9" s="128">
        <f t="shared" si="2"/>
        <v>0</v>
      </c>
      <c r="R9" s="28" t="s">
        <v>1</v>
      </c>
      <c r="S9" s="25">
        <f>3600/S8</f>
        <v>2700</v>
      </c>
      <c r="T9" s="29">
        <f>3600/T8</f>
        <v>3489.4025552027174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55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55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77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ht="15.75" thickBot="1" x14ac:dyDescent="0.3">
      <c r="A13" s="109">
        <v>6</v>
      </c>
      <c r="B13" s="136" t="s">
        <v>6</v>
      </c>
      <c r="C13" s="116">
        <f>VLOOKUP(B13,Log!$B$2:$C$8,2,)</f>
        <v>0.45</v>
      </c>
      <c r="D13" s="112">
        <v>3.52</v>
      </c>
      <c r="E13" s="114">
        <v>0</v>
      </c>
      <c r="F13" s="114">
        <v>0</v>
      </c>
      <c r="H13" s="115">
        <v>2</v>
      </c>
      <c r="I13" s="115" t="s">
        <v>4</v>
      </c>
      <c r="J13" s="116">
        <f>VLOOKUP(I13,Log!$B$2:$C$8,2,)</f>
        <v>1</v>
      </c>
      <c r="K13" s="113">
        <v>3.4</v>
      </c>
      <c r="L13" s="114">
        <v>0</v>
      </c>
      <c r="M13" s="135">
        <v>0</v>
      </c>
      <c r="N13" s="13"/>
      <c r="O13" s="113">
        <v>5</v>
      </c>
      <c r="P13" s="110" t="s">
        <v>5</v>
      </c>
      <c r="Q13" s="116">
        <f>VLOOKUP(P13,Log!$B$2:$C$8,2,)</f>
        <v>0.38</v>
      </c>
      <c r="R13" s="113">
        <v>2.3199999999999998</v>
      </c>
      <c r="S13" s="114">
        <v>0</v>
      </c>
      <c r="T13" s="114">
        <v>0</v>
      </c>
    </row>
    <row r="14" spans="1:20" ht="15.75" thickBot="1" x14ac:dyDescent="0.3">
      <c r="A14" s="58">
        <v>37</v>
      </c>
      <c r="B14" s="85" t="s">
        <v>5</v>
      </c>
      <c r="C14" s="68">
        <f>VLOOKUP(B14,Log!$B$2:$C$8,2,)</f>
        <v>0.38</v>
      </c>
      <c r="D14" s="5">
        <v>4.5199999999999996</v>
      </c>
      <c r="E14" s="32">
        <f>IF(OR(AND(B14="Motorbike",D14-D13&lt;Log!$C$13),AND(B14&lt;&gt;"Motorbike",D14-D13&lt;Log!$C$12)),0,D14-D13)</f>
        <v>0.99999999999999956</v>
      </c>
      <c r="F14" s="104">
        <f>IF(E15&lt;&gt;0,C14*E14,IF(E16=0,(C14+C15+C16)*E14,(C14+C15)*E14))</f>
        <v>0.82999999999999974</v>
      </c>
      <c r="H14" s="109">
        <v>13</v>
      </c>
      <c r="I14" s="109" t="s">
        <v>4</v>
      </c>
      <c r="J14" s="116">
        <f>VLOOKUP(I14,Log!$B$2:$C$8,2,)</f>
        <v>1</v>
      </c>
      <c r="K14" s="113">
        <v>6.28</v>
      </c>
      <c r="L14" s="138">
        <f>IF(OR(AND(I14="Motorbike",K14-K13&lt;Log!$C$13),AND(I14&lt;&gt;"Motorbike",K14-K13&lt;Log!$C$12)),0,K14-K13)</f>
        <v>2.8800000000000003</v>
      </c>
      <c r="M14" s="139">
        <f>IF(L15&lt;&gt;0,J14*L14,IF(L16=0,(J14+J15+J16)*L14,(J14+J15)*L14))</f>
        <v>2.8800000000000003</v>
      </c>
      <c r="N14" s="13"/>
      <c r="O14" s="115">
        <v>11</v>
      </c>
      <c r="P14" s="110" t="s">
        <v>5</v>
      </c>
      <c r="Q14" s="116">
        <f>VLOOKUP(P14,Log!$B$2:$C$8,2,)</f>
        <v>0.38</v>
      </c>
      <c r="R14" s="113">
        <v>3.48</v>
      </c>
      <c r="S14" s="114">
        <f>IF(OR(AND(P14="Motorbike",R14-R13&lt;Log!$C$13),AND(P14&lt;&gt;"Motorbike",R14-R13&lt;Log!$C$12)),0,R14-R13)</f>
        <v>1.1600000000000001</v>
      </c>
      <c r="T14" s="135">
        <f>IF(S15&lt;&gt;0,Q14*S14,IF(S16=0,(Q14+Q15+Q16)*S14,(Q14+Q15)*S14))</f>
        <v>0.44080000000000008</v>
      </c>
    </row>
    <row r="15" spans="1:20" ht="15.75" thickBot="1" x14ac:dyDescent="0.3">
      <c r="A15" s="83">
        <v>7</v>
      </c>
      <c r="B15" s="86" t="s">
        <v>6</v>
      </c>
      <c r="C15" s="68">
        <f>VLOOKUP(B15,Log!$B$2:$C$8,2,)</f>
        <v>0.45</v>
      </c>
      <c r="D15" s="5">
        <v>4.68</v>
      </c>
      <c r="E15" s="32">
        <f>IF(OR(AND(B15="Motorbike",D15-D14&lt;Log!$C$13),AND(B15&lt;&gt;"Motorbike",D15-D14&lt;Log!$C$12)),0,D15-D14)</f>
        <v>0</v>
      </c>
      <c r="F15" s="104">
        <f t="shared" ref="F15:F34" si="3">IF(E16&lt;&gt;0,C15*E15,IF(E17=0,(C15+C16+C17)*E15,(C15+C16)*E15))</f>
        <v>0</v>
      </c>
      <c r="H15" s="71">
        <v>3</v>
      </c>
      <c r="I15" s="64" t="s">
        <v>4</v>
      </c>
      <c r="J15" s="68">
        <f>VLOOKUP(I15,Log!$B$2:$C$8,2,)</f>
        <v>1</v>
      </c>
      <c r="K15" s="4">
        <v>6.48</v>
      </c>
      <c r="L15" s="132">
        <f>K15-K14</f>
        <v>0.20000000000000018</v>
      </c>
      <c r="M15" s="133">
        <f t="shared" ref="M15:M30" si="4">IF(L16&lt;&gt;0,J15*L15,IF(L17=0,(J15+J16+J17)*L15,(J15+J16)*L15))</f>
        <v>0.20000000000000018</v>
      </c>
      <c r="N15" s="13"/>
      <c r="O15" s="109">
        <v>17</v>
      </c>
      <c r="P15" s="136" t="s">
        <v>5</v>
      </c>
      <c r="Q15" s="116">
        <f>VLOOKUP(P15,Log!$B$2:$C$8,2,)</f>
        <v>0.38</v>
      </c>
      <c r="R15" s="137">
        <v>5.52</v>
      </c>
      <c r="S15" s="138">
        <f>IF(OR(AND(P15="Motorbike",R15-R14&lt;Log!$C$13),AND(P15&lt;&gt;"Motorbike",R15-R14&lt;Log!$C$12)),0,R15-R14)</f>
        <v>2.0399999999999996</v>
      </c>
      <c r="T15" s="139">
        <f t="shared" ref="T15:T48" si="5">IF(S16&lt;&gt;0,Q15*S15,IF(S17=0,(Q15+Q16+Q17)*S15,(Q15+Q16)*S15))</f>
        <v>0.77519999999999989</v>
      </c>
    </row>
    <row r="16" spans="1:20" x14ac:dyDescent="0.25">
      <c r="A16" s="58">
        <v>12</v>
      </c>
      <c r="B16" s="70" t="s">
        <v>4</v>
      </c>
      <c r="C16" s="68">
        <f>VLOOKUP(B16,Log!$B$2:$C$8,2,)</f>
        <v>1</v>
      </c>
      <c r="D16" s="5">
        <v>8</v>
      </c>
      <c r="E16" s="32">
        <f>IF(OR(AND(B16="Motorbike",D16-D15&lt;Log!$C$13),AND(B16&lt;&gt;"Motorbike",D16-D15&lt;Log!$C$12)),0,IF(E15&lt;&gt;0,D16-D15,IF(E14=0,D16-D13,D16-D14)))</f>
        <v>3.4800000000000004</v>
      </c>
      <c r="F16" s="104">
        <f t="shared" si="3"/>
        <v>3.4800000000000004</v>
      </c>
      <c r="H16" s="71">
        <v>18</v>
      </c>
      <c r="I16" s="63" t="s">
        <v>4</v>
      </c>
      <c r="J16" s="68">
        <f>VLOOKUP(I16,Log!$B$2:$C$8,2,)</f>
        <v>1</v>
      </c>
      <c r="K16" s="4">
        <v>9.52</v>
      </c>
      <c r="L16" s="132">
        <f>IF(OR(AND(I16="Motorbike",K16-K15&lt;Log!$C$13),AND(I16&lt;&gt;"Motorbike",K16-K15&lt;Log!$C$12)),0,IF(L15&lt;&gt;0,K16-K15,IF(L14=0,K16-K13,K16-K14)))</f>
        <v>3.0399999999999991</v>
      </c>
      <c r="M16" s="133">
        <f t="shared" si="4"/>
        <v>4.1951999999999989</v>
      </c>
      <c r="N16" s="13"/>
      <c r="O16" s="58">
        <v>34</v>
      </c>
      <c r="P16" s="85" t="s">
        <v>5</v>
      </c>
      <c r="Q16" s="68">
        <f>VLOOKUP(P16,Log!$B$2:$C$8,2,)</f>
        <v>0.38</v>
      </c>
      <c r="R16" s="90">
        <v>6.48</v>
      </c>
      <c r="S16" s="132">
        <f>IF(OR(AND(P16="Motorbike",R16-R15&lt;Log!$C$13),AND(P16&lt;&gt;"Motorbike",R16-R15&lt;Log!$C$12)),0,IF(S15&lt;&gt;0,R16-R15,IF(S14=0,R16-R13,R16-R14)))</f>
        <v>0.96000000000000085</v>
      </c>
      <c r="T16" s="133">
        <f t="shared" si="5"/>
        <v>1.3248000000000011</v>
      </c>
    </row>
    <row r="17" spans="1:20" ht="15.75" thickBot="1" x14ac:dyDescent="0.3">
      <c r="A17" s="58">
        <v>36</v>
      </c>
      <c r="B17" s="54" t="s">
        <v>4</v>
      </c>
      <c r="C17" s="68">
        <f>VLOOKUP(B17,Log!$B$2:$C$8,2,)</f>
        <v>1</v>
      </c>
      <c r="D17" s="5">
        <v>10.119999999999999</v>
      </c>
      <c r="E17" s="32">
        <f>IF(OR(AND(B17="Motorbike",D17-D16&lt;Log!$C$13),AND(B17&lt;&gt;"Motorbike",D17-D16&lt;Log!$C$12)),0,IF(E16&lt;&gt;0,D17-D16,IF(E15=0,D17-D14,D17-D15)))</f>
        <v>2.1199999999999992</v>
      </c>
      <c r="F17" s="104">
        <f t="shared" si="3"/>
        <v>2.1199999999999992</v>
      </c>
      <c r="H17" s="71">
        <v>48</v>
      </c>
      <c r="I17" s="59" t="s">
        <v>5</v>
      </c>
      <c r="J17" s="68">
        <f>VLOOKUP(I17,Log!$B$2:$C$8,2,)</f>
        <v>0.38</v>
      </c>
      <c r="K17" s="4">
        <v>9.8800000000000008</v>
      </c>
      <c r="L17" s="132">
        <f>IF(OR(AND(I17="Motorbike",K17-K16&lt;Log!$C$13),AND(I17&lt;&gt;"Motorbike",K17-K16&lt;Log!$C$12)),0,IF(L16&lt;&gt;0,K17-K16,IF(L15=0,K17-K14,K17-K15)))</f>
        <v>0</v>
      </c>
      <c r="M17" s="133">
        <f t="shared" si="4"/>
        <v>0</v>
      </c>
      <c r="N17" s="13"/>
      <c r="O17" s="58">
        <v>3</v>
      </c>
      <c r="P17" s="86" t="s">
        <v>4</v>
      </c>
      <c r="Q17" s="68">
        <f>VLOOKUP(P17,Log!$B$2:$C$8,2,)</f>
        <v>1</v>
      </c>
      <c r="R17" s="90">
        <v>7</v>
      </c>
      <c r="S17" s="132">
        <f>IF(OR(AND(P17="Motorbike",R17-R16&lt;Log!$C$13),AND(P17&lt;&gt;"Motorbike",R17-R16&lt;Log!$C$12)),0,IF(S16&lt;&gt;0,R17-R16,IF(S15=0,R17-R14,R17-R15)))</f>
        <v>0</v>
      </c>
      <c r="T17" s="133">
        <f t="shared" si="5"/>
        <v>0</v>
      </c>
    </row>
    <row r="18" spans="1:20" ht="15.75" thickBot="1" x14ac:dyDescent="0.3">
      <c r="A18" s="58">
        <v>43</v>
      </c>
      <c r="B18" s="54" t="s">
        <v>6</v>
      </c>
      <c r="C18" s="68">
        <f>VLOOKUP(B18,Log!$B$2:$C$8,2,)</f>
        <v>0.45</v>
      </c>
      <c r="D18" s="5">
        <v>11.32</v>
      </c>
      <c r="E18" s="32">
        <f>IF(OR(AND(B18="Motorbike",D18-D17&lt;Log!$C$13),AND(B18&lt;&gt;"Motorbike",D18-D17&lt;Log!$C$12)),0,IF(E17&lt;&gt;0,D18-D17,IF(E16=0,D18-D15,D18-D16)))</f>
        <v>1.2000000000000011</v>
      </c>
      <c r="F18" s="104">
        <f t="shared" si="3"/>
        <v>0.54000000000000048</v>
      </c>
      <c r="H18" s="71">
        <v>32</v>
      </c>
      <c r="I18" s="81" t="s">
        <v>4</v>
      </c>
      <c r="J18" s="68">
        <f>VLOOKUP(I18,Log!$B$2:$C$8,2,)</f>
        <v>1</v>
      </c>
      <c r="K18" s="4">
        <v>11.92</v>
      </c>
      <c r="L18" s="132">
        <f>IF(OR(AND(I18="Motorbike",K18-K17&lt;Log!$C$13),AND(I18&lt;&gt;"Motorbike",K18-K17&lt;Log!$C$12)),0,IF(L17&lt;&gt;0,K18-K17,IF(L16=0,K18-K15,K18-K16)))</f>
        <v>2.4000000000000004</v>
      </c>
      <c r="M18" s="133">
        <f t="shared" si="4"/>
        <v>2.4000000000000004</v>
      </c>
      <c r="N18" s="13"/>
      <c r="O18" s="58">
        <v>10</v>
      </c>
      <c r="P18" s="85" t="s">
        <v>4</v>
      </c>
      <c r="Q18" s="68">
        <f>VLOOKUP(P18,Log!$B$2:$C$8,2,)</f>
        <v>1</v>
      </c>
      <c r="R18" s="90">
        <v>8.48</v>
      </c>
      <c r="S18" s="132">
        <f>IF(OR(AND(P18="Motorbike",R18-R17&lt;Log!$C$13),AND(P18&lt;&gt;"Motorbike",R18-R17&lt;Log!$C$12)),0,IF(S17&lt;&gt;0,R18-R17,IF(S16=0,R18-R15,R18-R16)))</f>
        <v>2</v>
      </c>
      <c r="T18" s="133">
        <f t="shared" si="5"/>
        <v>2.9</v>
      </c>
    </row>
    <row r="19" spans="1:20" ht="15.75" thickBot="1" x14ac:dyDescent="0.3">
      <c r="A19" s="58">
        <v>57</v>
      </c>
      <c r="B19" s="54" t="s">
        <v>4</v>
      </c>
      <c r="C19" s="68">
        <f>VLOOKUP(B19,Log!$B$2:$C$8,2,)</f>
        <v>1</v>
      </c>
      <c r="D19" s="5">
        <v>12.92</v>
      </c>
      <c r="E19" s="32">
        <f>IF(OR(AND(B19="Motorbike",D19-D18&lt;Log!$C$13),AND(B19&lt;&gt;"Motorbike",D19-D18&lt;Log!$C$12)),0,IF(E18&lt;&gt;0,D19-D18,IF(E17=0,D19-D16,D19-D17)))</f>
        <v>1.5999999999999996</v>
      </c>
      <c r="F19" s="104">
        <f t="shared" si="3"/>
        <v>1.5999999999999996</v>
      </c>
      <c r="H19" s="71">
        <v>54</v>
      </c>
      <c r="I19" s="57" t="s">
        <v>4</v>
      </c>
      <c r="J19" s="68">
        <f>VLOOKUP(I19,Log!$B$2:$C$8,2,)</f>
        <v>1</v>
      </c>
      <c r="K19" s="4">
        <v>13.28</v>
      </c>
      <c r="L19" s="132">
        <f>IF(OR(AND(I19="Motorbike",K19-K18&lt;Log!$C$13),AND(I19&lt;&gt;"Motorbike",K19-K18&lt;Log!$C$12)),0,IF(L18&lt;&gt;0,K19-K18,IF(L17=0,K19-K16,K19-K17)))</f>
        <v>1.3599999999999994</v>
      </c>
      <c r="M19" s="133">
        <f t="shared" si="4"/>
        <v>1.3599999999999994</v>
      </c>
      <c r="N19" s="13"/>
      <c r="O19" s="58">
        <v>4</v>
      </c>
      <c r="P19" s="86" t="s">
        <v>6</v>
      </c>
      <c r="Q19" s="68">
        <f>VLOOKUP(P19,Log!$B$2:$C$8,2,)</f>
        <v>0.45</v>
      </c>
      <c r="R19" s="90">
        <v>8.6</v>
      </c>
      <c r="S19" s="132">
        <f>IF(OR(AND(P19="Motorbike",R19-R18&lt;Log!$C$13),AND(P19&lt;&gt;"Motorbike",R19-R18&lt;Log!$C$12)),0,IF(S18&lt;&gt;0,R19-R18,IF(S17=0,R19-R16,R19-R17)))</f>
        <v>0</v>
      </c>
      <c r="T19" s="133">
        <f t="shared" si="5"/>
        <v>0</v>
      </c>
    </row>
    <row r="20" spans="1:20" x14ac:dyDescent="0.25">
      <c r="A20" s="58">
        <v>75</v>
      </c>
      <c r="B20" s="54" t="s">
        <v>4</v>
      </c>
      <c r="C20" s="68">
        <f>VLOOKUP(B20,Log!$B$2:$C$8,2,)</f>
        <v>1</v>
      </c>
      <c r="D20" s="5">
        <v>14.68</v>
      </c>
      <c r="E20" s="32">
        <f>IF(OR(AND(B20="Motorbike",D20-D19&lt;Log!$C$13),AND(B20&lt;&gt;"Motorbike",D20-D19&lt;Log!$C$12)),0,IF(E19&lt;&gt;0,D20-D19,IF(E18=0,D20-D17,D20-D18)))</f>
        <v>1.7599999999999998</v>
      </c>
      <c r="F20" s="104">
        <f t="shared" si="3"/>
        <v>1.7599999999999998</v>
      </c>
      <c r="H20" s="71">
        <v>72</v>
      </c>
      <c r="I20" s="58" t="s">
        <v>6</v>
      </c>
      <c r="J20" s="68">
        <f>VLOOKUP(I20,Log!$B$2:$C$8,2,)</f>
        <v>0.45</v>
      </c>
      <c r="K20" s="4">
        <v>15.2</v>
      </c>
      <c r="L20" s="132">
        <f>IF(OR(AND(I20="Motorbike",K20-K19&lt;Log!$C$13),AND(I20&lt;&gt;"Motorbike",K20-K19&lt;Log!$C$12)),0,IF(L19&lt;&gt;0,K20-K19,IF(L18=0,K20-K17,K20-K18)))</f>
        <v>1.92</v>
      </c>
      <c r="M20" s="133">
        <f t="shared" si="4"/>
        <v>2.7839999999999998</v>
      </c>
      <c r="N20" s="13"/>
      <c r="O20" s="58">
        <v>66</v>
      </c>
      <c r="P20" s="85" t="s">
        <v>5</v>
      </c>
      <c r="Q20" s="84">
        <f>VLOOKUP(P20,Log!$B$2:$C$8,2,)</f>
        <v>0.38</v>
      </c>
      <c r="R20" s="90">
        <v>9.92</v>
      </c>
      <c r="S20" s="132">
        <f>IF(OR(AND(P20="Motorbike",R20-R19&lt;Log!$C$13),AND(P20&lt;&gt;"Motorbike",R20-R19&lt;Log!$C$12)),0,IF(S19&lt;&gt;0,R20-R19,IF(S18=0,R20-R17,R20-R18)))</f>
        <v>1.4399999999999995</v>
      </c>
      <c r="T20" s="133">
        <f t="shared" si="5"/>
        <v>1.7423999999999993</v>
      </c>
    </row>
    <row r="21" spans="1:20" ht="15.75" thickBot="1" x14ac:dyDescent="0.3">
      <c r="A21" s="58">
        <v>86</v>
      </c>
      <c r="B21" s="69" t="s">
        <v>6</v>
      </c>
      <c r="C21" s="68">
        <f>VLOOKUP(B21,Log!$B$2:$C$8,2,)</f>
        <v>0.45</v>
      </c>
      <c r="D21" s="5">
        <v>17.48</v>
      </c>
      <c r="E21" s="32">
        <f>IF(OR(AND(B21="Motorbike",D21-D20&lt;Log!$C$13),AND(B21&lt;&gt;"Motorbike",D21-D20&lt;Log!$C$12)),0,IF(E20&lt;&gt;0,D21-D20,IF(E19=0,D21-D18,D21-D19)))</f>
        <v>2.8000000000000007</v>
      </c>
      <c r="F21" s="104">
        <f t="shared" si="3"/>
        <v>1.2600000000000005</v>
      </c>
      <c r="H21" s="71">
        <v>71</v>
      </c>
      <c r="I21" s="59" t="s">
        <v>4</v>
      </c>
      <c r="J21" s="68">
        <f>VLOOKUP(I21,Log!$B$2:$C$8,2,)</f>
        <v>1</v>
      </c>
      <c r="K21" s="4">
        <v>15.4</v>
      </c>
      <c r="L21" s="132">
        <f>IF(OR(AND(I21="Motorbike",K21-K20&lt;Log!$C$13),AND(I21&lt;&gt;"Motorbike",K21-K20&lt;Log!$C$12)),0,IF(L20&lt;&gt;0,K21-K20,IF(L19=0,K21-K18,K21-K19)))</f>
        <v>0</v>
      </c>
      <c r="M21" s="133">
        <f t="shared" si="4"/>
        <v>0</v>
      </c>
      <c r="N21" s="13"/>
      <c r="O21" s="58">
        <v>48</v>
      </c>
      <c r="P21" s="87" t="s">
        <v>5</v>
      </c>
      <c r="Q21" s="68">
        <f>VLOOKUP(P21,Log!$B$2:$C$8,2,)</f>
        <v>0.38</v>
      </c>
      <c r="R21" s="90">
        <v>10</v>
      </c>
      <c r="S21" s="132">
        <f>IF(OR(AND(P21="Motorbike",R21-R20&lt;Log!$C$13),AND(P21&lt;&gt;"Motorbike",R21-R20&lt;Log!$C$12)),0,IF(S20&lt;&gt;0,R21-R20,IF(S19=0,R21-R18,R21-R19)))</f>
        <v>0</v>
      </c>
      <c r="T21" s="133">
        <f t="shared" si="5"/>
        <v>0</v>
      </c>
    </row>
    <row r="22" spans="1:20" ht="15.75" thickBot="1" x14ac:dyDescent="0.3">
      <c r="A22" s="58">
        <v>92</v>
      </c>
      <c r="B22" s="85" t="s">
        <v>4</v>
      </c>
      <c r="C22" s="68">
        <f>VLOOKUP(B22,Log!$B$2:$C$8,2,)</f>
        <v>1</v>
      </c>
      <c r="D22" s="5">
        <v>20.2</v>
      </c>
      <c r="E22" s="32">
        <f>IF(OR(AND(B22="Motorbike",D22-D21&lt;Log!$C$13),AND(B22&lt;&gt;"Motorbike",D22-D21&lt;Log!$C$12)),0,IF(E21&lt;&gt;0,D22-D21,IF(E20=0,D22-D19,D22-D20)))</f>
        <v>2.7199999999999989</v>
      </c>
      <c r="F22" s="104">
        <f t="shared" si="3"/>
        <v>3.7535999999999983</v>
      </c>
      <c r="H22" s="71">
        <v>130</v>
      </c>
      <c r="I22" s="57" t="s">
        <v>5</v>
      </c>
      <c r="J22" s="68">
        <f>VLOOKUP(I22,Log!$B$2:$C$8,2,)</f>
        <v>0.38</v>
      </c>
      <c r="K22" s="4">
        <v>18.399999999999999</v>
      </c>
      <c r="L22" s="132">
        <f>IF(OR(AND(I22="Motorbike",K22-K21&lt;Log!$C$13),AND(I22&lt;&gt;"Motorbike",K22-K21&lt;Log!$C$12)),0,IF(L21&lt;&gt;0,K22-K21,IF(L20=0,K22-K19,K22-K20)))</f>
        <v>3.1999999999999993</v>
      </c>
      <c r="M22" s="134">
        <f>IF(I23="Truck",L22*J22,IF(L23&lt;&gt;0,J22*L22,IF(L24=0,(J22+J23+J24)*L22,(J22+J23)*L22)))</f>
        <v>1.2159999999999997</v>
      </c>
      <c r="N22" s="13"/>
      <c r="O22" s="58">
        <v>44</v>
      </c>
      <c r="P22" s="86" t="s">
        <v>6</v>
      </c>
      <c r="Q22" s="68">
        <f>VLOOKUP(P22,Log!$B$2:$C$8,2,)</f>
        <v>0.45</v>
      </c>
      <c r="R22" s="90">
        <v>10.48</v>
      </c>
      <c r="S22" s="132">
        <f>IF(OR(AND(P22="Motorbike",R22-R21&lt;Log!$C$13),AND(P22&lt;&gt;"Motorbike",R22-R21&lt;Log!$C$12)),0,IF(S21&lt;&gt;0,R22-R21,IF(S20=0,R22-R19,R22-R20)))</f>
        <v>0</v>
      </c>
      <c r="T22" s="133">
        <f t="shared" si="5"/>
        <v>0</v>
      </c>
    </row>
    <row r="23" spans="1:20" ht="15.75" thickBot="1" x14ac:dyDescent="0.3">
      <c r="A23" s="58">
        <v>143</v>
      </c>
      <c r="B23" s="86" t="s">
        <v>5</v>
      </c>
      <c r="C23" s="68">
        <f>VLOOKUP(B23,Log!$B$2:$C$8,2,)</f>
        <v>0.38</v>
      </c>
      <c r="D23" s="5">
        <v>20.48</v>
      </c>
      <c r="E23" s="32">
        <f>IF(OR(AND(B23="Motorbike",D23-D22&lt;Log!$C$13),AND(B23&lt;&gt;"Motorbike",D23-D22&lt;Log!$C$12)),0,IF(E22&lt;&gt;0,D23-D22,IF(E21=0,D23-D20,D23-D21)))</f>
        <v>0</v>
      </c>
      <c r="F23" s="104">
        <f t="shared" si="3"/>
        <v>0</v>
      </c>
      <c r="H23" s="71">
        <v>100</v>
      </c>
      <c r="I23" s="154" t="s">
        <v>18</v>
      </c>
      <c r="J23" s="68">
        <f>VLOOKUP(I23,Log!$B$2:$C$8,2,)</f>
        <v>1.02</v>
      </c>
      <c r="K23" s="4">
        <v>18.399999999999999</v>
      </c>
      <c r="L23" s="32">
        <f>K23-K22</f>
        <v>0</v>
      </c>
      <c r="M23" s="103">
        <f t="shared" si="4"/>
        <v>0</v>
      </c>
      <c r="N23" s="13"/>
      <c r="O23" s="58">
        <v>64</v>
      </c>
      <c r="P23" s="94" t="s">
        <v>5</v>
      </c>
      <c r="Q23" s="68">
        <f>VLOOKUP(P23,Log!$B$2:$C$8,2,)</f>
        <v>0.38</v>
      </c>
      <c r="R23" s="90">
        <v>11.12</v>
      </c>
      <c r="S23" s="132">
        <f>IF(OR(AND(P23="Motorbike",R23-R22&lt;Log!$C$13),AND(P23&lt;&gt;"Motorbike",R23-R22&lt;Log!$C$12)),0,IF(S22&lt;&gt;0,R23-R22,IF(S21=0,R23-R20,R23-R21)))</f>
        <v>1.1999999999999993</v>
      </c>
      <c r="T23" s="133">
        <f t="shared" si="5"/>
        <v>0.45599999999999974</v>
      </c>
    </row>
    <row r="24" spans="1:20" ht="15.75" thickBot="1" x14ac:dyDescent="0.3">
      <c r="A24" s="58">
        <v>177</v>
      </c>
      <c r="B24" s="70" t="s">
        <v>5</v>
      </c>
      <c r="C24" s="68">
        <f>VLOOKUP(B24,Log!$B$2:$C$8,2,)</f>
        <v>0.38</v>
      </c>
      <c r="D24" s="5">
        <v>21</v>
      </c>
      <c r="E24" s="32">
        <f>IF(OR(AND(B24="Motorbike",D24-D23&lt;Log!$C$13),AND(B24&lt;&gt;"Motorbike",D24-D23&lt;Log!$C$12)),0,IF(E23&lt;&gt;0,D24-D23,IF(E22=0,D24-D21,D24-D22)))</f>
        <v>0.80000000000000071</v>
      </c>
      <c r="F24" s="104">
        <f t="shared" si="3"/>
        <v>0.30400000000000027</v>
      </c>
      <c r="H24" s="64">
        <v>146</v>
      </c>
      <c r="I24" s="70" t="s">
        <v>5</v>
      </c>
      <c r="J24" s="68">
        <f>VLOOKUP(I24,Log!$B$2:$C$8,2,)</f>
        <v>0.38</v>
      </c>
      <c r="K24" s="4">
        <v>19.68</v>
      </c>
      <c r="L24" s="32">
        <f>IF(OR(AND(I24="Motorbike",K24-K23&lt;Log!$C$13),AND(I24&lt;&gt;"Motorbike",K24-K23&lt;Log!$C$12)),0,IF(L23&lt;&gt;0,K24-K23,IF(L22=0,K24-K21,K24-K22)))</f>
        <v>1.2800000000000011</v>
      </c>
      <c r="M24" s="32">
        <f t="shared" si="4"/>
        <v>0.48640000000000044</v>
      </c>
      <c r="N24" s="13"/>
      <c r="O24" s="58">
        <v>31</v>
      </c>
      <c r="P24" s="87" t="s">
        <v>5</v>
      </c>
      <c r="Q24" s="68">
        <f>VLOOKUP(P24,Log!$B$2:$C$8,2,)</f>
        <v>0.38</v>
      </c>
      <c r="R24" s="90">
        <v>11.68</v>
      </c>
      <c r="S24" s="132">
        <f>IF(OR(AND(P24="Motorbike",R24-R23&lt;Log!$C$13),AND(P24&lt;&gt;"Motorbike",R24-R23&lt;Log!$C$12)),0,IF(S23&lt;&gt;0,R24-R23,IF(S22=0,R24-R21,R24-R22)))</f>
        <v>0.5600000000000005</v>
      </c>
      <c r="T24" s="133">
        <f t="shared" si="5"/>
        <v>0.42560000000000037</v>
      </c>
    </row>
    <row r="25" spans="1:20" ht="15.75" thickBot="1" x14ac:dyDescent="0.3">
      <c r="A25" s="58">
        <v>186</v>
      </c>
      <c r="B25" s="70" t="s">
        <v>4</v>
      </c>
      <c r="C25" s="68">
        <f>VLOOKUP(B25,Log!$B$2:$C$8,2,)</f>
        <v>1</v>
      </c>
      <c r="D25" s="5">
        <v>23.52</v>
      </c>
      <c r="E25" s="32">
        <f>IF(OR(AND(B25="Motorbike",D25-D24&lt;Log!$C$13),AND(B25&lt;&gt;"Motorbike",D25-D24&lt;Log!$C$12)),0,IF(E24&lt;&gt;0,D25-D24,IF(E23=0,D25-D22,D25-D23)))</f>
        <v>2.5199999999999996</v>
      </c>
      <c r="F25" s="104">
        <f t="shared" si="3"/>
        <v>2.5199999999999996</v>
      </c>
      <c r="H25" s="63">
        <v>166</v>
      </c>
      <c r="I25" s="54" t="s">
        <v>4</v>
      </c>
      <c r="J25" s="68">
        <f>VLOOKUP(I25,Log!$B$2:$C$8,2,)</f>
        <v>1</v>
      </c>
      <c r="K25" s="4">
        <v>22.48</v>
      </c>
      <c r="L25" s="32">
        <f>IF(OR(AND(I25="Motorbike",K25-K24&lt;Log!$C$13),AND(I25&lt;&gt;"Motorbike",K25-K24&lt;Log!$C$12)),0,IF(L24&lt;&gt;0,K25-K24,IF(L23=0,K25-K22,K25-K23)))</f>
        <v>2.8000000000000007</v>
      </c>
      <c r="M25" s="32">
        <f t="shared" si="4"/>
        <v>2.8000000000000007</v>
      </c>
      <c r="N25" s="13"/>
      <c r="O25" s="58">
        <v>58</v>
      </c>
      <c r="P25" s="86" t="s">
        <v>5</v>
      </c>
      <c r="Q25" s="68">
        <f>VLOOKUP(P25,Log!$B$2:$C$8,2,)</f>
        <v>0.38</v>
      </c>
      <c r="R25" s="90">
        <v>12.12</v>
      </c>
      <c r="S25" s="132">
        <f>IF(OR(AND(P25="Motorbike",R25-R24&lt;Log!$C$13),AND(P25&lt;&gt;"Motorbike",R25-R24&lt;Log!$C$12)),0,IF(S24&lt;&gt;0,R25-R24,IF(S23=0,R25-R22,R25-R23)))</f>
        <v>0</v>
      </c>
      <c r="T25" s="133">
        <f t="shared" si="5"/>
        <v>0</v>
      </c>
    </row>
    <row r="26" spans="1:20" ht="15.75" thickBot="1" x14ac:dyDescent="0.3">
      <c r="A26" s="59">
        <v>205</v>
      </c>
      <c r="B26" s="54" t="s">
        <v>4</v>
      </c>
      <c r="C26" s="68">
        <f>VLOOKUP(B26,Log!$B$2:$C$8,2,)</f>
        <v>1</v>
      </c>
      <c r="D26" s="5">
        <v>25.4</v>
      </c>
      <c r="E26" s="32">
        <f>IF(OR(AND(B26="Motorbike",D26-D25&lt;Log!$C$13),AND(B26&lt;&gt;"Motorbike",D26-D25&lt;Log!$C$12)),0,IF(E25&lt;&gt;0,D26-D25,IF(E24=0,D26-D23,D26-D24)))</f>
        <v>1.879999999999999</v>
      </c>
      <c r="F26" s="104">
        <f t="shared" si="3"/>
        <v>1.879999999999999</v>
      </c>
      <c r="H26" s="71">
        <v>162</v>
      </c>
      <c r="I26" s="54" t="s">
        <v>4</v>
      </c>
      <c r="J26" s="68">
        <f>VLOOKUP(I26,Log!$B$2:$C$8,2,)</f>
        <v>1</v>
      </c>
      <c r="K26" s="4">
        <v>23.92</v>
      </c>
      <c r="L26" s="32">
        <f>IF(OR(AND(I26="Motorbike",K26-K25&lt;Log!$C$13),AND(I26&lt;&gt;"Motorbike",K26-K25&lt;Log!$C$12)),0,IF(L25&lt;&gt;0,K26-K25,IF(L24=0,K26-K23,K26-K24)))</f>
        <v>1.4400000000000013</v>
      </c>
      <c r="M26" s="32">
        <f t="shared" si="4"/>
        <v>1.4400000000000013</v>
      </c>
      <c r="N26" s="13"/>
      <c r="O26" s="58">
        <v>89</v>
      </c>
      <c r="P26" s="85" t="s">
        <v>5</v>
      </c>
      <c r="Q26" s="68">
        <f>VLOOKUP(P26,Log!$B$2:$C$8,2,)</f>
        <v>0.38</v>
      </c>
      <c r="R26" s="90">
        <v>13.28</v>
      </c>
      <c r="S26" s="132">
        <f>IF(OR(AND(P26="Motorbike",R26-R25&lt;Log!$C$13),AND(P26&lt;&gt;"Motorbike",R26-R25&lt;Log!$C$12)),0,IF(S25&lt;&gt;0,R26-R25,IF(S24=0,R26-R23,R26-R24)))</f>
        <v>1.5999999999999996</v>
      </c>
      <c r="T26" s="133">
        <f t="shared" si="5"/>
        <v>1.2159999999999997</v>
      </c>
    </row>
    <row r="27" spans="1:20" ht="15.75" thickBot="1" x14ac:dyDescent="0.3">
      <c r="A27" s="57">
        <v>199</v>
      </c>
      <c r="B27" s="54" t="s">
        <v>4</v>
      </c>
      <c r="C27" s="68">
        <f>VLOOKUP(B27,Log!$B$2:$C$8,2,)</f>
        <v>1</v>
      </c>
      <c r="D27" s="5">
        <v>28.48</v>
      </c>
      <c r="E27" s="32">
        <f>IF(OR(AND(B27="Motorbike",D27-D26&lt;Log!$C$13),AND(B27&lt;&gt;"Motorbike",D27-D26&lt;Log!$C$12)),0,IF(E26&lt;&gt;0,D27-D26,IF(E25=0,D27-D24,D27-D25)))</f>
        <v>3.0800000000000018</v>
      </c>
      <c r="F27" s="32">
        <f t="shared" si="3"/>
        <v>6.1600000000000037</v>
      </c>
      <c r="H27" s="64">
        <v>211</v>
      </c>
      <c r="I27" s="54" t="s">
        <v>4</v>
      </c>
      <c r="J27" s="68">
        <f>VLOOKUP(I27,Log!$B$2:$C$8,2,)</f>
        <v>1</v>
      </c>
      <c r="K27" s="4">
        <v>26.2</v>
      </c>
      <c r="L27" s="32">
        <f>IF(OR(AND(I27="Motorbike",K27-K26&lt;Log!$C$13),AND(I27&lt;&gt;"Motorbike",K27-K26&lt;Log!$C$12)),0,IF(L26&lt;&gt;0,K27-K26,IF(L25=0,K27-K24,K27-K25)))</f>
        <v>2.2799999999999976</v>
      </c>
      <c r="M27" s="32">
        <f t="shared" si="4"/>
        <v>2.2799999999999976</v>
      </c>
      <c r="N27" s="13"/>
      <c r="O27" s="58">
        <v>112</v>
      </c>
      <c r="P27" s="86" t="s">
        <v>5</v>
      </c>
      <c r="Q27" s="68">
        <f>VLOOKUP(P27,Log!$B$2:$C$8,2,)</f>
        <v>0.38</v>
      </c>
      <c r="R27" s="90">
        <v>13.72</v>
      </c>
      <c r="S27" s="132">
        <f>IF(OR(AND(P27="Motorbike",R27-R26&lt;Log!$C$13),AND(P27&lt;&gt;"Motorbike",R27-R26&lt;Log!$C$12)),0,IF(S26&lt;&gt;0,R27-R26,IF(S25=0,R27-R24,R27-R25)))</f>
        <v>0</v>
      </c>
      <c r="T27" s="133">
        <f t="shared" si="5"/>
        <v>0</v>
      </c>
    </row>
    <row r="28" spans="1:20" x14ac:dyDescent="0.25">
      <c r="A28" s="58">
        <v>220</v>
      </c>
      <c r="B28" s="54" t="s">
        <v>4</v>
      </c>
      <c r="C28" s="68">
        <f>VLOOKUP(B28,Log!$B$2:$C$8,2,)</f>
        <v>1</v>
      </c>
      <c r="D28" s="5">
        <v>29.4</v>
      </c>
      <c r="E28" s="32">
        <f>IF(OR(AND(B28="Motorbike",D28-D27&lt;Log!$C$13),AND(B28&lt;&gt;"Motorbike",D28-D27&lt;Log!$C$12)),0,IF(E27&lt;&gt;0,D28-D27,IF(E26=0,D28-D25,D28-D26)))</f>
        <v>0</v>
      </c>
      <c r="F28" s="32">
        <f t="shared" si="3"/>
        <v>0</v>
      </c>
      <c r="H28" s="56">
        <v>160</v>
      </c>
      <c r="I28" s="4" t="s">
        <v>4</v>
      </c>
      <c r="J28" s="68">
        <f>VLOOKUP(I28,Log!$B$2:$C$8,2,)</f>
        <v>1</v>
      </c>
      <c r="K28" s="4">
        <v>30</v>
      </c>
      <c r="L28" s="32">
        <f>IF(OR(AND(I28="Motorbike",K28-K27&lt;Log!$C$13),AND(I28&lt;&gt;"Motorbike",K28-K27&lt;Log!$C$12)),0,IF(L27&lt;&gt;0,K28-K27,IF(L26=0,K28-K25,K28-K26)))</f>
        <v>3.8000000000000007</v>
      </c>
      <c r="M28" s="32">
        <f t="shared" si="4"/>
        <v>3.8000000000000007</v>
      </c>
      <c r="N28" s="13"/>
      <c r="O28" s="58">
        <v>82</v>
      </c>
      <c r="P28" s="85" t="s">
        <v>5</v>
      </c>
      <c r="Q28" s="68">
        <f>VLOOKUP(P28,Log!$B$2:$C$8,2,)</f>
        <v>0.38</v>
      </c>
      <c r="R28" s="90">
        <v>14.32</v>
      </c>
      <c r="S28" s="132">
        <f>IF(OR(AND(P28="Motorbike",R28-R27&lt;Log!$C$13),AND(P28&lt;&gt;"Motorbike",R28-R27&lt;Log!$C$12)),0,IF(S27&lt;&gt;0,R28-R27,IF(S26=0,R28-R25,R28-R26)))</f>
        <v>1.0400000000000009</v>
      </c>
      <c r="T28" s="133">
        <f t="shared" si="5"/>
        <v>0.86320000000000086</v>
      </c>
    </row>
    <row r="29" spans="1:20" ht="15.75" thickBot="1" x14ac:dyDescent="0.3">
      <c r="A29" s="83">
        <v>250</v>
      </c>
      <c r="B29" s="54" t="s">
        <v>5</v>
      </c>
      <c r="C29" s="68">
        <f>VLOOKUP(B29,Log!$B$2:$C$8,2,)</f>
        <v>0.38</v>
      </c>
      <c r="D29" s="5">
        <v>30.48</v>
      </c>
      <c r="E29" s="32">
        <f>IF(OR(AND(B29="Motorbike",D29-D28&lt;Log!$C$13),AND(B29&lt;&gt;"Motorbike",D29-D28&lt;Log!$C$12)),0,IF(E28&lt;&gt;0,D29-D28,IF(E27=0,D29-D26,D29-D27)))</f>
        <v>2</v>
      </c>
      <c r="F29" s="32">
        <f t="shared" si="3"/>
        <v>2.76</v>
      </c>
      <c r="H29" s="4">
        <v>237</v>
      </c>
      <c r="I29" s="4" t="s">
        <v>4</v>
      </c>
      <c r="J29" s="5">
        <f>VLOOKUP(I29,Log!$B$2:$C$8,2,)</f>
        <v>1</v>
      </c>
      <c r="K29" s="4">
        <v>32.799999999999997</v>
      </c>
      <c r="L29" s="32">
        <f>IF(OR(AND(I29="Motorbike",K29-K28&lt;Log!$C$13),AND(I29&lt;&gt;"Motorbike",K29-K28&lt;Log!$C$12)),0,IF(L28&lt;&gt;0,K29-K28,IF(L27=0,K29-K26,K29-K27)))</f>
        <v>2.7999999999999972</v>
      </c>
      <c r="M29" s="32">
        <f t="shared" si="4"/>
        <v>2.7999999999999972</v>
      </c>
      <c r="N29" s="13"/>
      <c r="O29" s="58">
        <v>65</v>
      </c>
      <c r="P29" s="86" t="s">
        <v>6</v>
      </c>
      <c r="Q29" s="68">
        <f>VLOOKUP(P29,Log!$B$2:$C$8,2,)</f>
        <v>0.45</v>
      </c>
      <c r="R29" s="90">
        <v>14.52</v>
      </c>
      <c r="S29" s="132">
        <f>IF(OR(AND(P29="Motorbike",R29-R28&lt;Log!$C$13),AND(P29&lt;&gt;"Motorbike",R29-R28&lt;Log!$C$12)),0,IF(S28&lt;&gt;0,R29-R28,IF(S27=0,R29-R26,R29-R27)))</f>
        <v>0</v>
      </c>
      <c r="T29" s="133">
        <f t="shared" si="5"/>
        <v>0</v>
      </c>
    </row>
    <row r="30" spans="1:20" ht="15.75" thickBot="1" x14ac:dyDescent="0.3">
      <c r="A30" s="58">
        <v>160</v>
      </c>
      <c r="B30" s="54" t="s">
        <v>4</v>
      </c>
      <c r="C30" s="68">
        <f>VLOOKUP(B30,Log!$B$2:$C$8,2,)</f>
        <v>1</v>
      </c>
      <c r="D30" s="5">
        <v>31.12</v>
      </c>
      <c r="E30" s="32">
        <f>IF(OR(AND(B30="Motorbike",D30-D29&lt;Log!$C$13),AND(B30&lt;&gt;"Motorbike",D30-D29&lt;Log!$C$12)),0,IF(E29&lt;&gt;0,D30-D29,IF(E28=0,D30-D27,D30-D28)))</f>
        <v>0</v>
      </c>
      <c r="F30" s="32">
        <f t="shared" si="3"/>
        <v>0</v>
      </c>
      <c r="H30" s="4">
        <v>259</v>
      </c>
      <c r="I30" s="4" t="s">
        <v>4</v>
      </c>
      <c r="J30" s="5">
        <f>VLOOKUP(I30,Log!$B$2:$C$8,2,)</f>
        <v>1</v>
      </c>
      <c r="K30" s="4">
        <v>34.799999999999997</v>
      </c>
      <c r="L30" s="32">
        <f>IF(OR(AND(I30="Motorbike",K30-K29&lt;Log!$C$13),AND(I30&lt;&gt;"Motorbike",K30-K29&lt;Log!$C$12)),0,IF(L29&lt;&gt;0,K30-K29,IF(L28=0,K30-K27,K30-K28)))</f>
        <v>2</v>
      </c>
      <c r="M30" s="32">
        <f t="shared" si="4"/>
        <v>2</v>
      </c>
      <c r="N30" s="13"/>
      <c r="O30" s="58">
        <v>105</v>
      </c>
      <c r="P30" s="81" t="s">
        <v>6</v>
      </c>
      <c r="Q30" s="68">
        <f>VLOOKUP(P30,Log!$B$2:$C$8,2,)</f>
        <v>0.45</v>
      </c>
      <c r="R30" s="7">
        <v>15.92</v>
      </c>
      <c r="S30" s="132">
        <f>IF(OR(AND(P30="Motorbike",R30-R29&lt;Log!$C$13),AND(P30&lt;&gt;"Motorbike",R30-R29&lt;Log!$C$12)),0,IF(S29&lt;&gt;0,R30-R29,IF(S28=0,R30-R27,R30-R28)))</f>
        <v>1.5999999999999996</v>
      </c>
      <c r="T30" s="133">
        <f t="shared" si="5"/>
        <v>0.71999999999999986</v>
      </c>
    </row>
    <row r="31" spans="1:20" x14ac:dyDescent="0.25">
      <c r="A31" s="58">
        <v>234</v>
      </c>
      <c r="B31" s="54" t="s">
        <v>4</v>
      </c>
      <c r="C31" s="68">
        <f>VLOOKUP(B31,Log!$B$2:$C$8,2,)</f>
        <v>1</v>
      </c>
      <c r="D31" s="5">
        <v>33.200000000000003</v>
      </c>
      <c r="E31" s="32">
        <f>IF(OR(AND(B31="Motorbike",D31-D30&lt;Log!$C$13),AND(B31&lt;&gt;"Motorbike",D31-D30&lt;Log!$C$12)),0,IF(E30&lt;&gt;0,D31-D30,IF(E29=0,D31-D28,D31-D29)))</f>
        <v>2.7200000000000024</v>
      </c>
      <c r="F31" s="32">
        <f t="shared" si="3"/>
        <v>2.7200000000000024</v>
      </c>
      <c r="N31" s="13"/>
      <c r="O31" s="58">
        <v>131</v>
      </c>
      <c r="P31" s="85" t="s">
        <v>5</v>
      </c>
      <c r="Q31" s="68">
        <f>VLOOKUP(P31,Log!$B$2:$C$8,2,)</f>
        <v>0.38</v>
      </c>
      <c r="R31" s="90">
        <v>16.68</v>
      </c>
      <c r="S31" s="132">
        <f>IF(OR(AND(P31="Motorbike",R31-R30&lt;Log!$C$13),AND(P31&lt;&gt;"Motorbike",R31-R30&lt;Log!$C$12)),0,IF(S30&lt;&gt;0,R31-R30,IF(S29=0,R31-R28,R31-R29)))</f>
        <v>0.75999999999999979</v>
      </c>
      <c r="T31" s="133">
        <f t="shared" si="5"/>
        <v>0.91959999999999975</v>
      </c>
    </row>
    <row r="32" spans="1:20" x14ac:dyDescent="0.25">
      <c r="A32" s="58">
        <v>252</v>
      </c>
      <c r="B32" s="54" t="s">
        <v>4</v>
      </c>
      <c r="C32" s="68">
        <f>VLOOKUP(B32,Log!$B$2:$C$8,2,)</f>
        <v>1</v>
      </c>
      <c r="D32" s="5">
        <v>34.28</v>
      </c>
      <c r="E32" s="32">
        <f>IF(OR(AND(B32="Motorbike",D32-D31&lt;Log!$C$13),AND(B32&lt;&gt;"Motorbike",D32-D31&lt;Log!$C$12)),0,IF(E31&lt;&gt;0,D32-D31,IF(E30=0,D32-D29,D32-D30)))</f>
        <v>1.0799999999999983</v>
      </c>
      <c r="F32" s="32">
        <f t="shared" si="3"/>
        <v>1.0799999999999983</v>
      </c>
      <c r="N32" s="13"/>
      <c r="O32" s="58">
        <v>115</v>
      </c>
      <c r="P32" s="87" t="s">
        <v>6</v>
      </c>
      <c r="Q32" s="68">
        <f>VLOOKUP(P32,Log!$B$2:$C$8,2,)</f>
        <v>0.45</v>
      </c>
      <c r="R32" s="90">
        <v>16.8</v>
      </c>
      <c r="S32" s="132">
        <f>IF(OR(AND(P32="Motorbike",R32-R31&lt;Log!$C$13),AND(P32&lt;&gt;"Motorbike",R32-R31&lt;Log!$C$12)),0,IF(S31&lt;&gt;0,R32-R31,IF(S30=0,R32-R29,R32-R30)))</f>
        <v>0</v>
      </c>
      <c r="T32" s="133">
        <f t="shared" si="5"/>
        <v>0</v>
      </c>
    </row>
    <row r="33" spans="1:20" ht="15.75" thickBot="1" x14ac:dyDescent="0.3">
      <c r="A33" s="58">
        <v>274</v>
      </c>
      <c r="B33" s="54" t="s">
        <v>5</v>
      </c>
      <c r="C33" s="68">
        <f>VLOOKUP(B33,Log!$B$2:$C$8,2,)</f>
        <v>0.38</v>
      </c>
      <c r="D33" s="5">
        <v>35.880000000000003</v>
      </c>
      <c r="E33" s="32">
        <f>IF(OR(AND(B33="Motorbike",D33-D32&lt;Log!$C$13),AND(B33&lt;&gt;"Motorbike",D33-D32&lt;Log!$C$12)),0,IF(E32&lt;&gt;0,D33-D32,IF(E31=0,D33-D30,D33-D31)))</f>
        <v>1.6000000000000014</v>
      </c>
      <c r="F33" s="32">
        <f t="shared" si="3"/>
        <v>2.208000000000002</v>
      </c>
      <c r="N33" s="13"/>
      <c r="O33" s="58">
        <v>158</v>
      </c>
      <c r="P33" s="86" t="s">
        <v>5</v>
      </c>
      <c r="Q33" s="68">
        <f>VLOOKUP(P33,Log!$B$2:$C$8,2,)</f>
        <v>0.38</v>
      </c>
      <c r="R33" s="90">
        <v>16.8</v>
      </c>
      <c r="S33" s="132">
        <f>IF(OR(AND(P33="Motorbike",R33-R32&lt;Log!$C$13),AND(P33&lt;&gt;"Motorbike",R33-R32&lt;Log!$C$12)),0,IF(S32&lt;&gt;0,R33-R32,IF(S31=0,R33-R30,R33-R31)))</f>
        <v>0</v>
      </c>
      <c r="T33" s="133">
        <f t="shared" si="5"/>
        <v>0</v>
      </c>
    </row>
    <row r="34" spans="1:20" ht="15.75" thickBot="1" x14ac:dyDescent="0.3">
      <c r="A34" s="59">
        <v>264</v>
      </c>
      <c r="B34" s="54" t="s">
        <v>4</v>
      </c>
      <c r="C34" s="68">
        <f>VLOOKUP(B34,Log!$B$2:$C$8,2,)</f>
        <v>1</v>
      </c>
      <c r="D34" s="5">
        <v>36.479999999999997</v>
      </c>
      <c r="E34" s="32">
        <f>IF(OR(AND(B34="Motorbike",D34-D33&lt;Log!$C$13),AND(B34&lt;&gt;"Motorbike",D34-D33&lt;Log!$C$12)),0,IF(E33&lt;&gt;0,D34-D33,IF(E32=0,D34-D31,D34-D32)))</f>
        <v>0</v>
      </c>
      <c r="F34" s="32">
        <f t="shared" si="3"/>
        <v>0</v>
      </c>
      <c r="N34" s="13"/>
      <c r="O34" s="58">
        <v>137</v>
      </c>
      <c r="P34" s="85" t="s">
        <v>5</v>
      </c>
      <c r="Q34" s="68">
        <f>VLOOKUP(P34,Log!$B$2:$C$8,2,)</f>
        <v>0.38</v>
      </c>
      <c r="R34" s="90">
        <v>17.88</v>
      </c>
      <c r="S34" s="132">
        <f>IF(OR(AND(P34="Motorbike",R34-R33&lt;Log!$C$13),AND(P34&lt;&gt;"Motorbike",R34-R33&lt;Log!$C$12)),0,IF(S33&lt;&gt;0,R34-R33,IF(S32=0,R34-R31,R34-R32)))</f>
        <v>1.1999999999999993</v>
      </c>
      <c r="T34" s="133">
        <f t="shared" si="5"/>
        <v>0.91199999999999948</v>
      </c>
    </row>
    <row r="35" spans="1:20" ht="15.75" thickBot="1" x14ac:dyDescent="0.3">
      <c r="O35" s="58">
        <v>139</v>
      </c>
      <c r="P35" s="86" t="s">
        <v>5</v>
      </c>
      <c r="Q35" s="68">
        <f>VLOOKUP(P35,Log!$B$2:$C$8,2,)</f>
        <v>0.38</v>
      </c>
      <c r="R35" s="90">
        <v>18.2</v>
      </c>
      <c r="S35" s="132">
        <f>IF(OR(AND(P35="Motorbike",R35-R34&lt;Log!$C$13),AND(P35&lt;&gt;"Motorbike",R35-R34&lt;Log!$C$12)),0,IF(S34&lt;&gt;0,R35-R34,IF(S33=0,R35-R32,R35-R33)))</f>
        <v>0</v>
      </c>
      <c r="T35" s="133">
        <f t="shared" si="5"/>
        <v>0</v>
      </c>
    </row>
    <row r="36" spans="1:20" x14ac:dyDescent="0.25">
      <c r="J36" s="13"/>
      <c r="L36" s="52"/>
      <c r="M36" s="52"/>
      <c r="O36" s="58">
        <v>117</v>
      </c>
      <c r="P36" s="70" t="s">
        <v>5</v>
      </c>
      <c r="Q36" s="68">
        <f>VLOOKUP(P36,Log!$B$2:$C$8,2,)</f>
        <v>0.38</v>
      </c>
      <c r="R36" s="4">
        <v>18.88</v>
      </c>
      <c r="S36" s="132">
        <f>IF(OR(AND(P36="Motorbike",R36-R35&lt;Log!$C$13),AND(P36&lt;&gt;"Motorbike",R36-R35&lt;Log!$C$12)),0,IF(S35&lt;&gt;0,R36-R35,IF(S34=0,R36-R33,R36-R34)))</f>
        <v>1</v>
      </c>
      <c r="T36" s="133">
        <f t="shared" si="5"/>
        <v>0.38</v>
      </c>
    </row>
    <row r="37" spans="1:20" x14ac:dyDescent="0.25">
      <c r="J37" s="13"/>
      <c r="L37" s="52"/>
      <c r="M37" s="52"/>
      <c r="O37" s="58">
        <v>146</v>
      </c>
      <c r="P37" s="54" t="s">
        <v>5</v>
      </c>
      <c r="Q37" s="68">
        <f>VLOOKUP(P37,Log!$B$2:$C$8,2,)</f>
        <v>0.38</v>
      </c>
      <c r="R37" s="4">
        <v>19.88</v>
      </c>
      <c r="S37" s="132">
        <f>IF(OR(AND(P37="Motorbike",R37-R36&lt;Log!$C$13),AND(P37&lt;&gt;"Motorbike",R37-R36&lt;Log!$C$12)),0,IF(S36&lt;&gt;0,R37-R36,IF(S35=0,R37-R34,R37-R35)))</f>
        <v>1</v>
      </c>
      <c r="T37" s="133">
        <f t="shared" si="5"/>
        <v>0.38</v>
      </c>
    </row>
    <row r="38" spans="1:20" x14ac:dyDescent="0.25">
      <c r="O38" s="58">
        <v>191</v>
      </c>
      <c r="P38" s="54" t="s">
        <v>5</v>
      </c>
      <c r="Q38" s="68">
        <f>VLOOKUP(P38,Log!$B$2:$C$8,2,)</f>
        <v>0.38</v>
      </c>
      <c r="R38" s="4">
        <v>20.68</v>
      </c>
      <c r="S38" s="132">
        <f>IF(OR(AND(P38="Motorbike",R38-R37&lt;Log!$C$13),AND(P38&lt;&gt;"Motorbike",R38-R37&lt;Log!$C$12)),0,IF(S37&lt;&gt;0,R38-R37,IF(S36=0,R38-R35,R38-R36)))</f>
        <v>0.80000000000000071</v>
      </c>
      <c r="T38" s="133">
        <f t="shared" si="5"/>
        <v>0.30400000000000027</v>
      </c>
    </row>
    <row r="39" spans="1:20" x14ac:dyDescent="0.25">
      <c r="O39" s="58">
        <v>183</v>
      </c>
      <c r="P39" s="54" t="s">
        <v>5</v>
      </c>
      <c r="Q39" s="68">
        <f>VLOOKUP(P39,Log!$B$2:$C$8,2,)</f>
        <v>0.38</v>
      </c>
      <c r="R39" s="4">
        <v>21.8</v>
      </c>
      <c r="S39" s="132">
        <f>IF(OR(AND(P39="Motorbike",R39-R38&lt;Log!$C$13),AND(P39&lt;&gt;"Motorbike",R39-R38&lt;Log!$C$12)),0,IF(S38&lt;&gt;0,R39-R38,IF(S37=0,R39-R36,R39-R37)))</f>
        <v>1.120000000000001</v>
      </c>
      <c r="T39" s="133">
        <f t="shared" si="5"/>
        <v>0.42560000000000037</v>
      </c>
    </row>
    <row r="40" spans="1:20" ht="15.75" thickBot="1" x14ac:dyDescent="0.3">
      <c r="O40" s="95">
        <v>122</v>
      </c>
      <c r="P40" s="69" t="s">
        <v>5</v>
      </c>
      <c r="Q40" s="68">
        <f>VLOOKUP(P40,Log!$B$2:$C$8,2,)</f>
        <v>0.38</v>
      </c>
      <c r="R40" s="4">
        <v>23.4</v>
      </c>
      <c r="S40" s="132">
        <f>IF(OR(AND(P40="Motorbike",R40-R39&lt;Log!$C$13),AND(P40&lt;&gt;"Motorbike",R40-R39&lt;Log!$C$12)),0,IF(S39&lt;&gt;0,R40-R39,IF(S38=0,R40-R37,R40-R38)))</f>
        <v>1.5999999999999979</v>
      </c>
      <c r="T40" s="133">
        <f t="shared" si="5"/>
        <v>0.60799999999999921</v>
      </c>
    </row>
    <row r="41" spans="1:20" x14ac:dyDescent="0.25">
      <c r="O41" s="67">
        <v>208</v>
      </c>
      <c r="P41" s="57" t="s">
        <v>5</v>
      </c>
      <c r="Q41" s="68">
        <f>VLOOKUP(P41,Log!$B$2:$C$8,2,)</f>
        <v>0.38</v>
      </c>
      <c r="R41" s="4">
        <v>25.08</v>
      </c>
      <c r="S41" s="132">
        <f>IF(OR(AND(P41="Motorbike",R41-R40&lt;Log!$C$13),AND(P41&lt;&gt;"Motorbike",R41-R40&lt;Log!$C$12)),0,IF(S40&lt;&gt;0,R41-R40,IF(S39=0,R41-R38,R41-R39)))</f>
        <v>1.6799999999999997</v>
      </c>
      <c r="T41" s="148">
        <f t="shared" si="5"/>
        <v>1.2767999999999997</v>
      </c>
    </row>
    <row r="42" spans="1:20" ht="15.75" thickBot="1" x14ac:dyDescent="0.3">
      <c r="O42" s="17">
        <v>225</v>
      </c>
      <c r="P42" s="59" t="s">
        <v>5</v>
      </c>
      <c r="Q42" s="68">
        <f>VLOOKUP(P42,Log!$B$2:$C$8,2,)</f>
        <v>0.38</v>
      </c>
      <c r="R42" s="4">
        <v>25.08</v>
      </c>
      <c r="S42" s="132">
        <f>IF(OR(AND(P42="Motorbike",R42-R41&lt;Log!$C$13),AND(P42&lt;&gt;"Motorbike",R42-R41&lt;Log!$C$12)),0,IF(S41&lt;&gt;0,R42-R41,IF(S40=0,R42-R39,R42-R40)))</f>
        <v>0</v>
      </c>
      <c r="T42" s="133">
        <f t="shared" si="5"/>
        <v>0</v>
      </c>
    </row>
    <row r="43" spans="1:20" x14ac:dyDescent="0.25">
      <c r="O43" s="4">
        <v>221</v>
      </c>
      <c r="P43" s="56" t="s">
        <v>5</v>
      </c>
      <c r="Q43" s="68">
        <f>VLOOKUP(P43,Log!$B$2:$C$8,2,)</f>
        <v>0.38</v>
      </c>
      <c r="R43" s="4">
        <v>26</v>
      </c>
      <c r="S43" s="132">
        <f>IF(OR(AND(P43="Motorbike",R43-R42&lt;Log!$C$13),AND(P43&lt;&gt;"Motorbike",R43-R42&lt;Log!$C$12)),0,IF(S42&lt;&gt;0,R43-R42,IF(S41=0,R43-R40,R43-R41)))</f>
        <v>0.92000000000000171</v>
      </c>
      <c r="T43" s="133">
        <f t="shared" si="5"/>
        <v>0.34960000000000063</v>
      </c>
    </row>
    <row r="44" spans="1:20" x14ac:dyDescent="0.25">
      <c r="O44" s="4">
        <v>214</v>
      </c>
      <c r="P44" s="4" t="s">
        <v>7</v>
      </c>
      <c r="Q44" s="68">
        <f>VLOOKUP(P44,Log!$B$2:$C$8,2,)</f>
        <v>0.33</v>
      </c>
      <c r="R44" s="4">
        <v>27.88</v>
      </c>
      <c r="S44" s="132">
        <f>IF(OR(AND(P44="Motorbike",R44-R43&lt;Log!$C$13),AND(P44&lt;&gt;"Motorbike",R44-R43&lt;Log!$C$12)),0,IF(S43&lt;&gt;0,R44-R43,IF(S42=0,R44-R41,R44-R42)))</f>
        <v>1.879999999999999</v>
      </c>
      <c r="T44" s="133">
        <f t="shared" si="5"/>
        <v>0.62039999999999973</v>
      </c>
    </row>
    <row r="45" spans="1:20" x14ac:dyDescent="0.25">
      <c r="O45" s="4">
        <v>238</v>
      </c>
      <c r="P45" s="4" t="s">
        <v>5</v>
      </c>
      <c r="Q45" s="68">
        <f>VLOOKUP(P45,Log!$B$2:$C$8,2,)</f>
        <v>0.38</v>
      </c>
      <c r="R45" s="4">
        <v>30.28</v>
      </c>
      <c r="S45" s="132">
        <f>IF(OR(AND(P45="Motorbike",R45-R44&lt;Log!$C$13),AND(P45&lt;&gt;"Motorbike",R45-R44&lt;Log!$C$12)),0,IF(S44&lt;&gt;0,R45-R44,IF(S43=0,R45-R42,R45-R43)))</f>
        <v>2.4000000000000021</v>
      </c>
      <c r="T45" s="133">
        <f t="shared" si="5"/>
        <v>0.91200000000000081</v>
      </c>
    </row>
    <row r="46" spans="1:20" x14ac:dyDescent="0.25">
      <c r="O46" s="4">
        <v>248</v>
      </c>
      <c r="P46" s="4" t="s">
        <v>5</v>
      </c>
      <c r="Q46" s="68">
        <f>VLOOKUP(P46,Log!$B$2:$C$8,2,)</f>
        <v>0.38</v>
      </c>
      <c r="R46" s="4">
        <v>31.4</v>
      </c>
      <c r="S46" s="132">
        <f>IF(OR(AND(P46="Motorbike",R46-R45&lt;Log!$C$13),AND(P46&lt;&gt;"Motorbike",R46-R45&lt;Log!$C$12)),0,IF(S45&lt;&gt;0,R46-R45,IF(S44=0,R46-R43,R46-R44)))</f>
        <v>1.1199999999999974</v>
      </c>
      <c r="T46" s="133">
        <f t="shared" si="5"/>
        <v>0.92959999999999798</v>
      </c>
    </row>
    <row r="47" spans="1:20" x14ac:dyDescent="0.25">
      <c r="O47" s="4">
        <v>236</v>
      </c>
      <c r="P47" s="4" t="s">
        <v>6</v>
      </c>
      <c r="Q47" s="68">
        <f>VLOOKUP(P47,Log!$B$2:$C$8,2,)</f>
        <v>0.45</v>
      </c>
      <c r="R47" s="4">
        <v>32.08</v>
      </c>
      <c r="S47" s="132">
        <f>IF(OR(AND(P47="Motorbike",R47-R46&lt;Log!$C$13),AND(P47&lt;&gt;"Motorbike",R47-R46&lt;Log!$C$12)),0,IF(S46&lt;&gt;0,R47-R46,IF(S45=0,R47-R44,R47-R45)))</f>
        <v>0</v>
      </c>
      <c r="T47" s="133">
        <f t="shared" si="5"/>
        <v>0</v>
      </c>
    </row>
    <row r="48" spans="1:20" ht="15.75" thickBot="1" x14ac:dyDescent="0.3">
      <c r="O48" s="4">
        <v>235</v>
      </c>
      <c r="P48" s="4" t="s">
        <v>4</v>
      </c>
      <c r="Q48" s="68">
        <f>VLOOKUP(P48,Log!$B$2:$C$8,2,)</f>
        <v>1</v>
      </c>
      <c r="R48" s="4">
        <v>35.4</v>
      </c>
      <c r="S48" s="132">
        <f>IF(OR(AND(P48="Motorbike",R48-R47&lt;Log!$C$13),AND(P48&lt;&gt;"Motorbike",R48-R47&lt;Log!$C$12)),0,IF(S47&lt;&gt;0,R48-R47,IF(S46=0,R48-R45,R48-R46)))</f>
        <v>4</v>
      </c>
      <c r="T48" s="134">
        <f t="shared" si="5"/>
        <v>4</v>
      </c>
    </row>
    <row r="52" spans="19:20" x14ac:dyDescent="0.25">
      <c r="S52" s="122"/>
      <c r="T52" s="122"/>
    </row>
    <row r="53" spans="19:20" x14ac:dyDescent="0.25">
      <c r="S53" s="123"/>
      <c r="T53" s="123"/>
    </row>
  </sheetData>
  <mergeCells count="4">
    <mergeCell ref="C1:D1"/>
    <mergeCell ref="A11:F11"/>
    <mergeCell ref="H11:M11"/>
    <mergeCell ref="O11:T11"/>
  </mergeCells>
  <conditionalFormatting sqref="E14:E34">
    <cfRule type="cellIs" dxfId="148" priority="2" operator="greaterThanOrEqual">
      <formula>4</formula>
    </cfRule>
  </conditionalFormatting>
  <conditionalFormatting sqref="E13:F13">
    <cfRule type="cellIs" dxfId="147" priority="64" operator="greaterThan">
      <formula>4</formula>
    </cfRule>
  </conditionalFormatting>
  <conditionalFormatting sqref="F14:F34">
    <cfRule type="cellIs" dxfId="146" priority="4" operator="greaterThan">
      <formula>4</formula>
    </cfRule>
  </conditionalFormatting>
  <conditionalFormatting sqref="L14:L30">
    <cfRule type="cellIs" dxfId="145" priority="6" operator="greaterThanOrEqual">
      <formula>4</formula>
    </cfRule>
  </conditionalFormatting>
  <conditionalFormatting sqref="L13:M13">
    <cfRule type="cellIs" dxfId="144" priority="61" operator="greaterThan">
      <formula>4</formula>
    </cfRule>
  </conditionalFormatting>
  <conditionalFormatting sqref="L36:M37">
    <cfRule type="cellIs" dxfId="143" priority="66" operator="greaterThan">
      <formula>4</formula>
    </cfRule>
  </conditionalFormatting>
  <conditionalFormatting sqref="M14:M30">
    <cfRule type="cellIs" dxfId="142" priority="8" operator="greaterThan">
      <formula>4</formula>
    </cfRule>
  </conditionalFormatting>
  <conditionalFormatting sqref="S14:S48">
    <cfRule type="cellIs" dxfId="141" priority="27" operator="greaterThanOrEqual">
      <formula>4</formula>
    </cfRule>
  </conditionalFormatting>
  <conditionalFormatting sqref="T14:T48">
    <cfRule type="cellIs" dxfId="140" priority="25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B85379E-A317-4BC1-9640-A6B36A02BE4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806D074C-7DF7-4E8E-B066-D58BDE70B379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E14:E34 L14:L30 S14:S48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713C-63F5-42C1-B0BE-D2E654957C5E}">
  <sheetPr codeName="Sheet5"/>
  <dimension ref="A1:W53"/>
  <sheetViews>
    <sheetView topLeftCell="A5" zoomScaleNormal="100" workbookViewId="0">
      <selection activeCell="A17" sqref="A17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50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21.520000000000003</v>
      </c>
      <c r="M2" s="17">
        <f>SUM(M20:M28)</f>
        <v>21.1</v>
      </c>
      <c r="R2" s="4" t="s">
        <v>12</v>
      </c>
      <c r="S2" s="8">
        <f>SUM(S25:S28)</f>
        <v>5.2800000000000011</v>
      </c>
      <c r="T2" s="8">
        <f>SUM(T25:T28)</f>
        <v>3.0004000000000004</v>
      </c>
    </row>
    <row r="3" spans="1:20" x14ac:dyDescent="0.25">
      <c r="K3" s="4" t="s">
        <v>13</v>
      </c>
      <c r="L3" s="18">
        <f>AVERAGE(L24:L26)</f>
        <v>1.6000000000000003</v>
      </c>
      <c r="M3" s="19">
        <f>AVERAGE(M22:M29)</f>
        <v>1.8525</v>
      </c>
      <c r="R3" s="4" t="s">
        <v>13</v>
      </c>
      <c r="S3" s="9">
        <f>AVERAGE(S25:S28)</f>
        <v>1.3200000000000003</v>
      </c>
      <c r="T3" s="9">
        <f>AVERAGE(T23:T32)</f>
        <v>1.0121600000000002</v>
      </c>
    </row>
    <row r="4" spans="1:20" x14ac:dyDescent="0.25">
      <c r="A4" s="4" t="s">
        <v>4</v>
      </c>
      <c r="B4" s="128">
        <f>100*COUNTIF($B$24:$B$35,A4)/COUNTA($B$24:$B$35)</f>
        <v>75</v>
      </c>
      <c r="H4" s="4" t="s">
        <v>4</v>
      </c>
      <c r="I4" s="128">
        <f>100*COUNTIF($I$21:$I$32,H4)/COUNTA($I$21:$I$32)</f>
        <v>83.333333333333329</v>
      </c>
      <c r="K4" s="4" t="s">
        <v>1</v>
      </c>
      <c r="L4" s="20">
        <f>3600/L3</f>
        <v>2249.9999999999995</v>
      </c>
      <c r="M4" s="21">
        <f>3600/M3</f>
        <v>1943.3198380566801</v>
      </c>
      <c r="O4" s="4" t="s">
        <v>4</v>
      </c>
      <c r="P4" s="128">
        <f>100*COUNTIF($P$30:$P$50,O4)/COUNTA($P$30:$P$50)</f>
        <v>28.571428571428573</v>
      </c>
      <c r="R4" s="4" t="s">
        <v>1</v>
      </c>
      <c r="S4" s="10">
        <f>3600/S3</f>
        <v>2727.2727272727266</v>
      </c>
      <c r="T4" s="10">
        <f>3600/T3</f>
        <v>3556.7499209611124</v>
      </c>
    </row>
    <row r="5" spans="1:20" x14ac:dyDescent="0.25">
      <c r="A5" s="4" t="s">
        <v>6</v>
      </c>
      <c r="B5" s="128">
        <f t="shared" ref="B5:B9" si="0">100*COUNTIF($B$24:$B$35,A5)/COUNTA($B$24:$B$35)</f>
        <v>16.666666666666668</v>
      </c>
      <c r="H5" s="4" t="s">
        <v>6</v>
      </c>
      <c r="I5" s="128">
        <f t="shared" ref="I5:I9" si="1">100*COUNTIF($I$21:$I$32,H5)/COUNTA($I$21:$I$32)</f>
        <v>8.3333333333333339</v>
      </c>
      <c r="O5" s="4" t="s">
        <v>6</v>
      </c>
      <c r="P5" s="128">
        <f t="shared" ref="P5:P9" si="2">100*COUNTIF($P$30:$P$50,O5)/COUNTA($P$30:$P$50)</f>
        <v>4.7619047619047619</v>
      </c>
    </row>
    <row r="6" spans="1:20" x14ac:dyDescent="0.25">
      <c r="A6" s="4" t="s">
        <v>5</v>
      </c>
      <c r="B6" s="128">
        <f t="shared" si="0"/>
        <v>8.3333333333333339</v>
      </c>
      <c r="E6" s="27" t="s">
        <v>22</v>
      </c>
      <c r="F6" s="27" t="s">
        <v>21</v>
      </c>
      <c r="H6" s="4" t="s">
        <v>5</v>
      </c>
      <c r="I6" s="128">
        <f t="shared" si="1"/>
        <v>8.3333333333333339</v>
      </c>
      <c r="L6" s="27" t="s">
        <v>22</v>
      </c>
      <c r="M6" s="27" t="s">
        <v>21</v>
      </c>
      <c r="O6" s="4" t="s">
        <v>5</v>
      </c>
      <c r="P6" s="128">
        <f t="shared" si="2"/>
        <v>66.666666666666671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28.4</v>
      </c>
      <c r="F7" s="23">
        <f>SUM(F14:F30)</f>
        <v>28.588000000000001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36.040000000000006</v>
      </c>
      <c r="M7" s="23">
        <f>SUM(M14:M37)</f>
        <v>41.094400000000007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8.84</v>
      </c>
      <c r="T7" s="23">
        <f>SUM(T13:T23)</f>
        <v>5.5544000000000002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AVERAGEIF(E14:E30,"&lt;&gt;0")</f>
        <v>2.0285714285714285</v>
      </c>
      <c r="F8" s="26">
        <f>AVERAGEIF(F25:F35,"&lt;&gt;0")</f>
        <v>2.0607111111111109</v>
      </c>
      <c r="H8" s="4" t="s">
        <v>7</v>
      </c>
      <c r="I8" s="128">
        <f t="shared" si="1"/>
        <v>0</v>
      </c>
      <c r="K8" s="28" t="s">
        <v>13</v>
      </c>
      <c r="L8" s="26">
        <f>AVERAGEIF(L14:L19,"&lt;&gt;0")</f>
        <v>2.13</v>
      </c>
      <c r="M8" s="26">
        <f>AVERAGEIF(M22:M32,"&lt;&gt;0")</f>
        <v>2.0131555555555565</v>
      </c>
      <c r="O8" s="4" t="s">
        <v>7</v>
      </c>
      <c r="P8" s="128">
        <f t="shared" si="2"/>
        <v>0</v>
      </c>
      <c r="R8" s="28" t="s">
        <v>13</v>
      </c>
      <c r="S8" s="26">
        <f>AVERAGEIF(S14:S50,"&lt;&gt;0")</f>
        <v>1.6049999999999998</v>
      </c>
      <c r="T8" s="26">
        <f>AVERAGEIF(T13:T48,"&lt;&gt;0")</f>
        <v>1.2825090909090908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1774.6478873239437</v>
      </c>
      <c r="F9" s="29">
        <f>3600/F8</f>
        <v>1746.9697623258423</v>
      </c>
      <c r="H9" s="4" t="s">
        <v>23</v>
      </c>
      <c r="I9" s="128">
        <f t="shared" si="1"/>
        <v>0</v>
      </c>
      <c r="K9" s="28" t="s">
        <v>1</v>
      </c>
      <c r="L9" s="25">
        <f>3600/L8</f>
        <v>1690.1408450704225</v>
      </c>
      <c r="M9" s="29">
        <f>3600/M8</f>
        <v>1788.2373719533725</v>
      </c>
      <c r="O9" s="4" t="s">
        <v>23</v>
      </c>
      <c r="P9" s="128">
        <f t="shared" si="2"/>
        <v>0</v>
      </c>
      <c r="R9" s="28" t="s">
        <v>1</v>
      </c>
      <c r="S9" s="25">
        <f>3600/S8</f>
        <v>2242.9906542056078</v>
      </c>
      <c r="T9" s="29">
        <f>3600/T8</f>
        <v>2806.997646658539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3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3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13">
        <v>1</v>
      </c>
      <c r="B13" s="113" t="s">
        <v>6</v>
      </c>
      <c r="C13" s="112">
        <f>VLOOKUP(B13,Log!$B$2:$C$8,2,)</f>
        <v>0.45</v>
      </c>
      <c r="D13" s="112">
        <v>1.92</v>
      </c>
      <c r="E13" s="114">
        <v>0</v>
      </c>
      <c r="F13" s="114">
        <v>0</v>
      </c>
      <c r="H13" s="113">
        <v>4</v>
      </c>
      <c r="I13" s="113" t="s">
        <v>4</v>
      </c>
      <c r="J13" s="112">
        <f>VLOOKUP(I13,Log!$B$2:$C$8,2,)</f>
        <v>1</v>
      </c>
      <c r="K13" s="113">
        <v>0.88</v>
      </c>
      <c r="L13" s="114">
        <v>0</v>
      </c>
      <c r="M13" s="114">
        <v>0</v>
      </c>
      <c r="N13" s="13"/>
      <c r="O13" s="63">
        <v>5</v>
      </c>
      <c r="P13" s="117" t="s">
        <v>5</v>
      </c>
      <c r="Q13" s="5">
        <f>VLOOKUP(P13,Log!$B$2:$C$8,2,)</f>
        <v>0.38</v>
      </c>
      <c r="R13" s="4">
        <v>0.88</v>
      </c>
      <c r="S13" s="32">
        <v>0</v>
      </c>
      <c r="T13" s="32">
        <v>0</v>
      </c>
    </row>
    <row r="14" spans="1:20" x14ac:dyDescent="0.25">
      <c r="A14" s="113">
        <v>3</v>
      </c>
      <c r="B14" s="113" t="s">
        <v>4</v>
      </c>
      <c r="C14" s="112">
        <f>VLOOKUP(B14,Log!$B$2:$C$8,2,)</f>
        <v>1</v>
      </c>
      <c r="D14" s="112">
        <v>3.32</v>
      </c>
      <c r="E14" s="114">
        <f>IF(OR(AND(B14="Motorbike",D14-D13&lt;Log!$C$13),AND(B14&lt;&gt;"Motorbike",D14-D13&lt;Log!$C$12)),0,D14-D13)</f>
        <v>1.4</v>
      </c>
      <c r="F14" s="114">
        <f>IF(E15&lt;&gt;0,C14*E14,IF(E16=0,(C14+C15+C16)*E14,(C14+C15)*E14))</f>
        <v>1.4</v>
      </c>
      <c r="H14" s="113">
        <v>16</v>
      </c>
      <c r="I14" s="113" t="s">
        <v>5</v>
      </c>
      <c r="J14" s="112">
        <f>VLOOKUP(I14,Log!$B$2:$C$8,2,)</f>
        <v>0.38</v>
      </c>
      <c r="K14" s="113">
        <v>2.08</v>
      </c>
      <c r="L14" s="114">
        <f>IF(OR(AND(I14="Motorbike",K14-K13&lt;Log!$C$13),AND(I14&lt;&gt;"Motorbike",K14-K13&lt;Log!$C$12)),0,K14-K13)</f>
        <v>1.2000000000000002</v>
      </c>
      <c r="M14" s="114">
        <f>IF(L15&lt;&gt;0,J14*L14,IF(L16=0,(J14+J15+J16)*L14,(J14+J15)*L14))</f>
        <v>0.45600000000000007</v>
      </c>
      <c r="N14" s="13"/>
      <c r="O14" s="71">
        <v>6</v>
      </c>
      <c r="P14" s="117" t="s">
        <v>5</v>
      </c>
      <c r="Q14" s="5">
        <f>VLOOKUP(P14,Log!$B$2:$C$8,2,)</f>
        <v>0.38</v>
      </c>
      <c r="R14" s="4">
        <v>1.88</v>
      </c>
      <c r="S14" s="32">
        <f>IF(OR(AND(P14="Motorbike",R14-R13&lt;Log!$C$13),AND(P14&lt;&gt;"Motorbike",R14-R13&lt;Log!$C$12)),0,R14-R13)</f>
        <v>0.99999999999999989</v>
      </c>
      <c r="T14" s="32">
        <f>IF(S15&lt;&gt;0,Q14*S14,IF(S16=0,(Q14+Q15+Q16)*S14,(Q14+Q15)*S14))</f>
        <v>1.1399999999999999</v>
      </c>
    </row>
    <row r="15" spans="1:20" ht="15.75" thickBot="1" x14ac:dyDescent="0.3">
      <c r="A15" s="115">
        <v>7</v>
      </c>
      <c r="B15" s="113" t="s">
        <v>4</v>
      </c>
      <c r="C15" s="112">
        <f>VLOOKUP(B15,Log!$B$2:$C$8,2,)</f>
        <v>1</v>
      </c>
      <c r="D15" s="112">
        <v>6.32</v>
      </c>
      <c r="E15" s="114">
        <f>IF(OR(AND(B15="Motorbike",D15-D14&lt;Log!$C$13),AND(B15&lt;&gt;"Motorbike",D15-D14&lt;Log!$C$12)),0,D15-D14)</f>
        <v>3.0000000000000004</v>
      </c>
      <c r="F15" s="114">
        <f t="shared" ref="F15:F38" si="3">IF(E16&lt;&gt;0,C15*E15,IF(E17=0,(C15+C16+C17)*E15,(C15+C16)*E15))</f>
        <v>3.0000000000000004</v>
      </c>
      <c r="H15" s="113">
        <v>8</v>
      </c>
      <c r="I15" s="113" t="s">
        <v>4</v>
      </c>
      <c r="J15" s="112">
        <f>VLOOKUP(I15,Log!$B$2:$C$8,2,)</f>
        <v>1</v>
      </c>
      <c r="K15" s="113">
        <v>4.28</v>
      </c>
      <c r="L15" s="114">
        <f>IF(OR(AND(I15="Motorbike",K15-K14&lt;Log!$C$13),AND(I15&lt;&gt;"Motorbike",K15-K14&lt;Log!$C$12)),0,K15-K14)</f>
        <v>2.2000000000000002</v>
      </c>
      <c r="M15" s="114">
        <f t="shared" ref="M15:M32" si="4">IF(L16&lt;&gt;0,J15*L15,IF(L17=0,(J15+J16+J17)*L15,(J15+J16)*L15))</f>
        <v>2.2000000000000002</v>
      </c>
      <c r="N15" s="13"/>
      <c r="O15" s="71">
        <v>12</v>
      </c>
      <c r="P15" s="117" t="s">
        <v>5</v>
      </c>
      <c r="Q15" s="5">
        <f>VLOOKUP(P15,Log!$B$2:$C$8,2,)</f>
        <v>0.38</v>
      </c>
      <c r="R15" s="4">
        <v>2</v>
      </c>
      <c r="S15" s="32">
        <f>IF(OR(AND(P15="Motorbike",R15-R14&lt;Log!$C$13),AND(P15&lt;&gt;"Motorbike",R15-R14&lt;Log!$C$12)),0,R15-R14)</f>
        <v>0</v>
      </c>
      <c r="T15" s="32">
        <f t="shared" ref="T15:T50" si="5">IF(S16&lt;&gt;0,Q15*S15,IF(S17=0,(Q15+Q16+Q17)*S15,(Q15+Q16)*S15))</f>
        <v>0</v>
      </c>
    </row>
    <row r="16" spans="1:20" x14ac:dyDescent="0.25">
      <c r="A16" s="57">
        <v>30</v>
      </c>
      <c r="B16" s="54" t="s">
        <v>6</v>
      </c>
      <c r="C16" s="5">
        <f>VLOOKUP(B16,Log!$B$2:$C$8,2,)</f>
        <v>0.45</v>
      </c>
      <c r="D16" s="5">
        <v>7.12</v>
      </c>
      <c r="E16" s="32">
        <f>D16-D15</f>
        <v>0.79999999999999982</v>
      </c>
      <c r="F16" s="32">
        <f t="shared" si="3"/>
        <v>0.35999999999999993</v>
      </c>
      <c r="H16" s="14">
        <v>26</v>
      </c>
      <c r="I16" s="14" t="s">
        <v>4</v>
      </c>
      <c r="J16" s="5">
        <f>VLOOKUP(I16,Log!$B$2:$C$8,2,)</f>
        <v>1</v>
      </c>
      <c r="K16" s="4">
        <v>5.32</v>
      </c>
      <c r="L16" s="32">
        <f>IF(OR(AND(I16="Motorbike",K16-K15&lt;Log!$C$13),AND(I16&lt;&gt;"Motorbike",K16-K15&lt;Log!$C$12)),0,IF(L15&lt;&gt;0,K16-K15,IF(L14=0,K16-K13,K16-K14)))</f>
        <v>1.04</v>
      </c>
      <c r="M16" s="32">
        <f t="shared" si="4"/>
        <v>2.08</v>
      </c>
      <c r="N16" s="13"/>
      <c r="O16" s="58">
        <v>16</v>
      </c>
      <c r="P16" s="117" t="s">
        <v>5</v>
      </c>
      <c r="Q16" s="5">
        <f>VLOOKUP(P16,Log!$B$2:$C$8,2,)</f>
        <v>0.38</v>
      </c>
      <c r="R16" s="4">
        <v>2.2799999999999998</v>
      </c>
      <c r="S16" s="32">
        <f>IF(OR(AND(P16="Motorbike",R16-R15&lt;Log!$C$13),AND(P16&lt;&gt;"Motorbike",R16-R15&lt;Log!$C$12)),0,IF(S15&lt;&gt;0,R16-R15,IF(S14=0,R16-R13,R16-R14)))</f>
        <v>0</v>
      </c>
      <c r="T16" s="32">
        <f t="shared" si="5"/>
        <v>0</v>
      </c>
    </row>
    <row r="17" spans="1:23" x14ac:dyDescent="0.25">
      <c r="A17" s="58">
        <v>43</v>
      </c>
      <c r="B17" s="54" t="s">
        <v>6</v>
      </c>
      <c r="C17" s="5">
        <f>VLOOKUP(B17,Log!$B$2:$C$8,2,)</f>
        <v>0.45</v>
      </c>
      <c r="D17" s="5">
        <v>8.1999999999999993</v>
      </c>
      <c r="E17" s="32">
        <f>IF(OR(AND(B17="Motorbike",D17-D16&lt;Log!$C$13),AND(B17&lt;&gt;"Motorbike",D17-D16&lt;Log!$C$12)),0,IF(E16&lt;&gt;0,D17-D16,IF(E15=0,D17-D14,D17-D15)))</f>
        <v>1.0799999999999992</v>
      </c>
      <c r="F17" s="32">
        <f t="shared" si="3"/>
        <v>0.97199999999999931</v>
      </c>
      <c r="H17" s="14">
        <v>19</v>
      </c>
      <c r="I17" s="4" t="s">
        <v>4</v>
      </c>
      <c r="J17" s="5">
        <f>VLOOKUP(I17,Log!$B$2:$C$8,2,)</f>
        <v>1</v>
      </c>
      <c r="K17" s="4">
        <v>6</v>
      </c>
      <c r="L17" s="32">
        <f>IF(OR(AND(I17="Motorbike",K17-K16&lt;Log!$C$13),AND(I17&lt;&gt;"Motorbike",K17-K16&lt;Log!$C$12)),0,IF(L16&lt;&gt;0,K17-K16,IF(L15=0,K17-K14,K17-K15)))</f>
        <v>0</v>
      </c>
      <c r="M17" s="32">
        <f t="shared" si="4"/>
        <v>0</v>
      </c>
      <c r="N17" s="13"/>
      <c r="O17" s="58">
        <v>14</v>
      </c>
      <c r="P17" s="117" t="s">
        <v>5</v>
      </c>
      <c r="Q17" s="5">
        <f>VLOOKUP(P17,Log!$B$2:$C$8,2,)</f>
        <v>0.38</v>
      </c>
      <c r="R17" s="4">
        <v>2.8</v>
      </c>
      <c r="S17" s="32">
        <f>R17-R16</f>
        <v>0.52</v>
      </c>
      <c r="T17" s="32">
        <f t="shared" si="5"/>
        <v>0.5928000000000001</v>
      </c>
    </row>
    <row r="18" spans="1:23" x14ac:dyDescent="0.25">
      <c r="A18" s="58">
        <v>39</v>
      </c>
      <c r="B18" s="54" t="s">
        <v>6</v>
      </c>
      <c r="C18" s="5">
        <f>VLOOKUP(B18,Log!$B$2:$C$8,2,)</f>
        <v>0.45</v>
      </c>
      <c r="D18" s="5">
        <v>8.4</v>
      </c>
      <c r="E18" s="32">
        <f>IF(OR(AND(B18="Motorbike",D18-D17&lt;Log!$C$13),AND(B18&lt;&gt;"Motorbike",D18-D17&lt;Log!$C$12)),0,IF(E17&lt;&gt;0,D18-D17,IF(E16=0,D18-D15,D18-D16)))</f>
        <v>0</v>
      </c>
      <c r="F18" s="32">
        <f t="shared" si="3"/>
        <v>0</v>
      </c>
      <c r="H18" s="14">
        <v>36</v>
      </c>
      <c r="I18" s="4" t="s">
        <v>4</v>
      </c>
      <c r="J18" s="5">
        <f>VLOOKUP(I18,Log!$B$2:$C$8,2,)</f>
        <v>1</v>
      </c>
      <c r="K18" s="4">
        <v>9.4</v>
      </c>
      <c r="L18" s="32">
        <f>IF(OR(AND(I18="Motorbike",K18-K17&lt;Log!$C$13),AND(I18&lt;&gt;"Motorbike",K18-K17&lt;Log!$C$12)),0,IF(L17&lt;&gt;0,K18-K17,IF(L16=0,K18-K15,K18-K16)))</f>
        <v>4.08</v>
      </c>
      <c r="M18" s="32">
        <f t="shared" si="4"/>
        <v>8.16</v>
      </c>
      <c r="N18" s="13"/>
      <c r="O18" s="58">
        <v>17</v>
      </c>
      <c r="P18" s="117" t="s">
        <v>5</v>
      </c>
      <c r="Q18" s="5">
        <f>VLOOKUP(P18,Log!$B$2:$C$8,2,)</f>
        <v>0.38</v>
      </c>
      <c r="R18" s="4">
        <v>3</v>
      </c>
      <c r="S18" s="32">
        <f>IF(OR(AND(P18="Motorbike",R18-R17&lt;Log!$C$13),AND(P18&lt;&gt;"Motorbike",R18-R17&lt;Log!$C$12)),0,IF(S17&lt;&gt;0,R18-R17,IF(S16=0,R18-R15,R18-R16)))</f>
        <v>0</v>
      </c>
      <c r="T18" s="32">
        <f t="shared" si="5"/>
        <v>0</v>
      </c>
    </row>
    <row r="19" spans="1:23" x14ac:dyDescent="0.25">
      <c r="A19" s="58">
        <v>51</v>
      </c>
      <c r="B19" s="54" t="s">
        <v>6</v>
      </c>
      <c r="C19" s="5">
        <f>VLOOKUP(B19,Log!$B$2:$C$8,2,)</f>
        <v>0.45</v>
      </c>
      <c r="D19" s="5">
        <v>9.68</v>
      </c>
      <c r="E19" s="32">
        <f>IF(OR(AND(B19="Motorbike",D19-D18&lt;Log!$C$13),AND(B19&lt;&gt;"Motorbike",D19-D18&lt;Log!$C$12)),0,IF(E18&lt;&gt;0,D19-D18,IF(E17=0,D19-D16,D19-D17)))</f>
        <v>1.4800000000000004</v>
      </c>
      <c r="F19" s="32">
        <f t="shared" si="3"/>
        <v>1.3320000000000005</v>
      </c>
      <c r="H19" s="14">
        <v>44</v>
      </c>
      <c r="I19" s="4" t="s">
        <v>4</v>
      </c>
      <c r="J19" s="5">
        <f>VLOOKUP(I19,Log!$B$2:$C$8,2,)</f>
        <v>1</v>
      </c>
      <c r="K19" s="4">
        <v>10.28</v>
      </c>
      <c r="L19" s="32">
        <f>IF(OR(AND(I19="Motorbike",K19-K18&lt;Log!$C$13),AND(I19&lt;&gt;"Motorbike",K19-K18&lt;Log!$C$12)),0,IF(L18&lt;&gt;0,K19-K18,IF(L17=0,K19-K16,K19-K17)))</f>
        <v>0</v>
      </c>
      <c r="M19" s="32">
        <f t="shared" si="4"/>
        <v>0</v>
      </c>
      <c r="N19" s="13"/>
      <c r="O19" s="58">
        <v>33</v>
      </c>
      <c r="P19" s="117" t="s">
        <v>5</v>
      </c>
      <c r="Q19" s="5">
        <f>VLOOKUP(P19,Log!$B$2:$C$8,2,)</f>
        <v>0.38</v>
      </c>
      <c r="R19" s="4">
        <v>3.48</v>
      </c>
      <c r="S19" s="32">
        <f>IF(OR(AND(P19="Motorbike",R19-R18&lt;Log!$C$13),AND(P19&lt;&gt;"Motorbike",R19-R18&lt;Log!$C$12)),0,IF(S18&lt;&gt;0,R19-R18,IF(S17=0,R19-R16,R19-R17)))</f>
        <v>0</v>
      </c>
      <c r="T19" s="32">
        <f t="shared" si="5"/>
        <v>0</v>
      </c>
    </row>
    <row r="20" spans="1:23" ht="15.75" thickBot="1" x14ac:dyDescent="0.3">
      <c r="A20" s="58">
        <v>61</v>
      </c>
      <c r="B20" s="54" t="s">
        <v>6</v>
      </c>
      <c r="C20" s="5">
        <f>VLOOKUP(B20,Log!$B$2:$C$8,2,)</f>
        <v>0.45</v>
      </c>
      <c r="D20" s="5">
        <v>10.119999999999999</v>
      </c>
      <c r="E20" s="32">
        <f>IF(OR(AND(B20="Motorbike",D20-D19&lt;Log!$C$13),AND(B20&lt;&gt;"Motorbike",D20-D19&lt;Log!$C$12)),0,IF(E19&lt;&gt;0,D20-D19,IF(E18=0,D20-D17,D20-D18)))</f>
        <v>0</v>
      </c>
      <c r="F20" s="32">
        <f t="shared" si="3"/>
        <v>0</v>
      </c>
      <c r="H20" s="14">
        <v>60</v>
      </c>
      <c r="I20" s="4" t="s">
        <v>4</v>
      </c>
      <c r="J20" s="5">
        <f>VLOOKUP(I20,Log!$B$2:$C$8,2,)</f>
        <v>1</v>
      </c>
      <c r="K20" s="4">
        <v>14.48</v>
      </c>
      <c r="L20" s="32">
        <f>IF(OR(AND(I20="Motorbike",K20-K19&lt;Log!$C$13),AND(I20&lt;&gt;"Motorbike",K20-K19&lt;Log!$C$12)),0,IF(L19&lt;&gt;0,K20-K19,IF(L18=0,K20-K17,K20-K18)))</f>
        <v>5.08</v>
      </c>
      <c r="M20" s="105">
        <f t="shared" si="4"/>
        <v>5.08</v>
      </c>
      <c r="N20" s="13"/>
      <c r="O20" s="58">
        <v>27</v>
      </c>
      <c r="P20" s="117" t="s">
        <v>5</v>
      </c>
      <c r="Q20" s="5">
        <f>VLOOKUP(P20,Log!$B$2:$C$8,2,)</f>
        <v>0.38</v>
      </c>
      <c r="R20" s="4">
        <v>4.4800000000000004</v>
      </c>
      <c r="S20" s="32">
        <f>IF(OR(AND(P20="Motorbike",R20-R19&lt;Log!$C$13),AND(P20&lt;&gt;"Motorbike",R20-R19&lt;Log!$C$12)),0,IF(S19&lt;&gt;0,R20-R19,IF(S18=0,R20-R17,R20-R18)))</f>
        <v>1.6800000000000006</v>
      </c>
      <c r="T20" s="32">
        <f t="shared" si="5"/>
        <v>0.63840000000000019</v>
      </c>
    </row>
    <row r="21" spans="1:23" ht="15.75" thickBot="1" x14ac:dyDescent="0.3">
      <c r="A21" s="59">
        <v>38</v>
      </c>
      <c r="B21" s="54" t="s">
        <v>4</v>
      </c>
      <c r="C21" s="5">
        <f>VLOOKUP(B21,Log!$B$2:$C$8,2,)</f>
        <v>1</v>
      </c>
      <c r="D21" s="5">
        <v>11.68</v>
      </c>
      <c r="E21" s="32">
        <f>IF(OR(AND(B21="Motorbike",D21-D20&lt;Log!$C$13),AND(B21&lt;&gt;"Motorbike",D21-D20&lt;Log!$C$12)),0,IF(E20&lt;&gt;0,D21-D20,IF(E19=0,D21-D18,D21-D19)))</f>
        <v>2</v>
      </c>
      <c r="F21" s="32">
        <f t="shared" si="3"/>
        <v>2</v>
      </c>
      <c r="H21" s="61">
        <v>80</v>
      </c>
      <c r="I21" s="4" t="s">
        <v>4</v>
      </c>
      <c r="J21" s="5">
        <f>VLOOKUP(I21,Log!$B$2:$C$8,2,)</f>
        <v>1</v>
      </c>
      <c r="K21" s="4">
        <v>19.48</v>
      </c>
      <c r="L21" s="132">
        <f>IF(OR(AND(I21="Motorbike",K21-K20&lt;Log!$C$13),AND(I21&lt;&gt;"Motorbike",K21-K20&lt;Log!$C$12)),0,IF(L20&lt;&gt;0,K21-K20,IF(L19=0,K21-K18,K21-K19)))</f>
        <v>5</v>
      </c>
      <c r="M21" s="142">
        <f t="shared" si="4"/>
        <v>5</v>
      </c>
      <c r="N21" s="13"/>
      <c r="O21" s="58">
        <v>46</v>
      </c>
      <c r="P21" s="54" t="s">
        <v>6</v>
      </c>
      <c r="Q21" s="5">
        <f>VLOOKUP(P21,Log!$B$2:$C$8,2,)</f>
        <v>0.45</v>
      </c>
      <c r="R21" s="4">
        <v>6.48</v>
      </c>
      <c r="S21" s="32">
        <f>IF(OR(AND(P21="Motorbike",R21-R20&lt;Log!$C$13),AND(P21&lt;&gt;"Motorbike",R21-R20&lt;Log!$C$12)),0,IF(S20&lt;&gt;0,R21-R20,IF(S19=0,R21-R18,R21-R19)))</f>
        <v>2</v>
      </c>
      <c r="T21" s="32">
        <f t="shared" si="5"/>
        <v>1.8</v>
      </c>
    </row>
    <row r="22" spans="1:23" x14ac:dyDescent="0.25">
      <c r="A22" s="113">
        <v>79</v>
      </c>
      <c r="B22" s="113" t="s">
        <v>4</v>
      </c>
      <c r="C22" s="112">
        <f>VLOOKUP(B22,Log!$B$2:$C$8,2,)</f>
        <v>1</v>
      </c>
      <c r="D22" s="112">
        <v>14.8</v>
      </c>
      <c r="E22" s="114">
        <f>IF(OR(AND(B22="Motorbike",D22-D21&lt;Log!$C$13),AND(B22&lt;&gt;"Motorbike",D22-D21&lt;Log!$C$12)),0,IF(E21&lt;&gt;0,D22-D21,IF(E20=0,D22-D19,D22-D20)))</f>
        <v>3.120000000000001</v>
      </c>
      <c r="F22" s="114">
        <f t="shared" si="3"/>
        <v>3.120000000000001</v>
      </c>
      <c r="H22" s="63">
        <v>96</v>
      </c>
      <c r="I22" s="54" t="s">
        <v>4</v>
      </c>
      <c r="J22" s="5">
        <f>VLOOKUP(I22,Log!$B$2:$C$8,2,)</f>
        <v>1</v>
      </c>
      <c r="K22" s="4">
        <v>21.4</v>
      </c>
      <c r="L22" s="132">
        <f>IF(OR(AND(I22="Motorbike",K22-K21&lt;Log!$C$13),AND(I22&lt;&gt;"Motorbike",K22-K21&lt;Log!$C$12)),0,IF(L21&lt;&gt;0,K22-K21,IF(L20=0,K22-K19,K22-K20)))</f>
        <v>1.9199999999999982</v>
      </c>
      <c r="M22" s="133">
        <f t="shared" si="4"/>
        <v>1.9199999999999982</v>
      </c>
      <c r="N22" s="13"/>
      <c r="O22" s="58">
        <v>37</v>
      </c>
      <c r="P22" s="54" t="s">
        <v>6</v>
      </c>
      <c r="Q22" s="5">
        <f>VLOOKUP(P22,Log!$B$2:$C$8,2,)</f>
        <v>0.45</v>
      </c>
      <c r="R22" s="4">
        <v>7.32</v>
      </c>
      <c r="S22" s="32">
        <f>IF(OR(AND(P22="Motorbike",R22-R21&lt;Log!$C$13),AND(P22&lt;&gt;"Motorbike",R22-R21&lt;Log!$C$12)),0,IF(S21&lt;&gt;0,R22-R21,IF(S20=0,R22-R19,R22-R20)))</f>
        <v>0</v>
      </c>
      <c r="T22" s="32">
        <f t="shared" si="5"/>
        <v>0</v>
      </c>
    </row>
    <row r="23" spans="1:23" ht="15.75" thickBot="1" x14ac:dyDescent="0.3">
      <c r="A23" s="115">
        <v>95</v>
      </c>
      <c r="B23" s="113" t="s">
        <v>5</v>
      </c>
      <c r="C23" s="112">
        <f>VLOOKUP(B23,Log!$B$2:$C$8,2,)</f>
        <v>0.38</v>
      </c>
      <c r="D23" s="112">
        <v>16.600000000000001</v>
      </c>
      <c r="E23" s="114">
        <f>IF(OR(AND(B23="Motorbike",D23-D22&lt;Log!$C$13),AND(B23&lt;&gt;"Motorbike",D23-D22&lt;Log!$C$12)),0,IF(E22&lt;&gt;0,D23-D22,IF(E21=0,D23-D20,D23-D21)))</f>
        <v>1.8000000000000007</v>
      </c>
      <c r="F23" s="135">
        <f t="shared" si="3"/>
        <v>0.68400000000000027</v>
      </c>
      <c r="H23" s="71">
        <v>86</v>
      </c>
      <c r="I23" s="54" t="s">
        <v>4</v>
      </c>
      <c r="J23" s="5">
        <f>VLOOKUP(I23,Log!$B$2:$C$8,2,)</f>
        <v>1</v>
      </c>
      <c r="K23" s="4">
        <v>22.52</v>
      </c>
      <c r="L23" s="132">
        <f>IF(OR(AND(I23="Motorbike",K23-K22&lt;Log!$C$13),AND(I23&lt;&gt;"Motorbike",K23-K22&lt;Log!$C$12)),0,IF(L22&lt;&gt;0,K23-K22,IF(L21=0,K23-K20,K23-K21)))</f>
        <v>1.120000000000001</v>
      </c>
      <c r="M23" s="133">
        <f t="shared" si="4"/>
        <v>2.240000000000002</v>
      </c>
      <c r="N23" s="13"/>
      <c r="O23" s="58">
        <v>63</v>
      </c>
      <c r="P23" s="60" t="s">
        <v>5</v>
      </c>
      <c r="Q23" s="5">
        <f>VLOOKUP(P23,Log!$B$2:$C$8,2,)</f>
        <v>0.38</v>
      </c>
      <c r="R23" s="4">
        <v>10.119999999999999</v>
      </c>
      <c r="S23" s="32">
        <f>IF(OR(AND(P23="Motorbike",R23-R22&lt;Log!$C$13),AND(P23&lt;&gt;"Motorbike",R23-R22&lt;Log!$C$12)),0,IF(S22&lt;&gt;0,R23-R22,IF(S21=0,R23-R20,R23-R21)))</f>
        <v>3.6399999999999988</v>
      </c>
      <c r="T23" s="32">
        <f t="shared" si="5"/>
        <v>1.3831999999999995</v>
      </c>
    </row>
    <row r="24" spans="1:23" ht="15.75" thickBot="1" x14ac:dyDescent="0.3">
      <c r="A24" s="143">
        <v>54</v>
      </c>
      <c r="B24" s="110" t="s">
        <v>4</v>
      </c>
      <c r="C24" s="112">
        <f>VLOOKUP(B24,Log!$B$2:$C$8,2,)</f>
        <v>1</v>
      </c>
      <c r="D24" s="112">
        <v>17.8</v>
      </c>
      <c r="E24" s="138">
        <f>IF(OR(AND(B24="Motorbike",D24-D23&lt;Log!$C$13),AND(B24&lt;&gt;"Motorbike",D24-D23&lt;Log!$C$12)),0,IF(E23&lt;&gt;0,D24-D23,IF(E22=0,D24-D21,D24-D22)))</f>
        <v>1.1999999999999993</v>
      </c>
      <c r="F24" s="139">
        <f t="shared" si="3"/>
        <v>1.1999999999999993</v>
      </c>
      <c r="H24" s="71">
        <v>109</v>
      </c>
      <c r="I24" s="54" t="s">
        <v>4</v>
      </c>
      <c r="J24" s="5">
        <f>VLOOKUP(I24,Log!$B$2:$C$8,2,)</f>
        <v>1</v>
      </c>
      <c r="K24" s="4">
        <v>23.12</v>
      </c>
      <c r="L24" s="132">
        <f>IF(OR(AND(I24="Motorbike",K24-K23&lt;Log!$C$13),AND(I24&lt;&gt;"Motorbike",K24-K23&lt;Log!$C$12)),0,IF(L23&lt;&gt;0,K24-K23,IF(L22=0,K24-K21,K24-K22)))</f>
        <v>0</v>
      </c>
      <c r="M24" s="133">
        <f t="shared" si="4"/>
        <v>0</v>
      </c>
      <c r="N24" s="13"/>
      <c r="O24" s="59">
        <v>52</v>
      </c>
      <c r="P24" s="54" t="s">
        <v>4</v>
      </c>
      <c r="Q24" s="5">
        <f>VLOOKUP(P24,Log!$B$2:$C$8,2,)</f>
        <v>1</v>
      </c>
      <c r="R24" s="4">
        <v>11.32</v>
      </c>
      <c r="S24" s="32">
        <f>IF(OR(AND(P24="Motorbike",R24-R23&lt;Log!$C$13),AND(P24&lt;&gt;"Motorbike",R24-R23&lt;Log!$C$12)),0,IF(S23&lt;&gt;0,R24-R23,IF(S22=0,R24-R21,R24-R22)))</f>
        <v>1.2000000000000011</v>
      </c>
      <c r="T24" s="32">
        <f t="shared" si="5"/>
        <v>1.2000000000000011</v>
      </c>
    </row>
    <row r="25" spans="1:23" x14ac:dyDescent="0.25">
      <c r="A25" s="58">
        <v>93</v>
      </c>
      <c r="B25" s="54" t="s">
        <v>4</v>
      </c>
      <c r="C25" s="5">
        <f>VLOOKUP(B25,Log!$B$2:$C$8,2,)</f>
        <v>1</v>
      </c>
      <c r="D25" s="5">
        <v>20.28</v>
      </c>
      <c r="E25" s="132">
        <f>IF(OR(AND(B25="Motorbike",D25-D24&lt;Log!$C$13),AND(B25&lt;&gt;"Motorbike",D25-D24&lt;Log!$C$12)),0,IF(E24&lt;&gt;0,D25-D24,IF(E23=0,D25-D22,D25-D23)))</f>
        <v>2.4800000000000004</v>
      </c>
      <c r="F25" s="133">
        <f t="shared" si="3"/>
        <v>2.4800000000000004</v>
      </c>
      <c r="H25" s="71">
        <v>142</v>
      </c>
      <c r="I25" s="54" t="s">
        <v>6</v>
      </c>
      <c r="J25" s="5">
        <f>VLOOKUP(I25,Log!$B$2:$C$8,2,)</f>
        <v>0.45</v>
      </c>
      <c r="K25" s="4">
        <v>25.32</v>
      </c>
      <c r="L25" s="132">
        <f>IF(OR(AND(I25="Motorbike",K25-K24&lt;Log!$C$13),AND(I25&lt;&gt;"Motorbike",K25-K24&lt;Log!$C$12)),0,IF(L24&lt;&gt;0,K25-K24,IF(L23=0,K25-K22,K25-K23)))</f>
        <v>2.8000000000000007</v>
      </c>
      <c r="M25" s="133">
        <f t="shared" si="4"/>
        <v>1.2600000000000005</v>
      </c>
      <c r="N25" s="13"/>
      <c r="O25" s="56">
        <v>77</v>
      </c>
      <c r="P25" s="4" t="s">
        <v>5</v>
      </c>
      <c r="Q25" s="5">
        <f>VLOOKUP(P25,Log!$B$2:$C$8,2,)</f>
        <v>0.38</v>
      </c>
      <c r="R25" s="4">
        <v>12.48</v>
      </c>
      <c r="S25" s="32">
        <f>IF(OR(AND(P25="Motorbike",R25-R24&lt;Log!$C$13),AND(P25&lt;&gt;"Motorbike",R25-R24&lt;Log!$C$12)),0,IF(S24&lt;&gt;0,R25-R24,IF(S23=0,R25-R22,R25-R23)))</f>
        <v>1.1600000000000001</v>
      </c>
      <c r="T25" s="32">
        <f t="shared" si="5"/>
        <v>0.44080000000000008</v>
      </c>
    </row>
    <row r="26" spans="1:23" x14ac:dyDescent="0.25">
      <c r="A26" s="58">
        <v>100</v>
      </c>
      <c r="B26" s="54" t="s">
        <v>4</v>
      </c>
      <c r="C26" s="5">
        <f>VLOOKUP(B26,Log!$B$2:$C$8,2,)</f>
        <v>1</v>
      </c>
      <c r="D26" s="5">
        <v>23.88</v>
      </c>
      <c r="E26" s="132">
        <f>IF(OR(AND(B26="Motorbike",D26-D25&lt;Log!$C$13),AND(B26&lt;&gt;"Motorbike",D26-D25&lt;Log!$C$12)),0,IF(E25&lt;&gt;0,D26-D25,IF(E24=0,D26-D23,D26-D24)))</f>
        <v>3.5999999999999979</v>
      </c>
      <c r="F26" s="133">
        <f t="shared" si="3"/>
        <v>3.5999999999999979</v>
      </c>
      <c r="H26" s="71">
        <v>104</v>
      </c>
      <c r="I26" s="54" t="s">
        <v>4</v>
      </c>
      <c r="J26" s="5">
        <f>VLOOKUP(I26,Log!$B$2:$C$8,2,)</f>
        <v>1</v>
      </c>
      <c r="K26" s="4">
        <v>27.32</v>
      </c>
      <c r="L26" s="132">
        <f>IF(OR(AND(I26="Motorbike",K26-K25&lt;Log!$C$13),AND(I26&lt;&gt;"Motorbike",K26-K25&lt;Log!$C$12)),0,IF(L25&lt;&gt;0,K26-K25,IF(L24=0,K26-K23,K26-K24)))</f>
        <v>2</v>
      </c>
      <c r="M26" s="133">
        <f t="shared" si="4"/>
        <v>2</v>
      </c>
      <c r="N26" s="13"/>
      <c r="O26" s="4">
        <v>70</v>
      </c>
      <c r="P26" s="4" t="s">
        <v>4</v>
      </c>
      <c r="Q26" s="5">
        <f>VLOOKUP(P26,Log!$B$2:$C$8,2,)</f>
        <v>1</v>
      </c>
      <c r="R26" s="4">
        <v>13.88</v>
      </c>
      <c r="S26" s="32">
        <f>IF(OR(AND(P26="Motorbike",R26-R25&lt;Log!$C$13),AND(P26&lt;&gt;"Motorbike",R26-R25&lt;Log!$C$12)),0,IF(S25&lt;&gt;0,R26-R25,IF(S24=0,R26-R23,R26-R24)))</f>
        <v>1.4000000000000004</v>
      </c>
      <c r="T26" s="32">
        <f t="shared" si="5"/>
        <v>1.4000000000000004</v>
      </c>
    </row>
    <row r="27" spans="1:23" x14ac:dyDescent="0.25">
      <c r="A27" s="58">
        <v>124</v>
      </c>
      <c r="B27" s="54" t="s">
        <v>4</v>
      </c>
      <c r="C27" s="5">
        <f>VLOOKUP(B27,Log!$B$2:$C$8,2,)</f>
        <v>1</v>
      </c>
      <c r="D27" s="5">
        <v>25.8</v>
      </c>
      <c r="E27" s="132">
        <f>IF(OR(AND(B27="Motorbike",D27-D26&lt;Log!$C$13),AND(B27&lt;&gt;"Motorbike",D27-D26&lt;Log!$C$12)),0,IF(E26&lt;&gt;0,D27-D26,IF(E25=0,D27-D24,D27-D25)))</f>
        <v>1.9200000000000017</v>
      </c>
      <c r="F27" s="133">
        <f t="shared" si="3"/>
        <v>1.9200000000000017</v>
      </c>
      <c r="H27" s="71">
        <v>133</v>
      </c>
      <c r="I27" s="54" t="s">
        <v>4</v>
      </c>
      <c r="J27" s="5">
        <f>VLOOKUP(I27,Log!$B$2:$C$8,2,)</f>
        <v>1</v>
      </c>
      <c r="K27" s="4">
        <v>28.68</v>
      </c>
      <c r="L27" s="132">
        <f>IF(OR(AND(I27="Motorbike",K27-K26&lt;Log!$C$13),AND(I27&lt;&gt;"Motorbike",K27-K26&lt;Log!$C$12)),0,IF(L26&lt;&gt;0,K27-K26,IF(L25=0,K27-K24,K27-K25)))</f>
        <v>1.3599999999999994</v>
      </c>
      <c r="M27" s="133">
        <f t="shared" si="4"/>
        <v>1.3599999999999994</v>
      </c>
      <c r="N27" s="13"/>
      <c r="O27" s="4">
        <v>73</v>
      </c>
      <c r="P27" s="4" t="s">
        <v>6</v>
      </c>
      <c r="Q27" s="5">
        <f>VLOOKUP(P27,Log!$B$2:$C$8,2,)</f>
        <v>0.45</v>
      </c>
      <c r="R27" s="4">
        <v>15.68</v>
      </c>
      <c r="S27" s="32">
        <f>IF(OR(AND(P27="Motorbike",R27-R26&lt;Log!$C$13),AND(P27&lt;&gt;"Motorbike",R27-R26&lt;Log!$C$12)),0,IF(S26&lt;&gt;0,R27-R26,IF(S25=0,R27-R24,R27-R25)))</f>
        <v>1.7999999999999989</v>
      </c>
      <c r="T27" s="32">
        <f t="shared" si="5"/>
        <v>0.8099999999999995</v>
      </c>
    </row>
    <row r="28" spans="1:23" ht="15.75" thickBot="1" x14ac:dyDescent="0.3">
      <c r="A28" s="58">
        <v>183</v>
      </c>
      <c r="B28" s="54" t="s">
        <v>4</v>
      </c>
      <c r="C28" s="5">
        <f>VLOOKUP(B28,Log!$B$2:$C$8,2,)</f>
        <v>1</v>
      </c>
      <c r="D28" s="5">
        <v>27.8</v>
      </c>
      <c r="E28" s="132">
        <f>IF(OR(AND(B28="Motorbike",D28-D27&lt;Log!$C$13),AND(B28&lt;&gt;"Motorbike",D28-D27&lt;Log!$C$12)),0,IF(E27&lt;&gt;0,D28-D27,IF(E26=0,D28-D25,D28-D26)))</f>
        <v>2</v>
      </c>
      <c r="F28" s="133">
        <f t="shared" si="3"/>
        <v>4</v>
      </c>
      <c r="H28" s="64">
        <v>192</v>
      </c>
      <c r="I28" s="54" t="s">
        <v>4</v>
      </c>
      <c r="J28" s="5">
        <f>VLOOKUP(I28,Log!$B$2:$C$8,2,)</f>
        <v>1</v>
      </c>
      <c r="K28" s="4">
        <v>30.92</v>
      </c>
      <c r="L28" s="132">
        <f>IF(OR(AND(I28="Motorbike",K28-K27&lt;Log!$C$13),AND(I28&lt;&gt;"Motorbike",K28-K27&lt;Log!$C$12)),0,IF(L27&lt;&gt;0,K28-K27,IF(L26=0,K28-K25,K28-K26)))</f>
        <v>2.240000000000002</v>
      </c>
      <c r="M28" s="133">
        <f t="shared" si="4"/>
        <v>2.240000000000002</v>
      </c>
      <c r="N28" s="13"/>
      <c r="O28" s="49">
        <v>111</v>
      </c>
      <c r="P28" s="4" t="s">
        <v>5</v>
      </c>
      <c r="Q28" s="5">
        <f>VLOOKUP(P28,Log!$B$2:$C$8,2,)</f>
        <v>0.38</v>
      </c>
      <c r="R28" s="4">
        <v>16.600000000000001</v>
      </c>
      <c r="S28" s="32">
        <f>IF(OR(AND(P28="Motorbike",R28-R27&lt;Log!$C$13),AND(P28&lt;&gt;"Motorbike",R28-R27&lt;Log!$C$12)),0,IF(S27&lt;&gt;0,R28-R27,IF(S26=0,R28-R25,R28-R26)))</f>
        <v>0.92000000000000171</v>
      </c>
      <c r="T28" s="32">
        <f t="shared" si="5"/>
        <v>0.34960000000000063</v>
      </c>
    </row>
    <row r="29" spans="1:23" x14ac:dyDescent="0.25">
      <c r="A29" s="58">
        <v>168</v>
      </c>
      <c r="B29" s="54" t="s">
        <v>4</v>
      </c>
      <c r="C29" s="5">
        <f>VLOOKUP(B29,Log!$B$2:$C$8,2,)</f>
        <v>1</v>
      </c>
      <c r="D29" s="5">
        <v>28.2</v>
      </c>
      <c r="E29" s="132">
        <f>IF(OR(AND(B29="Motorbike",D29-D28&lt;Log!$C$13),AND(B29&lt;&gt;"Motorbike",D29-D28&lt;Log!$C$12)),0,IF(E28&lt;&gt;0,D29-D28,IF(E27=0,D29-D26,D29-D27)))</f>
        <v>0</v>
      </c>
      <c r="F29" s="133">
        <f t="shared" si="3"/>
        <v>0</v>
      </c>
      <c r="H29" s="62">
        <v>218</v>
      </c>
      <c r="I29" s="4" t="s">
        <v>4</v>
      </c>
      <c r="J29" s="5">
        <f>VLOOKUP(I29,Log!$B$2:$C$8,2,)</f>
        <v>1</v>
      </c>
      <c r="K29" s="4">
        <v>34.72</v>
      </c>
      <c r="L29" s="132">
        <f>IF(OR(AND(I29="Motorbike",K29-K28&lt;Log!$C$13),AND(I29&lt;&gt;"Motorbike",K29-K28&lt;Log!$C$12)),0,IF(L28&lt;&gt;0,K29-K28,IF(L27=0,K29-K26,K29-K27)))</f>
        <v>3.7999999999999972</v>
      </c>
      <c r="M29" s="133">
        <f t="shared" si="4"/>
        <v>3.7999999999999972</v>
      </c>
      <c r="N29" s="13"/>
      <c r="O29" s="57">
        <v>126</v>
      </c>
      <c r="P29" s="54" t="s">
        <v>7</v>
      </c>
      <c r="Q29" s="5">
        <f>VLOOKUP(P29,Log!$B$2:$C$8,2,)</f>
        <v>0.33</v>
      </c>
      <c r="R29" s="4">
        <v>18.8</v>
      </c>
      <c r="S29" s="32">
        <f>IF(OR(AND(P29="Motorbike",R29-R28&lt;Log!$C$13),AND(P29&lt;&gt;"Motorbike",R29-R28&lt;Log!$C$12)),0,IF(S28&lt;&gt;0,R29-R28,IF(S27=0,R29-R26,R29-R27)))</f>
        <v>2.1999999999999993</v>
      </c>
      <c r="T29" s="32">
        <f t="shared" si="5"/>
        <v>0.72599999999999976</v>
      </c>
      <c r="W29" s="11"/>
    </row>
    <row r="30" spans="1:23" x14ac:dyDescent="0.25">
      <c r="A30" s="58">
        <v>181</v>
      </c>
      <c r="B30" s="54" t="s">
        <v>4</v>
      </c>
      <c r="C30" s="5">
        <f>VLOOKUP(B30,Log!$B$2:$C$8,2,)</f>
        <v>1</v>
      </c>
      <c r="D30" s="5">
        <v>30.32</v>
      </c>
      <c r="E30" s="132">
        <f>IF(OR(AND(B30="Motorbike",D30-D29&lt;Log!$C$13),AND(B30&lt;&gt;"Motorbike",D30-D29&lt;Log!$C$12)),0,IF(E29&lt;&gt;0,D30-D29,IF(E28=0,D30-D27,D30-D28)))</f>
        <v>2.5199999999999996</v>
      </c>
      <c r="F30" s="133">
        <f t="shared" si="3"/>
        <v>2.5199999999999996</v>
      </c>
      <c r="H30" s="14">
        <v>233</v>
      </c>
      <c r="I30" s="4" t="s">
        <v>5</v>
      </c>
      <c r="J30" s="5">
        <f>VLOOKUP(I30,Log!$B$2:$C$8,2,)</f>
        <v>0.38</v>
      </c>
      <c r="K30" s="4">
        <v>35.4</v>
      </c>
      <c r="L30" s="132">
        <f>IF(OR(AND(I30="Motorbike",K30-K29&lt;Log!$C$13),AND(I30&lt;&gt;"Motorbike",K30-K29&lt;Log!$C$12)),0,IF(L29&lt;&gt;0,K30-K29,IF(L28=0,K30-K27,K30-K28)))</f>
        <v>0.67999999999999972</v>
      </c>
      <c r="M30" s="133">
        <f t="shared" si="4"/>
        <v>0.25839999999999991</v>
      </c>
      <c r="N30" s="13"/>
      <c r="O30" s="58">
        <v>89</v>
      </c>
      <c r="P30" s="54" t="s">
        <v>4</v>
      </c>
      <c r="Q30" s="5">
        <f>VLOOKUP(P30,Log!$B$2:$C$8,2,)</f>
        <v>1</v>
      </c>
      <c r="R30" s="4">
        <v>19.920000000000002</v>
      </c>
      <c r="S30" s="32">
        <f>IF(OR(AND(P30="Motorbike",R30-R29&lt;Log!$C$13),AND(P30&lt;&gt;"Motorbike",R30-R29&lt;Log!$C$12)),0,IF(S29&lt;&gt;0,R30-R29,IF(S28=0,R30-R27,R30-R28)))</f>
        <v>1.120000000000001</v>
      </c>
      <c r="T30" s="104">
        <f t="shared" si="5"/>
        <v>1.120000000000001</v>
      </c>
      <c r="W30" s="11"/>
    </row>
    <row r="31" spans="1:23" x14ac:dyDescent="0.25">
      <c r="A31" s="58">
        <v>176</v>
      </c>
      <c r="B31" s="54" t="s">
        <v>4</v>
      </c>
      <c r="C31" s="5">
        <f>VLOOKUP(B31,Log!$B$2:$C$8,2,)</f>
        <v>1</v>
      </c>
      <c r="D31" s="5">
        <v>31.72</v>
      </c>
      <c r="E31" s="132">
        <f>IF(OR(AND(B31="Motorbike",D31-D30&lt;Log!$C$13),AND(B31&lt;&gt;"Motorbike",D31-D30&lt;Log!$C$12)),0,IF(E30&lt;&gt;0,D31-D30,IF(E29=0,D31-D28,D31-D29)))</f>
        <v>1.3999999999999986</v>
      </c>
      <c r="F31" s="133">
        <f t="shared" si="3"/>
        <v>1.3999999999999986</v>
      </c>
      <c r="H31" s="30">
        <v>204</v>
      </c>
      <c r="I31" s="4" t="s">
        <v>4</v>
      </c>
      <c r="J31" s="5">
        <f>VLOOKUP(I31,Log!$B$2:$C$8,2,)</f>
        <v>1</v>
      </c>
      <c r="K31" s="4">
        <v>36.92</v>
      </c>
      <c r="L31" s="132">
        <f>IF(OR(AND(I31="Motorbike",K31-K30&lt;Log!$C$13),AND(I31&lt;&gt;"Motorbike",K31-K30&lt;Log!$C$12)),0,IF(L30&lt;&gt;0,K31-K30,IF(L29=0,K31-K28,K31-K29)))</f>
        <v>1.5200000000000031</v>
      </c>
      <c r="M31" s="133">
        <f t="shared" si="4"/>
        <v>3.0400000000000063</v>
      </c>
      <c r="N31" s="13"/>
      <c r="O31" s="58">
        <v>141</v>
      </c>
      <c r="P31" s="54" t="s">
        <v>6</v>
      </c>
      <c r="Q31" s="5">
        <f>VLOOKUP(P31,Log!$B$2:$C$8,2,)</f>
        <v>0.45</v>
      </c>
      <c r="R31" s="4">
        <v>22.08</v>
      </c>
      <c r="S31" s="32">
        <f>IF(OR(AND(P31="Motorbike",R31-R30&lt;Log!$C$13),AND(P31&lt;&gt;"Motorbike",R31-R30&lt;Log!$C$12)),0,IF(S30&lt;&gt;0,R31-R30,IF(S29=0,R31-R28,R31-R29)))</f>
        <v>2.1599999999999966</v>
      </c>
      <c r="T31" s="104">
        <f t="shared" si="5"/>
        <v>0.97199999999999853</v>
      </c>
      <c r="W31" s="11"/>
    </row>
    <row r="32" spans="1:23" ht="15.75" thickBot="1" x14ac:dyDescent="0.3">
      <c r="A32" s="58">
        <v>222</v>
      </c>
      <c r="B32" s="54" t="s">
        <v>5</v>
      </c>
      <c r="C32" s="5">
        <f>VLOOKUP(B32,Log!$B$2:$C$8,2,)</f>
        <v>0.38</v>
      </c>
      <c r="D32" s="5">
        <v>32.799999999999997</v>
      </c>
      <c r="E32" s="132">
        <f>IF(OR(AND(B32="Motorbike",D32-D31&lt;Log!$C$13),AND(B32&lt;&gt;"Motorbike",D32-D31&lt;Log!$C$12)),0,IF(E31&lt;&gt;0,D32-D31,IF(E30=0,D32-D29,D32-D30)))</f>
        <v>1.0799999999999983</v>
      </c>
      <c r="F32" s="133">
        <f t="shared" si="3"/>
        <v>0.89639999999999864</v>
      </c>
      <c r="H32" s="7">
        <v>235</v>
      </c>
      <c r="I32" s="31" t="s">
        <v>4</v>
      </c>
      <c r="J32" s="5">
        <f>VLOOKUP(I32,Log!$B$2:$C$8,2,)</f>
        <v>1</v>
      </c>
      <c r="K32" s="4">
        <v>37.28</v>
      </c>
      <c r="L32" s="132">
        <f>IF(OR(AND(I32="Motorbike",K32-K31&lt;Log!$C$13),AND(I32&lt;&gt;"Motorbike",K32-K31&lt;Log!$C$12)),0,IF(L31&lt;&gt;0,K32-K31,IF(L30=0,K32-K29,K32-K30)))</f>
        <v>0</v>
      </c>
      <c r="M32" s="134">
        <f t="shared" si="4"/>
        <v>0</v>
      </c>
      <c r="N32" s="13"/>
      <c r="O32" s="58">
        <v>112</v>
      </c>
      <c r="P32" s="54" t="s">
        <v>4</v>
      </c>
      <c r="Q32" s="5">
        <f>VLOOKUP(P32,Log!$B$2:$C$8,2,)</f>
        <v>1</v>
      </c>
      <c r="R32" s="4">
        <v>23.8</v>
      </c>
      <c r="S32" s="32">
        <f>IF(OR(AND(P32="Motorbike",R32-R31&lt;Log!$C$13),AND(P32&lt;&gt;"Motorbike",R32-R31&lt;Log!$C$12)),0,IF(S31&lt;&gt;0,R32-R31,IF(S30=0,R32-R29,R32-R30)))</f>
        <v>1.7200000000000024</v>
      </c>
      <c r="T32" s="104">
        <f t="shared" si="5"/>
        <v>1.7200000000000024</v>
      </c>
      <c r="W32" s="11"/>
    </row>
    <row r="33" spans="1:23" x14ac:dyDescent="0.25">
      <c r="A33" s="58">
        <v>207</v>
      </c>
      <c r="B33" s="54" t="s">
        <v>6</v>
      </c>
      <c r="C33" s="5">
        <f>VLOOKUP(B33,Log!$B$2:$C$8,2,)</f>
        <v>0.45</v>
      </c>
      <c r="D33" s="5">
        <v>32.92</v>
      </c>
      <c r="E33" s="132">
        <f>IF(OR(AND(B33="Motorbike",D33-D32&lt;Log!$C$13),AND(B33&lt;&gt;"Motorbike",D33-D32&lt;Log!$C$12)),0,IF(E32&lt;&gt;0,D33-D32,IF(E31=0,D33-D30,D33-D31)))</f>
        <v>0</v>
      </c>
      <c r="F33" s="133">
        <f t="shared" si="3"/>
        <v>0</v>
      </c>
      <c r="H33" s="50"/>
      <c r="I33" s="51"/>
      <c r="J33" s="13"/>
      <c r="L33" s="52"/>
      <c r="M33" s="52"/>
      <c r="N33" s="13"/>
      <c r="O33" s="58">
        <v>156</v>
      </c>
      <c r="P33" s="117" t="s">
        <v>5</v>
      </c>
      <c r="Q33" s="5">
        <f>VLOOKUP(P33,Log!$B$2:$C$8,2,)</f>
        <v>0.38</v>
      </c>
      <c r="R33" s="4">
        <v>24.72</v>
      </c>
      <c r="S33" s="32">
        <f>IF(OR(AND(P33="Motorbike",R33-R32&lt;Log!$C$13),AND(P33&lt;&gt;"Motorbike",R33-R32&lt;Log!$C$12)),0,IF(S32&lt;&gt;0,R33-R32,IF(S31=0,R33-R30,R33-R31)))</f>
        <v>0.91999999999999815</v>
      </c>
      <c r="T33" s="104">
        <f t="shared" si="5"/>
        <v>1.048799999999998</v>
      </c>
      <c r="W33" s="11"/>
    </row>
    <row r="34" spans="1:23" x14ac:dyDescent="0.25">
      <c r="A34" s="58">
        <v>208</v>
      </c>
      <c r="B34" s="54" t="s">
        <v>4</v>
      </c>
      <c r="C34" s="5">
        <f>VLOOKUP(B34,Log!$B$2:$C$8,2,)</f>
        <v>1</v>
      </c>
      <c r="D34" s="5">
        <v>34.08</v>
      </c>
      <c r="E34" s="132">
        <f>IF(OR(AND(B34="Motorbike",D34-D33&lt;Log!$C$13),AND(B34&lt;&gt;"Motorbike",D34-D33&lt;Log!$C$12)),0,IF(E33&lt;&gt;0,D34-D33,IF(E32=0,D34-D31,D34-D32)))</f>
        <v>1.2800000000000011</v>
      </c>
      <c r="F34" s="133">
        <f t="shared" si="3"/>
        <v>1.2800000000000011</v>
      </c>
      <c r="H34" s="50"/>
      <c r="I34" s="51"/>
      <c r="J34" s="13"/>
      <c r="L34" s="52"/>
      <c r="M34" s="52"/>
      <c r="N34" s="13"/>
      <c r="O34" s="58">
        <v>184</v>
      </c>
      <c r="P34" s="117" t="s">
        <v>5</v>
      </c>
      <c r="Q34" s="5">
        <f>VLOOKUP(P34,Log!$B$2:$C$8,2,)</f>
        <v>0.38</v>
      </c>
      <c r="R34" s="4">
        <v>25</v>
      </c>
      <c r="S34" s="32">
        <f>IF(OR(AND(P34="Motorbike",R34-R33&lt;Log!$C$13),AND(P34&lt;&gt;"Motorbike",R34-R33&lt;Log!$C$12)),0,IF(S33&lt;&gt;0,R34-R33,IF(S32=0,R34-R31,R34-R32)))</f>
        <v>0</v>
      </c>
      <c r="T34" s="104">
        <f t="shared" si="5"/>
        <v>0</v>
      </c>
      <c r="W34" s="11"/>
    </row>
    <row r="35" spans="1:23" ht="15.75" thickBot="1" x14ac:dyDescent="0.3">
      <c r="A35" s="58">
        <v>203</v>
      </c>
      <c r="B35" s="54" t="s">
        <v>6</v>
      </c>
      <c r="C35" s="5">
        <f>VLOOKUP(B35,Log!$B$2:$C$8,2,)</f>
        <v>0.45</v>
      </c>
      <c r="D35" s="5">
        <v>35.08</v>
      </c>
      <c r="E35" s="132">
        <f>IF(OR(AND(B35="Motorbike",D35-D34&lt;Log!$C$13),AND(B35&lt;&gt;"Motorbike",D35-D34&lt;Log!$C$12)),0,IF(E34&lt;&gt;0,D35-D34,IF(E33=0,D35-D32,D35-D33)))</f>
        <v>1</v>
      </c>
      <c r="F35" s="134">
        <f t="shared" si="3"/>
        <v>0.45</v>
      </c>
      <c r="H35" s="53"/>
      <c r="J35" s="13"/>
      <c r="L35" s="52"/>
      <c r="M35" s="52"/>
      <c r="O35" s="58">
        <v>144</v>
      </c>
      <c r="P35" s="117" t="s">
        <v>5</v>
      </c>
      <c r="Q35" s="5">
        <f>VLOOKUP(P35,Log!$B$2:$C$8,2,)</f>
        <v>0.38</v>
      </c>
      <c r="R35" s="4">
        <v>25.32</v>
      </c>
      <c r="S35" s="32">
        <f>IF(OR(AND(P35="Motorbike",R35-R34&lt;Log!$C$13),AND(P35&lt;&gt;"Motorbike",R35-R34&lt;Log!$C$12)),0,IF(S34&lt;&gt;0,R35-R34,IF(S33=0,R35-R32,R35-R33)))</f>
        <v>0</v>
      </c>
      <c r="T35" s="104">
        <f t="shared" si="5"/>
        <v>0</v>
      </c>
      <c r="W35" s="11"/>
    </row>
    <row r="36" spans="1:23" x14ac:dyDescent="0.25">
      <c r="A36" s="58">
        <v>220</v>
      </c>
      <c r="B36" s="54" t="s">
        <v>4</v>
      </c>
      <c r="C36" s="5">
        <f>VLOOKUP(B36,Log!$B$2:$C$8,2,)</f>
        <v>1</v>
      </c>
      <c r="D36" s="5">
        <v>37.68</v>
      </c>
      <c r="E36" s="132">
        <f>IF(OR(AND(B36="Motorbike",D36-D35&lt;Log!$C$13),AND(B36&lt;&gt;"Motorbike",D36-D35&lt;Log!$C$12)),0,IF(E35&lt;&gt;0,D36-D35,IF(E34=0,D36-D33,D36-D34)))</f>
        <v>2.6000000000000014</v>
      </c>
      <c r="F36" s="103">
        <f t="shared" si="3"/>
        <v>2.6000000000000014</v>
      </c>
      <c r="J36" s="13"/>
      <c r="L36" s="52"/>
      <c r="M36" s="52"/>
      <c r="O36" s="58">
        <v>150</v>
      </c>
      <c r="P36" s="117" t="s">
        <v>5</v>
      </c>
      <c r="Q36" s="5">
        <f>VLOOKUP(P36,Log!$B$2:$C$8,2,)</f>
        <v>0.38</v>
      </c>
      <c r="R36" s="4">
        <v>26.68</v>
      </c>
      <c r="S36" s="32">
        <f>IF(OR(AND(P36="Motorbike",R36-R35&lt;Log!$C$13),AND(P36&lt;&gt;"Motorbike",R36-R35&lt;Log!$C$12)),0,IF(S35&lt;&gt;0,R36-R35,IF(S34=0,R36-R33,R36-R34)))</f>
        <v>1.9600000000000009</v>
      </c>
      <c r="T36" s="104">
        <f t="shared" si="5"/>
        <v>3.4496000000000016</v>
      </c>
      <c r="W36" s="11"/>
    </row>
    <row r="37" spans="1:23" x14ac:dyDescent="0.25">
      <c r="A37" s="58">
        <v>263</v>
      </c>
      <c r="B37" s="54" t="s">
        <v>5</v>
      </c>
      <c r="C37" s="5">
        <f>VLOOKUP(B37,Log!$B$2:$C$8,2,)</f>
        <v>0.38</v>
      </c>
      <c r="D37" s="5">
        <v>38.6</v>
      </c>
      <c r="E37" s="32">
        <f>IF(OR(AND(B37="Motorbike",D37-D36&lt;Log!$C$13),AND(B37&lt;&gt;"Motorbike",D37-D36&lt;Log!$C$12)),0,IF(E36&lt;&gt;0,D37-D36,IF(E35=0,D37-D34,D37-D35)))</f>
        <v>0.92000000000000171</v>
      </c>
      <c r="F37" s="103">
        <f t="shared" si="3"/>
        <v>0.34960000000000063</v>
      </c>
      <c r="J37" s="13"/>
      <c r="L37" s="52"/>
      <c r="M37" s="52"/>
      <c r="O37" s="58">
        <v>134</v>
      </c>
      <c r="P37" s="117" t="s">
        <v>5</v>
      </c>
      <c r="Q37" s="5">
        <f>VLOOKUP(P37,Log!$B$2:$C$8,2,)</f>
        <v>0.38</v>
      </c>
      <c r="R37" s="4">
        <v>26.8</v>
      </c>
      <c r="S37" s="32">
        <f>IF(OR(AND(P37="Motorbike",R37-R36&lt;Log!$C$13),AND(P37&lt;&gt;"Motorbike",R37-R36&lt;Log!$C$12)),0,IF(S36&lt;&gt;0,R37-R36,IF(S35=0,R37-R34,R37-R35)))</f>
        <v>0</v>
      </c>
      <c r="T37" s="104">
        <f t="shared" si="5"/>
        <v>0</v>
      </c>
      <c r="W37" s="11"/>
    </row>
    <row r="38" spans="1:23" ht="15.75" thickBot="1" x14ac:dyDescent="0.3">
      <c r="A38" s="59">
        <v>265</v>
      </c>
      <c r="B38" s="54" t="s">
        <v>5</v>
      </c>
      <c r="C38" s="5">
        <f>VLOOKUP(B38,Log!$B$2:$C$8,2,)</f>
        <v>0.38</v>
      </c>
      <c r="D38" s="5">
        <v>40</v>
      </c>
      <c r="E38" s="32">
        <f>IF(OR(AND(B38="Motorbike",D38-D37&lt;Log!$C$13),AND(B38&lt;&gt;"Motorbike",D38-D37&lt;Log!$C$12)),0,IF(E37&lt;&gt;0,D38-D37,IF(E36=0,D38-D35,D38-D36)))</f>
        <v>1.3999999999999986</v>
      </c>
      <c r="F38" s="32">
        <f t="shared" si="3"/>
        <v>0.53199999999999947</v>
      </c>
      <c r="O38" s="58">
        <v>180</v>
      </c>
      <c r="P38" s="54" t="s">
        <v>4</v>
      </c>
      <c r="Q38" s="5">
        <f>VLOOKUP(P38,Log!$B$2:$C$8,2,)</f>
        <v>1</v>
      </c>
      <c r="R38" s="4">
        <v>27.08</v>
      </c>
      <c r="S38" s="32">
        <f>IF(OR(AND(P38="Motorbike",R38-R37&lt;Log!$C$13),AND(P38&lt;&gt;"Motorbike",R38-R37&lt;Log!$C$12)),0,IF(S37&lt;&gt;0,R38-R37,IF(S36=0,R38-R35,R38-R36)))</f>
        <v>0</v>
      </c>
      <c r="T38" s="104">
        <f t="shared" si="5"/>
        <v>0</v>
      </c>
      <c r="W38" s="11"/>
    </row>
    <row r="39" spans="1:23" x14ac:dyDescent="0.25">
      <c r="O39" s="58">
        <v>209</v>
      </c>
      <c r="P39" s="54" t="s">
        <v>5</v>
      </c>
      <c r="Q39" s="5">
        <f>VLOOKUP(P39,Log!$B$2:$C$8,2,)</f>
        <v>0.38</v>
      </c>
      <c r="R39" s="4">
        <v>28</v>
      </c>
      <c r="S39" s="32">
        <f>IF(OR(AND(P39="Motorbike",R39-R38&lt;Log!$C$13),AND(P39&lt;&gt;"Motorbike",R39-R38&lt;Log!$C$12)),0,IF(S38&lt;&gt;0,R39-R38,IF(S37=0,R39-R36,R39-R37)))</f>
        <v>1.3200000000000003</v>
      </c>
      <c r="T39" s="104">
        <f t="shared" si="5"/>
        <v>1.0032000000000003</v>
      </c>
      <c r="W39" s="11"/>
    </row>
    <row r="40" spans="1:23" x14ac:dyDescent="0.25">
      <c r="O40" s="58">
        <v>202</v>
      </c>
      <c r="P40" s="54" t="s">
        <v>5</v>
      </c>
      <c r="Q40" s="5">
        <f>VLOOKUP(P40,Log!$B$2:$C$8,2,)</f>
        <v>0.38</v>
      </c>
      <c r="R40" s="4">
        <v>28</v>
      </c>
      <c r="S40" s="32">
        <f>IF(OR(AND(P40="Motorbike",R40-R39&lt;Log!$C$13),AND(P40&lt;&gt;"Motorbike",R40-R39&lt;Log!$C$12)),0,IF(S39&lt;&gt;0,R40-R39,IF(S38=0,R40-R37,R40-R38)))</f>
        <v>0</v>
      </c>
      <c r="T40" s="104">
        <f t="shared" si="5"/>
        <v>0</v>
      </c>
      <c r="W40" s="11"/>
    </row>
    <row r="41" spans="1:23" x14ac:dyDescent="0.25">
      <c r="O41" s="58">
        <v>164</v>
      </c>
      <c r="P41" s="54" t="s">
        <v>4</v>
      </c>
      <c r="Q41" s="5">
        <f>VLOOKUP(P41,Log!$B$2:$C$8,2,)</f>
        <v>1</v>
      </c>
      <c r="R41" s="4">
        <v>29.6</v>
      </c>
      <c r="S41" s="32">
        <f>IF(OR(AND(P41="Motorbike",R41-R40&lt;Log!$C$13),AND(P41&lt;&gt;"Motorbike",R41-R40&lt;Log!$C$12)),0,IF(S40&lt;&gt;0,R41-R40,IF(S39=0,R41-R38,R41-R39)))</f>
        <v>1.6000000000000014</v>
      </c>
      <c r="T41" s="104">
        <f t="shared" si="5"/>
        <v>1.6000000000000014</v>
      </c>
      <c r="W41" s="11"/>
    </row>
    <row r="42" spans="1:23" x14ac:dyDescent="0.25">
      <c r="O42" s="58">
        <v>191</v>
      </c>
      <c r="P42" s="54" t="s">
        <v>4</v>
      </c>
      <c r="Q42" s="5">
        <f>VLOOKUP(P42,Log!$B$2:$C$8,2,)</f>
        <v>1</v>
      </c>
      <c r="R42" s="4">
        <v>32.08</v>
      </c>
      <c r="S42" s="32">
        <f>IF(OR(AND(P42="Motorbike",R42-R41&lt;Log!$C$13),AND(P42&lt;&gt;"Motorbike",R42-R41&lt;Log!$C$12)),0,IF(S41&lt;&gt;0,R42-R41,IF(S40=0,R42-R39,R42-R40)))</f>
        <v>2.4799999999999969</v>
      </c>
      <c r="T42" s="104">
        <f t="shared" si="5"/>
        <v>2.4799999999999969</v>
      </c>
      <c r="W42" s="11"/>
    </row>
    <row r="43" spans="1:23" x14ac:dyDescent="0.25">
      <c r="O43" s="58">
        <v>210</v>
      </c>
      <c r="P43" s="54" t="s">
        <v>4</v>
      </c>
      <c r="Q43" s="5">
        <f>VLOOKUP(P43,Log!$B$2:$C$8,2,)</f>
        <v>1</v>
      </c>
      <c r="R43" s="4">
        <v>34.08</v>
      </c>
      <c r="S43" s="32">
        <f>IF(OR(AND(P43="Motorbike",R43-R42&lt;Log!$C$13),AND(P43&lt;&gt;"Motorbike",R43-R42&lt;Log!$C$12)),0,IF(S42&lt;&gt;0,R43-R42,IF(S41=0,R43-R40,R43-R41)))</f>
        <v>2</v>
      </c>
      <c r="T43" s="104">
        <f t="shared" si="5"/>
        <v>2</v>
      </c>
      <c r="W43" s="11"/>
    </row>
    <row r="44" spans="1:23" x14ac:dyDescent="0.25">
      <c r="O44" s="58">
        <v>249</v>
      </c>
      <c r="P44" s="117" t="s">
        <v>5</v>
      </c>
      <c r="Q44" s="5">
        <f>VLOOKUP(P44,Log!$B$2:$C$8,2,)</f>
        <v>0.38</v>
      </c>
      <c r="R44" s="4">
        <v>35.119999999999997</v>
      </c>
      <c r="S44" s="32">
        <f>IF(OR(AND(P44="Motorbike",R44-R43&lt;Log!$C$13),AND(P44&lt;&gt;"Motorbike",R44-R43&lt;Log!$C$12)),0,IF(S43&lt;&gt;0,R44-R43,IF(S42=0,R44-R41,R44-R42)))</f>
        <v>1.0399999999999991</v>
      </c>
      <c r="T44" s="104">
        <f>S44*(Q44*5)</f>
        <v>1.9759999999999982</v>
      </c>
      <c r="W44" s="11"/>
    </row>
    <row r="45" spans="1:23" x14ac:dyDescent="0.25">
      <c r="O45" s="58">
        <v>243</v>
      </c>
      <c r="P45" s="117" t="s">
        <v>5</v>
      </c>
      <c r="Q45" s="5">
        <f>VLOOKUP(P45,Log!$B$2:$C$8,2,)</f>
        <v>0.38</v>
      </c>
      <c r="R45" s="4">
        <v>35.520000000000003</v>
      </c>
      <c r="S45" s="32">
        <f>IF(OR(AND(P45="Motorbike",R45-R44&lt;Log!$C$13),AND(P45&lt;&gt;"Motorbike",R45-R44&lt;Log!$C$12)),0,IF(S44&lt;&gt;0,R45-R44,IF(S43=0,R45-R42,R45-R43)))</f>
        <v>0</v>
      </c>
      <c r="T45" s="104">
        <f t="shared" si="5"/>
        <v>0</v>
      </c>
    </row>
    <row r="46" spans="1:23" x14ac:dyDescent="0.25">
      <c r="O46" s="58">
        <v>233</v>
      </c>
      <c r="P46" s="117" t="s">
        <v>5</v>
      </c>
      <c r="Q46" s="5">
        <f>VLOOKUP(P46,Log!$B$2:$C$8,2,)</f>
        <v>0.38</v>
      </c>
      <c r="R46" s="4">
        <v>35.6</v>
      </c>
      <c r="S46" s="32">
        <f>IF(OR(AND(P46="Motorbike",R46-R45&lt;Log!$C$13),AND(P46&lt;&gt;"Motorbike",R46-R45&lt;Log!$C$12)),0,IF(S45&lt;&gt;0,R46-R45,IF(S44=0,R46-R43,R46-R44)))</f>
        <v>0</v>
      </c>
      <c r="T46" s="104">
        <f t="shared" si="5"/>
        <v>0</v>
      </c>
    </row>
    <row r="47" spans="1:23" x14ac:dyDescent="0.25">
      <c r="O47" s="58">
        <v>269</v>
      </c>
      <c r="P47" s="117" t="s">
        <v>5</v>
      </c>
      <c r="Q47" s="5">
        <f>VLOOKUP(P47,Log!$B$2:$C$8,2,)</f>
        <v>0.38</v>
      </c>
      <c r="R47" s="4">
        <v>36.08</v>
      </c>
      <c r="S47" s="32">
        <f>R47-R46</f>
        <v>0.47999999999999687</v>
      </c>
      <c r="T47" s="104">
        <f t="shared" si="5"/>
        <v>0.36479999999999763</v>
      </c>
    </row>
    <row r="48" spans="1:23" ht="15.75" thickBot="1" x14ac:dyDescent="0.3">
      <c r="O48" s="59">
        <v>245</v>
      </c>
      <c r="P48" s="117" t="s">
        <v>5</v>
      </c>
      <c r="Q48" s="5">
        <f>VLOOKUP(P48,Log!$B$2:$C$8,2,)</f>
        <v>0.38</v>
      </c>
      <c r="R48" s="4">
        <v>36.28</v>
      </c>
      <c r="S48" s="32">
        <f>IF(OR(AND(P48="Motorbike",R48-R47&lt;Log!$C$13),AND(P48&lt;&gt;"Motorbike",R48-R47&lt;Log!$C$12)),0,IF(S47&lt;&gt;0,R48-R47,IF(S46=0,R48-R45,R48-R46)))</f>
        <v>0</v>
      </c>
      <c r="T48" s="104">
        <f t="shared" si="5"/>
        <v>0</v>
      </c>
    </row>
    <row r="49" spans="15:20" x14ac:dyDescent="0.25">
      <c r="O49" s="56">
        <v>270</v>
      </c>
      <c r="P49" s="54" t="s">
        <v>5</v>
      </c>
      <c r="Q49" s="5">
        <f>VLOOKUP(P49,Log!$B$2:$C$8,2,)</f>
        <v>0.38</v>
      </c>
      <c r="R49" s="4">
        <v>38.799999999999997</v>
      </c>
      <c r="S49" s="32">
        <f>IF(OR(AND(P49="Motorbike",R49-R48&lt;Log!$C$13),AND(P49&lt;&gt;"Motorbike",R49-R48&lt;Log!$C$12)),0,IF(S48&lt;&gt;0,R49-R48,IF(S47=0,R49-R46,R49-R47)))</f>
        <v>2.7199999999999989</v>
      </c>
      <c r="T49" s="32">
        <f t="shared" si="5"/>
        <v>1.0335999999999996</v>
      </c>
    </row>
    <row r="50" spans="15:20" x14ac:dyDescent="0.25">
      <c r="O50" s="56">
        <v>276</v>
      </c>
      <c r="P50" s="4" t="s">
        <v>5</v>
      </c>
      <c r="Q50" s="5">
        <f>VLOOKUP(P50,Log!$B$2:$C$8,2,)</f>
        <v>0.38</v>
      </c>
      <c r="R50" s="4">
        <v>40.28</v>
      </c>
      <c r="S50" s="32">
        <f>IF(OR(AND(P50="Motorbike",R50-R49&lt;Log!$C$13),AND(P50&lt;&gt;"Motorbike",R50-R49&lt;Log!$C$12)),0,IF(S49&lt;&gt;0,R50-R49,IF(S48=0,R50-R47,R50-R48)))</f>
        <v>1.480000000000004</v>
      </c>
      <c r="T50" s="32">
        <f t="shared" si="5"/>
        <v>0.56240000000000157</v>
      </c>
    </row>
    <row r="52" spans="15:20" x14ac:dyDescent="0.25">
      <c r="S52" s="122"/>
      <c r="T52" s="122"/>
    </row>
    <row r="53" spans="15:20" x14ac:dyDescent="0.25">
      <c r="S53" s="123"/>
      <c r="T53" s="123"/>
    </row>
  </sheetData>
  <mergeCells count="4">
    <mergeCell ref="C1:D1"/>
    <mergeCell ref="A11:F11"/>
    <mergeCell ref="H11:M11"/>
    <mergeCell ref="O11:T11"/>
  </mergeCells>
  <conditionalFormatting sqref="E14:E21 E23:E38">
    <cfRule type="cellIs" dxfId="137" priority="17" operator="greaterThanOrEqual">
      <formula>4</formula>
    </cfRule>
  </conditionalFormatting>
  <conditionalFormatting sqref="E13:F13">
    <cfRule type="cellIs" dxfId="136" priority="41" operator="greaterThan">
      <formula>4</formula>
    </cfRule>
  </conditionalFormatting>
  <conditionalFormatting sqref="F14:F21 F23:F38">
    <cfRule type="cellIs" dxfId="135" priority="19" operator="greaterThan">
      <formula>4</formula>
    </cfRule>
  </conditionalFormatting>
  <conditionalFormatting sqref="L14:L32">
    <cfRule type="cellIs" dxfId="134" priority="10" operator="greaterThanOrEqual">
      <formula>4</formula>
    </cfRule>
  </conditionalFormatting>
  <conditionalFormatting sqref="L13:M13 L33:M37">
    <cfRule type="cellIs" dxfId="133" priority="37" operator="greaterThan">
      <formula>4</formula>
    </cfRule>
  </conditionalFormatting>
  <conditionalFormatting sqref="M14:M32">
    <cfRule type="cellIs" dxfId="132" priority="12" operator="greaterThan">
      <formula>4</formula>
    </cfRule>
  </conditionalFormatting>
  <conditionalFormatting sqref="S14:S50">
    <cfRule type="cellIs" dxfId="131" priority="3" operator="greaterThanOrEqual">
      <formula>4</formula>
    </cfRule>
  </conditionalFormatting>
  <conditionalFormatting sqref="S13:T13">
    <cfRule type="cellIs" dxfId="130" priority="33" operator="greaterThan">
      <formula>4</formula>
    </cfRule>
  </conditionalFormatting>
  <conditionalFormatting sqref="T14:T50">
    <cfRule type="cellIs" dxfId="129" priority="5" operator="greaterThan">
      <formula>4</formula>
    </cfRule>
  </conditionalFormatting>
  <conditionalFormatting sqref="E22:F22">
    <cfRule type="cellIs" dxfId="128" priority="1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DC3D2CC5-9FB0-44E8-964A-210C639FBD18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E14:E21 L14:L32 S14:S50 E23:E38</xm:sqref>
        </x14:conditionalFormatting>
        <x14:conditionalFormatting xmlns:xm="http://schemas.microsoft.com/office/excel/2006/main">
          <x14:cfRule type="expression" priority="18" id="{77EAB778-4030-41CA-AA11-35D6BBC46F59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E14:E21 L14:L32 S14:S50 E23:E38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125D8-A142-4CBE-B4CB-7BDAE882D430}">
  <sheetPr codeName="Sheet6"/>
  <dimension ref="A1:W53"/>
  <sheetViews>
    <sheetView workbookViewId="0">
      <selection activeCell="G29" sqref="G2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39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24.720000000000002</v>
      </c>
      <c r="M2" s="17">
        <f>SUM(M20:M28)</f>
        <v>19.735199999999999</v>
      </c>
      <c r="R2" s="4" t="s">
        <v>12</v>
      </c>
      <c r="S2" s="8">
        <f>SUM(S25:S28)</f>
        <v>4</v>
      </c>
      <c r="T2" s="8">
        <f>SUM(T25:T28)</f>
        <v>3.2815999999999992</v>
      </c>
    </row>
    <row r="3" spans="1:20" x14ac:dyDescent="0.25">
      <c r="K3" s="4" t="s">
        <v>13</v>
      </c>
      <c r="L3" s="18">
        <f>AVERAGE(L24:L26)</f>
        <v>3.1466666666666669</v>
      </c>
      <c r="M3" s="65">
        <f>AVERAGE(M21:M26)</f>
        <v>1.5425333333333333</v>
      </c>
      <c r="R3" s="4" t="s">
        <v>13</v>
      </c>
      <c r="S3" s="9">
        <f>AVERAGE(S25:S28)</f>
        <v>1</v>
      </c>
      <c r="T3" s="9">
        <f>AVERAGE(T23:T32)</f>
        <v>2.1192000000000002</v>
      </c>
    </row>
    <row r="4" spans="1:20" x14ac:dyDescent="0.25">
      <c r="A4" s="4" t="s">
        <v>4</v>
      </c>
      <c r="B4" s="128">
        <f>100*COUNTIF($B$15:$B$30,A4)/COUNTA($B$15:$B$30)</f>
        <v>62.5</v>
      </c>
      <c r="H4" s="4" t="s">
        <v>4</v>
      </c>
      <c r="I4" s="128">
        <f>100*COUNTIF($I$13:$I$32,H4)/COUNTA($I$13:$I$32)</f>
        <v>73.333333333333329</v>
      </c>
      <c r="K4" s="4" t="s">
        <v>1</v>
      </c>
      <c r="L4" s="21">
        <f>3600/L3</f>
        <v>1144.0677966101694</v>
      </c>
      <c r="M4" s="66">
        <f>3600/M3</f>
        <v>2333.8231480681129</v>
      </c>
      <c r="O4" s="4" t="s">
        <v>4</v>
      </c>
      <c r="P4" s="128">
        <f>100*COUNTIF($P$14:$P$29,O4)/COUNTA($P$14:$P$29)</f>
        <v>43.75</v>
      </c>
      <c r="R4" s="4" t="s">
        <v>1</v>
      </c>
      <c r="S4" s="10">
        <f>3600/S3</f>
        <v>3600</v>
      </c>
      <c r="T4" s="10">
        <f>3600/T3</f>
        <v>1698.754246885617</v>
      </c>
    </row>
    <row r="5" spans="1:20" x14ac:dyDescent="0.25">
      <c r="A5" s="4" t="s">
        <v>6</v>
      </c>
      <c r="B5" s="128">
        <f t="shared" ref="B5:B9" si="0">100*COUNTIF($B$15:$B$30,A5)/COUNTA($B$15:$B$30)</f>
        <v>25</v>
      </c>
      <c r="H5" s="4" t="s">
        <v>6</v>
      </c>
      <c r="I5" s="128">
        <f t="shared" ref="I5:I9" si="1">100*COUNTIF($I$13:$I$32,H5)/COUNTA($I$13:$I$32)</f>
        <v>6.666666666666667</v>
      </c>
      <c r="O5" s="4" t="s">
        <v>6</v>
      </c>
      <c r="P5" s="128">
        <f t="shared" ref="P5:P9" si="2">100*COUNTIF($P$14:$P$29,O5)/COUNTA($P$14:$P$29)</f>
        <v>31.25</v>
      </c>
    </row>
    <row r="6" spans="1:20" x14ac:dyDescent="0.25">
      <c r="A6" s="4" t="s">
        <v>5</v>
      </c>
      <c r="B6" s="128">
        <f t="shared" si="0"/>
        <v>12.5</v>
      </c>
      <c r="E6" s="27" t="s">
        <v>22</v>
      </c>
      <c r="F6" s="27" t="s">
        <v>21</v>
      </c>
      <c r="H6" s="4" t="s">
        <v>5</v>
      </c>
      <c r="I6" s="128">
        <f t="shared" si="1"/>
        <v>20</v>
      </c>
      <c r="L6" s="27" t="s">
        <v>22</v>
      </c>
      <c r="M6" s="27" t="s">
        <v>21</v>
      </c>
      <c r="O6" s="4" t="s">
        <v>5</v>
      </c>
      <c r="P6" s="128">
        <f t="shared" si="2"/>
        <v>12.5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23.32</v>
      </c>
      <c r="F7" s="23">
        <f>SUM(F14:F30)</f>
        <v>23.036799999999996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33.799999999999997</v>
      </c>
      <c r="M7" s="23">
        <f>SUM(M14:M37)</f>
        <v>31.8672</v>
      </c>
      <c r="O7" s="4" t="s">
        <v>18</v>
      </c>
      <c r="P7" s="128">
        <f t="shared" si="2"/>
        <v>6.25</v>
      </c>
      <c r="R7" s="28" t="s">
        <v>12</v>
      </c>
      <c r="S7" s="23">
        <f>SUM(S14:S23)</f>
        <v>18.919999999999998</v>
      </c>
      <c r="T7" s="23">
        <f>SUM(T13:T23)</f>
        <v>18.7532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AVERAGEIF(E16:E26,"&lt;&gt;0")</f>
        <v>1.6266666666666665</v>
      </c>
      <c r="F8" s="26">
        <f>AVERAGEIF(F16:F30,"&lt;&gt;0")</f>
        <v>1.8033454545454546</v>
      </c>
      <c r="H8" s="4" t="s">
        <v>7</v>
      </c>
      <c r="I8" s="128">
        <f t="shared" si="1"/>
        <v>0</v>
      </c>
      <c r="K8" s="28" t="s">
        <v>13</v>
      </c>
      <c r="L8" s="26">
        <f>AVERAGEIF(L14:L19,"&lt;&gt;0")</f>
        <v>2.27</v>
      </c>
      <c r="M8" s="26">
        <f>AVERAGEIF(M21:M25,"&lt;&gt;0")</f>
        <v>1.4619199999999999</v>
      </c>
      <c r="O8" s="4" t="s">
        <v>7</v>
      </c>
      <c r="P8" s="128">
        <f t="shared" si="2"/>
        <v>6.25</v>
      </c>
      <c r="R8" s="28" t="s">
        <v>13</v>
      </c>
      <c r="S8" s="26">
        <f>AVERAGEIF(S14:S29,"&lt;&gt;0")</f>
        <v>2.1999999999999997</v>
      </c>
      <c r="T8" s="26">
        <f>AVERAGEIF(T15:T29,"&lt;&gt;0")</f>
        <v>1.8588363636363638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2213.1147540983611</v>
      </c>
      <c r="F9" s="29">
        <f>3600/F8</f>
        <v>1996.2897241490562</v>
      </c>
      <c r="H9" s="4" t="s">
        <v>23</v>
      </c>
      <c r="I9" s="128">
        <f t="shared" si="1"/>
        <v>0</v>
      </c>
      <c r="K9" s="28" t="s">
        <v>1</v>
      </c>
      <c r="L9" s="25">
        <f>3600/L8</f>
        <v>1585.9030837004404</v>
      </c>
      <c r="M9" s="29">
        <f>3600/M8</f>
        <v>2462.5150487030755</v>
      </c>
      <c r="O9" s="4" t="s">
        <v>23</v>
      </c>
      <c r="P9" s="128">
        <f t="shared" si="2"/>
        <v>0</v>
      </c>
      <c r="R9" s="28" t="s">
        <v>1</v>
      </c>
      <c r="S9" s="25">
        <f>3600/S8</f>
        <v>1636.3636363636365</v>
      </c>
      <c r="T9" s="29">
        <f>3600/T8</f>
        <v>1936.6954888688913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3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ht="15.75" thickBot="1" x14ac:dyDescent="0.3">
      <c r="A13" s="113">
        <v>8</v>
      </c>
      <c r="B13" s="110" t="s">
        <v>5</v>
      </c>
      <c r="C13" s="112">
        <f>VLOOKUP(B13,Log!$B$2:$C$8,2,)</f>
        <v>0.38</v>
      </c>
      <c r="D13" s="112">
        <v>7.2</v>
      </c>
      <c r="E13" s="114">
        <v>0</v>
      </c>
      <c r="F13" s="114">
        <v>0</v>
      </c>
      <c r="H13" s="63">
        <v>1</v>
      </c>
      <c r="I13" s="60" t="s">
        <v>4</v>
      </c>
      <c r="J13" s="5">
        <f>VLOOKUP(I13,Log!$B$2:$C$8,2,)</f>
        <v>1</v>
      </c>
      <c r="K13" s="4">
        <v>2.44</v>
      </c>
      <c r="L13" s="32">
        <v>0</v>
      </c>
      <c r="M13" s="32">
        <v>0</v>
      </c>
      <c r="N13" s="13"/>
      <c r="O13" s="61">
        <v>11</v>
      </c>
      <c r="P13" s="4" t="s">
        <v>7</v>
      </c>
      <c r="Q13" s="5">
        <f>VLOOKUP(P13,Log!$B$2:$C$8,2,)</f>
        <v>0.33</v>
      </c>
      <c r="R13" s="4">
        <v>0.12</v>
      </c>
      <c r="S13" s="32">
        <v>0</v>
      </c>
      <c r="T13" s="105">
        <v>0</v>
      </c>
    </row>
    <row r="14" spans="1:20" ht="15.75" thickBot="1" x14ac:dyDescent="0.3">
      <c r="A14" s="115">
        <v>4</v>
      </c>
      <c r="B14" s="110" t="s">
        <v>4</v>
      </c>
      <c r="C14" s="112">
        <f>VLOOKUP(B14,Log!$B$2:$C$8,2,)</f>
        <v>1</v>
      </c>
      <c r="D14" s="112">
        <v>8.6</v>
      </c>
      <c r="E14" s="114">
        <f>IF(OR(AND(B14="Motorbike",D14-D13&lt;Log!$C$13),AND(B14&lt;&gt;"Motorbike",D14-D13&lt;Log!$C$12)),0,D14-D13)</f>
        <v>1.3999999999999995</v>
      </c>
      <c r="F14" s="135">
        <f>IF(E15&lt;&gt;0,C14*E14,IF(E16=0,(C14+C15+C16)*E14,(C14+C15)*E14))</f>
        <v>1.3999999999999995</v>
      </c>
      <c r="H14" s="71">
        <v>27</v>
      </c>
      <c r="I14" s="60" t="s">
        <v>6</v>
      </c>
      <c r="J14" s="5">
        <f>VLOOKUP(I14,Log!$B$2:$C$8,2,)</f>
        <v>0.45</v>
      </c>
      <c r="K14" s="4">
        <v>5.4</v>
      </c>
      <c r="L14" s="32">
        <f>IF(OR(AND(I14="Motorbike",K14-K13&lt;Log!$C$13),AND(I14&lt;&gt;"Motorbike",K14-K13&lt;Log!$C$12)),0,K14-K13)</f>
        <v>2.9600000000000004</v>
      </c>
      <c r="M14" s="32">
        <f>IF(L15&lt;&gt;0,J14*L14,IF(L16=0,(J14+J15+J16)*L14,(J14+J15)*L14))</f>
        <v>1.3320000000000003</v>
      </c>
      <c r="N14" s="13"/>
      <c r="O14" s="63">
        <v>22</v>
      </c>
      <c r="P14" s="54" t="s">
        <v>7</v>
      </c>
      <c r="Q14" s="5">
        <f>VLOOKUP(P14,Log!$B$2:$C$8,2,)</f>
        <v>0.33</v>
      </c>
      <c r="R14" s="4">
        <v>4.24</v>
      </c>
      <c r="S14" s="132">
        <f>IF(OR(AND(P14="Motorbike",R14-R13&lt;Log!$C$13),AND(P14&lt;&gt;"Motorbike",R14-R13&lt;Log!$C$12)),0,R14-R13)</f>
        <v>4.12</v>
      </c>
      <c r="T14" s="144">
        <f>IF(S15&lt;&gt;0,Q14*S14,IF(S16=0,(Q14+Q15+Q16)*S14,(Q14+Q15)*S14))</f>
        <v>5.0675999999999997</v>
      </c>
    </row>
    <row r="15" spans="1:20" x14ac:dyDescent="0.25">
      <c r="A15" s="143">
        <v>52</v>
      </c>
      <c r="B15" s="110" t="s">
        <v>6</v>
      </c>
      <c r="C15" s="112">
        <f>VLOOKUP(B15,Log!$B$2:$C$8,2,)</f>
        <v>0.45</v>
      </c>
      <c r="D15" s="112">
        <v>12.6</v>
      </c>
      <c r="E15" s="138">
        <f>IF(OR(AND(B15="Motorbike",D15-D14&lt;Log!$C$13),AND(B15&lt;&gt;"Motorbike",D15-D14&lt;Log!$C$12)),0,D15-D14)</f>
        <v>4</v>
      </c>
      <c r="F15" s="139">
        <f t="shared" ref="F15:F37" si="3">IF(E16&lt;&gt;0,C15*E15,IF(E17=0,(C15+C16+C17)*E15,(C15+C16)*E15))</f>
        <v>1.8</v>
      </c>
      <c r="H15" s="71">
        <v>2</v>
      </c>
      <c r="I15" s="60" t="s">
        <v>4</v>
      </c>
      <c r="J15" s="5">
        <f>VLOOKUP(I15,Log!$B$2:$C$8,2,)</f>
        <v>1</v>
      </c>
      <c r="K15" s="4">
        <v>6.84</v>
      </c>
      <c r="L15" s="32">
        <f>IF(OR(AND(I15="Motorbike",K15-K14&lt;Log!$C$13),AND(I15&lt;&gt;"Motorbike",K15-K14&lt;Log!$C$12)),0,K15-K14)</f>
        <v>1.4399999999999995</v>
      </c>
      <c r="M15" s="32">
        <f t="shared" ref="M15:M27" si="4">IF(L16&lt;&gt;0,J15*L15,IF(L17=0,(J15+J16+J17)*L15,(J15+J16)*L15))</f>
        <v>1.4399999999999995</v>
      </c>
      <c r="N15" s="13"/>
      <c r="O15" s="71">
        <v>7</v>
      </c>
      <c r="P15" s="54" t="s">
        <v>6</v>
      </c>
      <c r="Q15" s="5">
        <f>VLOOKUP(P15,Log!$B$2:$C$8,2,)</f>
        <v>0.45</v>
      </c>
      <c r="R15" s="4">
        <v>4.5999999999999996</v>
      </c>
      <c r="S15" s="132">
        <f>IF(OR(AND(P15="Motorbike",R15-R14&lt;Log!$C$13),AND(P15&lt;&gt;"Motorbike",R15-R14&lt;Log!$C$12)),0,R15-R14)</f>
        <v>0</v>
      </c>
      <c r="T15" s="133">
        <f t="shared" ref="T15:T32" si="5">IF(S16&lt;&gt;0,Q15*S15,IF(S17=0,(Q15+Q16+Q17)*S15,(Q15+Q16)*S15))</f>
        <v>0</v>
      </c>
    </row>
    <row r="16" spans="1:20" x14ac:dyDescent="0.25">
      <c r="A16" s="58">
        <v>72</v>
      </c>
      <c r="B16" s="54" t="s">
        <v>4</v>
      </c>
      <c r="C16" s="5">
        <f>VLOOKUP(B16,Log!$B$2:$C$8,2,)</f>
        <v>1</v>
      </c>
      <c r="D16" s="5">
        <v>13.6</v>
      </c>
      <c r="E16" s="132">
        <f>IF(OR(AND(B16="Motorbike",D16-D15&lt;Log!$C$13),AND(B16&lt;&gt;"Motorbike",D16-D15&lt;Log!$C$12)),0,IF(E15&lt;&gt;0,D16-D15,IF(E14=0,D16-D13,D16-D14)))</f>
        <v>1</v>
      </c>
      <c r="F16" s="133">
        <f t="shared" si="3"/>
        <v>1</v>
      </c>
      <c r="H16" s="71">
        <v>57</v>
      </c>
      <c r="I16" s="60" t="s">
        <v>4</v>
      </c>
      <c r="J16" s="5">
        <f>VLOOKUP(I16,Log!$B$2:$C$8,2,)</f>
        <v>1</v>
      </c>
      <c r="K16" s="4">
        <v>9.0399999999999991</v>
      </c>
      <c r="L16" s="32">
        <f>IF(OR(AND(I16="Motorbike",K16-K15&lt;Log!$C$13),AND(I16&lt;&gt;"Motorbike",K16-K15&lt;Log!$C$12)),0,IF(L15&lt;&gt;0,K16-K15,IF(L14=0,K16-K13,K16-K14)))</f>
        <v>2.1999999999999993</v>
      </c>
      <c r="M16" s="32">
        <f t="shared" si="4"/>
        <v>4.3999999999999986</v>
      </c>
      <c r="N16" s="13"/>
      <c r="O16" s="58">
        <v>27</v>
      </c>
      <c r="P16" s="54" t="s">
        <v>6</v>
      </c>
      <c r="Q16" s="5">
        <f>VLOOKUP(P16,Log!$B$2:$C$8,2,)</f>
        <v>0.45</v>
      </c>
      <c r="R16" s="4">
        <v>5.4</v>
      </c>
      <c r="S16" s="132">
        <f>IF(OR(AND(P16="Motorbike",R16-R15&lt;Log!$C$13),AND(P16&lt;&gt;"Motorbike",R16-R15&lt;Log!$C$12)),0,IF(S15&lt;&gt;0,R16-R15,IF(S14=0,R16-R13,R16-R14)))</f>
        <v>0</v>
      </c>
      <c r="T16" s="133">
        <f t="shared" si="5"/>
        <v>0</v>
      </c>
    </row>
    <row r="17" spans="1:23" x14ac:dyDescent="0.25">
      <c r="A17" s="58">
        <v>80</v>
      </c>
      <c r="B17" s="54" t="s">
        <v>5</v>
      </c>
      <c r="C17" s="5">
        <f>VLOOKUP(B17,Log!$B$2:$C$8,2,)</f>
        <v>0.38</v>
      </c>
      <c r="D17" s="5">
        <v>14.64</v>
      </c>
      <c r="E17" s="132">
        <f>IF(OR(AND(B17="Motorbike",D17-D16&lt;Log!$C$13),AND(B17&lt;&gt;"Motorbike",D17-D16&lt;Log!$C$12)),0,IF(E16&lt;&gt;0,D17-D16,IF(E15=0,D17-D14,D17-D15)))</f>
        <v>1.0400000000000009</v>
      </c>
      <c r="F17" s="133">
        <f t="shared" si="3"/>
        <v>0.39520000000000033</v>
      </c>
      <c r="H17" s="71">
        <v>29</v>
      </c>
      <c r="I17" s="54" t="s">
        <v>4</v>
      </c>
      <c r="J17" s="5">
        <f>VLOOKUP(I17,Log!$B$2:$C$8,2,)</f>
        <v>1</v>
      </c>
      <c r="K17" s="4">
        <v>9.44</v>
      </c>
      <c r="L17" s="32">
        <f>IF(OR(AND(I17="Motorbike",K17-K16&lt;Log!$C$13),AND(I17&lt;&gt;"Motorbike",K17-K16&lt;Log!$C$12)),0,IF(L16&lt;&gt;0,K17-K16,IF(L15=0,K17-K14,K17-K15)))</f>
        <v>0</v>
      </c>
      <c r="M17" s="32">
        <f t="shared" si="4"/>
        <v>0</v>
      </c>
      <c r="N17" s="13"/>
      <c r="O17" s="58">
        <v>44</v>
      </c>
      <c r="P17" s="54" t="s">
        <v>6</v>
      </c>
      <c r="Q17" s="5">
        <f>VLOOKUP(P17,Log!$B$2:$C$8,2,)</f>
        <v>0.45</v>
      </c>
      <c r="R17" s="4">
        <v>7.04</v>
      </c>
      <c r="S17" s="132">
        <f>IF(OR(AND(P17="Motorbike",R17-R16&lt;Log!$C$13),AND(P17&lt;&gt;"Motorbike",R17-R16&lt;Log!$C$12)),0,IF(S16&lt;&gt;0,R17-R16,IF(S15=0,R17-R14,R17-R15)))</f>
        <v>2.8</v>
      </c>
      <c r="T17" s="133">
        <f t="shared" si="5"/>
        <v>1.26</v>
      </c>
    </row>
    <row r="18" spans="1:23" x14ac:dyDescent="0.25">
      <c r="A18" s="58">
        <v>69</v>
      </c>
      <c r="B18" s="54" t="s">
        <v>4</v>
      </c>
      <c r="C18" s="5">
        <f>VLOOKUP(B18,Log!$B$2:$C$8,2,)</f>
        <v>1</v>
      </c>
      <c r="D18" s="5">
        <v>16.239999999999998</v>
      </c>
      <c r="E18" s="132">
        <f>IF(OR(AND(B18="Motorbike",D18-D17&lt;Log!$C$13),AND(B18&lt;&gt;"Motorbike",D18-D17&lt;Log!$C$12)),0,IF(E17&lt;&gt;0,D18-D17,IF(E16=0,D18-D15,D18-D16)))</f>
        <v>1.5999999999999979</v>
      </c>
      <c r="F18" s="133">
        <f t="shared" si="3"/>
        <v>3.1999999999999957</v>
      </c>
      <c r="H18" s="71">
        <v>58</v>
      </c>
      <c r="I18" s="54" t="s">
        <v>4</v>
      </c>
      <c r="J18" s="5">
        <f>VLOOKUP(I18,Log!$B$2:$C$8,2,)</f>
        <v>1</v>
      </c>
      <c r="K18" s="4">
        <v>11.52</v>
      </c>
      <c r="L18" s="32">
        <f>IF(OR(AND(I18="Motorbike",K18-K17&lt;Log!$C$13),AND(I18&lt;&gt;"Motorbike",K18-K17&lt;Log!$C$12)),0,IF(L17&lt;&gt;0,K18-K17,IF(L16=0,K18-K15,K18-K16)))</f>
        <v>2.4800000000000004</v>
      </c>
      <c r="M18" s="32">
        <f t="shared" si="4"/>
        <v>4.9600000000000009</v>
      </c>
      <c r="N18" s="13"/>
      <c r="O18" s="58">
        <v>17</v>
      </c>
      <c r="P18" s="54" t="s">
        <v>4</v>
      </c>
      <c r="Q18" s="5">
        <f>VLOOKUP(P18,Log!$B$2:$C$8,2,)</f>
        <v>1</v>
      </c>
      <c r="R18" s="4">
        <v>9</v>
      </c>
      <c r="S18" s="132">
        <f>IF(OR(AND(P18="Motorbike",R18-R17&lt;Log!$C$13),AND(P18&lt;&gt;"Motorbike",R18-R17&lt;Log!$C$12)),0,IF(S17&lt;&gt;0,R18-R17,IF(S16=0,R18-R15,R18-R16)))</f>
        <v>1.96</v>
      </c>
      <c r="T18" s="133">
        <f t="shared" si="5"/>
        <v>1.96</v>
      </c>
    </row>
    <row r="19" spans="1:23" ht="15.75" thickBot="1" x14ac:dyDescent="0.3">
      <c r="A19" s="58">
        <v>74</v>
      </c>
      <c r="B19" s="54" t="s">
        <v>4</v>
      </c>
      <c r="C19" s="5">
        <f>VLOOKUP(B19,Log!$B$2:$C$8,2,)</f>
        <v>1</v>
      </c>
      <c r="D19" s="5">
        <v>16.52</v>
      </c>
      <c r="E19" s="132">
        <f>IF(OR(AND(B19="Motorbike",D19-D18&lt;Log!$C$13),AND(B19&lt;&gt;"Motorbike",D19-D18&lt;Log!$C$12)),0,IF(E18&lt;&gt;0,D19-D18,IF(E17=0,D19-D16,D19-D17)))</f>
        <v>0</v>
      </c>
      <c r="F19" s="133">
        <f t="shared" si="3"/>
        <v>0</v>
      </c>
      <c r="H19" s="64">
        <v>61</v>
      </c>
      <c r="I19" s="54" t="s">
        <v>4</v>
      </c>
      <c r="J19" s="5">
        <f>VLOOKUP(I19,Log!$B$2:$C$8,2,)</f>
        <v>1</v>
      </c>
      <c r="K19" s="4">
        <v>12.2</v>
      </c>
      <c r="L19" s="32">
        <f>IF(OR(AND(I19="Motorbike",K19-K18&lt;Log!$C$13),AND(I19&lt;&gt;"Motorbike",K19-K18&lt;Log!$C$12)),0,IF(L18&lt;&gt;0,K19-K18,IF(L17=0,K19-K16,K19-K17)))</f>
        <v>0</v>
      </c>
      <c r="M19" s="32">
        <f t="shared" si="4"/>
        <v>0</v>
      </c>
      <c r="N19" s="13"/>
      <c r="O19" s="58">
        <v>50</v>
      </c>
      <c r="P19" s="54" t="s">
        <v>4</v>
      </c>
      <c r="Q19" s="5">
        <f>VLOOKUP(P19,Log!$B$2:$C$8,2,)</f>
        <v>1</v>
      </c>
      <c r="R19" s="4">
        <v>11.2</v>
      </c>
      <c r="S19" s="132">
        <f>IF(OR(AND(P19="Motorbike",R19-R18&lt;Log!$C$13),AND(P19&lt;&gt;"Motorbike",R19-R18&lt;Log!$C$12)),0,IF(S18&lt;&gt;0,R19-R18,IF(S17=0,R19-R16,R19-R17)))</f>
        <v>2.1999999999999993</v>
      </c>
      <c r="T19" s="133">
        <f t="shared" si="5"/>
        <v>2.1999999999999993</v>
      </c>
    </row>
    <row r="20" spans="1:23" x14ac:dyDescent="0.25">
      <c r="A20" s="58">
        <v>91</v>
      </c>
      <c r="B20" s="54" t="s">
        <v>4</v>
      </c>
      <c r="C20" s="5">
        <f>VLOOKUP(B20,Log!$B$2:$C$8,2,)</f>
        <v>1</v>
      </c>
      <c r="D20" s="5">
        <v>18.920000000000002</v>
      </c>
      <c r="E20" s="132">
        <f>IF(OR(AND(B20="Motorbike",D20-D19&lt;Log!$C$13),AND(B20&lt;&gt;"Motorbike",D20-D19&lt;Log!$C$12)),0,IF(E19&lt;&gt;0,D20-D19,IF(E18=0,D20-D17,D20-D18)))</f>
        <v>2.6800000000000033</v>
      </c>
      <c r="F20" s="133">
        <f t="shared" si="3"/>
        <v>2.6800000000000033</v>
      </c>
      <c r="H20" s="92">
        <v>78</v>
      </c>
      <c r="I20" s="54" t="s">
        <v>4</v>
      </c>
      <c r="J20" s="5">
        <f>VLOOKUP(I20,Log!$B$2:$C$8,2,)</f>
        <v>1</v>
      </c>
      <c r="K20" s="4">
        <v>17.399999999999999</v>
      </c>
      <c r="L20" s="32">
        <f>IF(OR(AND(I20="Motorbike",K20-K19&lt;Log!$C$13),AND(I20&lt;&gt;"Motorbike",K20-K19&lt;Log!$C$12)),0,IF(L19&lt;&gt;0,K20-K19,IF(L18=0,K20-K17,K20-K18)))</f>
        <v>5.879999999999999</v>
      </c>
      <c r="M20" s="32">
        <f t="shared" si="4"/>
        <v>5.879999999999999</v>
      </c>
      <c r="N20" s="13"/>
      <c r="O20" s="58">
        <v>68</v>
      </c>
      <c r="P20" s="146" t="s">
        <v>18</v>
      </c>
      <c r="Q20" s="5">
        <f>VLOOKUP(P20,Log!$B$2:$C$8,2,)</f>
        <v>1.02</v>
      </c>
      <c r="R20" s="4">
        <v>14.6</v>
      </c>
      <c r="S20" s="132">
        <f>IF(OR(AND(P20="Motorbike",R20-R19&lt;Log!$C$13),AND(P20&lt;&gt;"Motorbike",R20-R19&lt;Log!$C$12)),0,IF(S19&lt;&gt;0,R20-R19,IF(S18=0,R20-R17,R20-R18)))</f>
        <v>3.4000000000000004</v>
      </c>
      <c r="T20" s="133">
        <f t="shared" si="5"/>
        <v>3.4680000000000004</v>
      </c>
    </row>
    <row r="21" spans="1:23" x14ac:dyDescent="0.25">
      <c r="A21" s="58">
        <v>98</v>
      </c>
      <c r="B21" s="54" t="s">
        <v>6</v>
      </c>
      <c r="C21" s="5">
        <f>VLOOKUP(B21,Log!$B$2:$C$8,2,)</f>
        <v>0.45</v>
      </c>
      <c r="D21" s="5">
        <v>20.440000000000001</v>
      </c>
      <c r="E21" s="132">
        <f>IF(OR(AND(B21="Motorbike",D21-D20&lt;Log!$C$13),AND(B21&lt;&gt;"Motorbike",D21-D20&lt;Log!$C$12)),0,IF(E20&lt;&gt;0,D21-D20,IF(E19=0,D21-D18,D21-D19)))</f>
        <v>1.5199999999999996</v>
      </c>
      <c r="F21" s="133">
        <f t="shared" si="3"/>
        <v>0.68399999999999983</v>
      </c>
      <c r="H21" s="71">
        <v>101</v>
      </c>
      <c r="I21" s="54" t="s">
        <v>5</v>
      </c>
      <c r="J21" s="5">
        <f>VLOOKUP(I21,Log!$B$2:$C$8,2,)</f>
        <v>0.38</v>
      </c>
      <c r="K21" s="4">
        <v>19.440000000000001</v>
      </c>
      <c r="L21" s="32">
        <f>IF(OR(AND(I21="Motorbike",K21-K20&lt;Log!$C$13),AND(I21&lt;&gt;"Motorbike",K21-K20&lt;Log!$C$12)),0,IF(L20&lt;&gt;0,K21-K20,IF(L19=0,K21-K18,K21-K19)))</f>
        <v>2.0400000000000027</v>
      </c>
      <c r="M21" s="32">
        <f t="shared" si="4"/>
        <v>0.775200000000001</v>
      </c>
      <c r="N21" s="13"/>
      <c r="O21" s="58">
        <v>76</v>
      </c>
      <c r="P21" s="54" t="s">
        <v>4</v>
      </c>
      <c r="Q21" s="5">
        <f>VLOOKUP(P21,Log!$B$2:$C$8,2,)</f>
        <v>1</v>
      </c>
      <c r="R21" s="4">
        <v>16.52</v>
      </c>
      <c r="S21" s="132">
        <f>IF(OR(AND(P21="Motorbike",R21-R20&lt;Log!$C$13),AND(P21&lt;&gt;"Motorbike",R21-R20&lt;Log!$C$12)),0,IF(S20&lt;&gt;0,R21-R20,IF(S19=0,R21-R18,R21-R19)))</f>
        <v>1.92</v>
      </c>
      <c r="T21" s="133">
        <f t="shared" si="5"/>
        <v>3.84</v>
      </c>
    </row>
    <row r="22" spans="1:23" x14ac:dyDescent="0.25">
      <c r="A22" s="58">
        <v>102</v>
      </c>
      <c r="B22" s="54" t="s">
        <v>4</v>
      </c>
      <c r="C22" s="5">
        <f>VLOOKUP(B22,Log!$B$2:$C$8,2,)</f>
        <v>1</v>
      </c>
      <c r="D22" s="5">
        <v>22</v>
      </c>
      <c r="E22" s="132">
        <f>IF(OR(AND(B22="Motorbike",D22-D21&lt;Log!$C$13),AND(B22&lt;&gt;"Motorbike",D22-D21&lt;Log!$C$12)),0,IF(E21&lt;&gt;0,D22-D21,IF(E20=0,D22-D19,D22-D20)))</f>
        <v>1.5599999999999987</v>
      </c>
      <c r="F22" s="133">
        <f t="shared" si="3"/>
        <v>2.2619999999999982</v>
      </c>
      <c r="H22" s="71">
        <v>118</v>
      </c>
      <c r="I22" s="54" t="s">
        <v>5</v>
      </c>
      <c r="J22" s="5">
        <f>VLOOKUP(I22,Log!$B$2:$C$8,2,)</f>
        <v>0.38</v>
      </c>
      <c r="K22" s="4">
        <v>20.32</v>
      </c>
      <c r="L22" s="32">
        <f>IF(OR(AND(I22="Motorbike",K22-K21&lt;Log!$C$13),AND(I22&lt;&gt;"Motorbike",K22-K21&lt;Log!$C$12)),0,IF(L21&lt;&gt;0,K22-K21,IF(L20=0,K22-K19,K22-K20)))</f>
        <v>0.87999999999999901</v>
      </c>
      <c r="M22" s="32">
        <f t="shared" si="4"/>
        <v>0.33439999999999964</v>
      </c>
      <c r="N22" s="13"/>
      <c r="O22" s="58">
        <v>134</v>
      </c>
      <c r="P22" s="54" t="s">
        <v>4</v>
      </c>
      <c r="Q22" s="5">
        <f>VLOOKUP(P22,Log!$B$2:$C$8,2,)</f>
        <v>1</v>
      </c>
      <c r="R22" s="4">
        <v>17</v>
      </c>
      <c r="S22" s="132">
        <f>IF(OR(AND(P22="Motorbike",R22-R21&lt;Log!$C$13),AND(P22&lt;&gt;"Motorbike",R22-R21&lt;Log!$C$12)),0,IF(S21&lt;&gt;0,R22-R21,IF(S20=0,R22-R19,R22-R20)))</f>
        <v>0</v>
      </c>
      <c r="T22" s="133">
        <f t="shared" si="5"/>
        <v>0</v>
      </c>
    </row>
    <row r="23" spans="1:23" x14ac:dyDescent="0.25">
      <c r="A23" s="58">
        <v>127</v>
      </c>
      <c r="B23" s="54" t="s">
        <v>6</v>
      </c>
      <c r="C23" s="5">
        <f>VLOOKUP(B23,Log!$B$2:$C$8,2,)</f>
        <v>0.45</v>
      </c>
      <c r="D23" s="5">
        <v>22.84</v>
      </c>
      <c r="E23" s="132">
        <f>IF(OR(AND(B23="Motorbike",D23-D22&lt;Log!$C$13),AND(B23&lt;&gt;"Motorbike",D23-D22&lt;Log!$C$12)),0,IF(E22&lt;&gt;0,D23-D22,IF(E21=0,D23-D20,D23-D21)))</f>
        <v>0</v>
      </c>
      <c r="F23" s="133">
        <f t="shared" si="3"/>
        <v>0</v>
      </c>
      <c r="H23" s="71">
        <v>124</v>
      </c>
      <c r="I23" s="54" t="s">
        <v>4</v>
      </c>
      <c r="J23" s="5">
        <f>VLOOKUP(I23,Log!$B$2:$C$8,2,)</f>
        <v>1</v>
      </c>
      <c r="K23" s="4">
        <v>22.2</v>
      </c>
      <c r="L23" s="32">
        <f>IF(OR(AND(I23="Motorbike",K23-K22&lt;Log!$C$13),AND(I23&lt;&gt;"Motorbike",K23-K22&lt;Log!$C$12)),0,IF(L22&lt;&gt;0,K23-K22,IF(L21=0,K23-K20,K23-K21)))</f>
        <v>1.879999999999999</v>
      </c>
      <c r="M23" s="32">
        <f t="shared" si="4"/>
        <v>1.879999999999999</v>
      </c>
      <c r="N23" s="13"/>
      <c r="O23" s="58">
        <v>148</v>
      </c>
      <c r="P23" s="60" t="s">
        <v>5</v>
      </c>
      <c r="Q23" s="5">
        <f>VLOOKUP(P23,Log!$B$2:$C$8,2,)</f>
        <v>0.38</v>
      </c>
      <c r="R23" s="4">
        <v>19.04</v>
      </c>
      <c r="S23" s="132">
        <f>IF(OR(AND(P23="Motorbike",R23-R22&lt;Log!$C$13),AND(P23&lt;&gt;"Motorbike",R23-R22&lt;Log!$C$12)),0,IF(S22&lt;&gt;0,R23-R22,IF(S21=0,R23-R20,R23-R21)))</f>
        <v>2.5199999999999996</v>
      </c>
      <c r="T23" s="133">
        <f t="shared" si="5"/>
        <v>0.9575999999999999</v>
      </c>
    </row>
    <row r="24" spans="1:23" x14ac:dyDescent="0.25">
      <c r="A24" s="58">
        <v>156</v>
      </c>
      <c r="B24" s="54" t="s">
        <v>4</v>
      </c>
      <c r="C24" s="5">
        <f>VLOOKUP(B24,Log!$B$2:$C$8,2,)</f>
        <v>1</v>
      </c>
      <c r="D24" s="5">
        <v>24.12</v>
      </c>
      <c r="E24" s="132">
        <f>IF(OR(AND(B24="Motorbike",D24-D23&lt;Log!$C$13),AND(B24&lt;&gt;"Motorbike",D24-D23&lt;Log!$C$12)),0,IF(E23&lt;&gt;0,D24-D23,IF(E22=0,D24-D21,D24-D22)))</f>
        <v>2.120000000000001</v>
      </c>
      <c r="F24" s="133">
        <f t="shared" si="3"/>
        <v>2.120000000000001</v>
      </c>
      <c r="H24" s="71">
        <v>156</v>
      </c>
      <c r="I24" s="54" t="s">
        <v>4</v>
      </c>
      <c r="J24" s="5">
        <f>VLOOKUP(I24,Log!$B$2:$C$8,2,)</f>
        <v>1</v>
      </c>
      <c r="K24" s="4">
        <v>24.32</v>
      </c>
      <c r="L24" s="32">
        <f>IF(OR(AND(I24="Motorbike",K24-K23&lt;Log!$C$13),AND(I24&lt;&gt;"Motorbike",K24-K23&lt;Log!$C$12)),0,IF(L23&lt;&gt;0,K24-K23,IF(L22=0,K24-K21,K24-K22)))</f>
        <v>2.120000000000001</v>
      </c>
      <c r="M24" s="32">
        <f t="shared" si="4"/>
        <v>2.120000000000001</v>
      </c>
      <c r="N24" s="13"/>
      <c r="O24" s="58">
        <v>88</v>
      </c>
      <c r="P24" s="54" t="s">
        <v>4</v>
      </c>
      <c r="Q24" s="5">
        <f>VLOOKUP(P24,Log!$B$2:$C$8,2,)</f>
        <v>1</v>
      </c>
      <c r="R24" s="4">
        <v>20.399999999999999</v>
      </c>
      <c r="S24" s="132">
        <f>IF(OR(AND(P24="Motorbike",R24-R23&lt;Log!$C$13),AND(P24&lt;&gt;"Motorbike",R24-R23&lt;Log!$C$12)),0,IF(S23&lt;&gt;0,R24-R23,IF(S22=0,R24-R21,R24-R22)))</f>
        <v>1.3599999999999994</v>
      </c>
      <c r="T24" s="133">
        <f t="shared" si="5"/>
        <v>1.3599999999999994</v>
      </c>
    </row>
    <row r="25" spans="1:23" ht="15.75" thickBot="1" x14ac:dyDescent="0.3">
      <c r="A25" s="58">
        <v>176</v>
      </c>
      <c r="B25" s="54" t="s">
        <v>4</v>
      </c>
      <c r="C25" s="5">
        <f>VLOOKUP(B25,Log!$B$2:$C$8,2,)</f>
        <v>1</v>
      </c>
      <c r="D25" s="5">
        <v>25.6</v>
      </c>
      <c r="E25" s="132">
        <f>IF(OR(AND(B25="Motorbike",D25-D24&lt;Log!$C$13),AND(B25&lt;&gt;"Motorbike",D25-D24&lt;Log!$C$12)),0,IF(E24&lt;&gt;0,D25-D24,IF(E23=0,D25-D22,D25-D23)))</f>
        <v>1.4800000000000004</v>
      </c>
      <c r="F25" s="133">
        <f t="shared" si="3"/>
        <v>1.4800000000000004</v>
      </c>
      <c r="H25" s="64">
        <v>167</v>
      </c>
      <c r="I25" s="54" t="s">
        <v>4</v>
      </c>
      <c r="J25" s="5">
        <f>VLOOKUP(I25,Log!$B$2:$C$8,2,)</f>
        <v>1</v>
      </c>
      <c r="K25" s="4">
        <v>26.52</v>
      </c>
      <c r="L25" s="32">
        <f>IF(OR(AND(I25="Motorbike",K25-K24&lt;Log!$C$13),AND(I25&lt;&gt;"Motorbike",K25-K24&lt;Log!$C$12)),0,IF(L24&lt;&gt;0,K25-K24,IF(L23=0,K25-K22,K25-K23)))</f>
        <v>2.1999999999999993</v>
      </c>
      <c r="M25" s="32">
        <f t="shared" si="4"/>
        <v>2.1999999999999993</v>
      </c>
      <c r="N25" s="13"/>
      <c r="O25" s="58">
        <v>145</v>
      </c>
      <c r="P25" s="54" t="s">
        <v>4</v>
      </c>
      <c r="Q25" s="5">
        <f>VLOOKUP(P25,Log!$B$2:$C$8,2,)</f>
        <v>1</v>
      </c>
      <c r="R25" s="4">
        <v>22</v>
      </c>
      <c r="S25" s="132">
        <f>IF(OR(AND(P25="Motorbike",R25-R24&lt;Log!$C$13),AND(P25&lt;&gt;"Motorbike",R25-R24&lt;Log!$C$12)),0,IF(S24&lt;&gt;0,R25-R24,IF(S23=0,R25-R22,R25-R23)))</f>
        <v>1.6000000000000014</v>
      </c>
      <c r="T25" s="133">
        <f t="shared" si="5"/>
        <v>1.6000000000000014</v>
      </c>
    </row>
    <row r="26" spans="1:23" ht="15.75" thickBot="1" x14ac:dyDescent="0.3">
      <c r="A26" s="59">
        <v>168</v>
      </c>
      <c r="B26" s="54" t="s">
        <v>4</v>
      </c>
      <c r="C26" s="5">
        <f>VLOOKUP(B26,Log!$B$2:$C$8,2,)</f>
        <v>1</v>
      </c>
      <c r="D26" s="5">
        <v>27.24</v>
      </c>
      <c r="E26" s="132">
        <f>IF(OR(AND(B26="Motorbike",D26-D25&lt;Log!$C$13),AND(B26&lt;&gt;"Motorbike",D26-D25&lt;Log!$C$12)),0,IF(E25&lt;&gt;0,D26-D25,IF(E24=0,D26-D23,D26-D24)))</f>
        <v>1.639999999999997</v>
      </c>
      <c r="F26" s="133">
        <f t="shared" si="3"/>
        <v>1.639999999999997</v>
      </c>
      <c r="H26" s="62">
        <v>192</v>
      </c>
      <c r="I26" s="4" t="s">
        <v>5</v>
      </c>
      <c r="J26" s="5">
        <f>VLOOKUP(I26,Log!$B$2:$C$8,2,)</f>
        <v>0.38</v>
      </c>
      <c r="K26" s="4">
        <v>31.64</v>
      </c>
      <c r="L26" s="32">
        <f>IF(OR(AND(I26="Motorbike",K26-K25&lt;Log!$C$13),AND(I26&lt;&gt;"Motorbike",K26-K25&lt;Log!$C$12)),0,IF(L25&lt;&gt;0,K26-K25,IF(L24=0,K26-K23,K26-K24)))</f>
        <v>5.120000000000001</v>
      </c>
      <c r="M26" s="32">
        <f t="shared" si="4"/>
        <v>1.9456000000000004</v>
      </c>
      <c r="N26" s="13"/>
      <c r="O26" s="58">
        <v>164</v>
      </c>
      <c r="P26" s="54" t="s">
        <v>5</v>
      </c>
      <c r="Q26" s="5">
        <f>VLOOKUP(P26,Log!$B$2:$C$8,2,)</f>
        <v>0.38</v>
      </c>
      <c r="R26" s="4">
        <v>22.92</v>
      </c>
      <c r="S26" s="132">
        <f>IF(OR(AND(P26="Motorbike",R26-R25&lt;Log!$C$13),AND(P26&lt;&gt;"Motorbike",R26-R25&lt;Log!$C$12)),0,IF(S25&lt;&gt;0,R26-R25,IF(S24=0,R26-R23,R26-R24)))</f>
        <v>0.92000000000000171</v>
      </c>
      <c r="T26" s="133">
        <f t="shared" si="5"/>
        <v>0.34960000000000063</v>
      </c>
    </row>
    <row r="27" spans="1:23" x14ac:dyDescent="0.25">
      <c r="A27" s="57">
        <v>149</v>
      </c>
      <c r="B27" s="54" t="s">
        <v>4</v>
      </c>
      <c r="C27" s="5">
        <f>VLOOKUP(B27,Log!$B$2:$C$8,2,)</f>
        <v>1</v>
      </c>
      <c r="D27" s="5">
        <v>29.2</v>
      </c>
      <c r="E27" s="132">
        <f>IF(OR(AND(B27="Motorbike",D27-D26&lt;Log!$C$13),AND(B27&lt;&gt;"Motorbike",D27-D26&lt;Log!$C$12)),0,IF(E26&lt;&gt;0,D27-D26,IF(E25=0,D27-D24,D27-D25)))</f>
        <v>1.9600000000000009</v>
      </c>
      <c r="F27" s="133">
        <f t="shared" si="3"/>
        <v>1.9600000000000009</v>
      </c>
      <c r="H27" s="14">
        <v>219</v>
      </c>
      <c r="I27" s="4" t="s">
        <v>4</v>
      </c>
      <c r="J27" s="5">
        <f>VLOOKUP(I27,Log!$B$2:$C$8,2,)</f>
        <v>1</v>
      </c>
      <c r="K27" s="4">
        <v>36.24</v>
      </c>
      <c r="L27" s="32">
        <f>IF(OR(AND(I27="Motorbike",K27-K26&lt;Log!$C$13),AND(I27&lt;&gt;"Motorbike",K27-K26&lt;Log!$C$12)),0,IF(L26&lt;&gt;0,K27-K26,IF(L25=0,K27-K24,K27-K25)))</f>
        <v>4.6000000000000014</v>
      </c>
      <c r="M27" s="32">
        <f t="shared" si="4"/>
        <v>4.6000000000000014</v>
      </c>
      <c r="N27" s="13"/>
      <c r="O27" s="58">
        <v>147</v>
      </c>
      <c r="P27" s="54" t="s">
        <v>6</v>
      </c>
      <c r="Q27" s="5">
        <f>VLOOKUP(P27,Log!$B$2:$C$8,2,)</f>
        <v>0.45</v>
      </c>
      <c r="R27" s="4">
        <v>24.4</v>
      </c>
      <c r="S27" s="132">
        <f>IF(OR(AND(P27="Motorbike",R27-R26&lt;Log!$C$13),AND(P27&lt;&gt;"Motorbike",R27-R26&lt;Log!$C$12)),0,IF(S26&lt;&gt;0,R27-R26,IF(S25=0,R27-R24,R27-R25)))</f>
        <v>1.4799999999999969</v>
      </c>
      <c r="T27" s="133">
        <f t="shared" si="5"/>
        <v>1.3319999999999972</v>
      </c>
    </row>
    <row r="28" spans="1:23" x14ac:dyDescent="0.25">
      <c r="A28" s="58">
        <v>188</v>
      </c>
      <c r="B28" s="54" t="s">
        <v>4</v>
      </c>
      <c r="C28" s="5">
        <f>VLOOKUP(B28,Log!$B$2:$C$8,2,)</f>
        <v>1</v>
      </c>
      <c r="D28" s="5">
        <v>30.52</v>
      </c>
      <c r="E28" s="132">
        <f>IF(OR(AND(B28="Motorbike",D28-D27&lt;Log!$C$13),AND(B28&lt;&gt;"Motorbike",D28-D27&lt;Log!$C$12)),0,IF(E27&lt;&gt;0,D28-D27,IF(E26=0,D28-D25,D28-D26)))</f>
        <v>1.3200000000000003</v>
      </c>
      <c r="F28" s="133">
        <f t="shared" si="3"/>
        <v>2.4156000000000004</v>
      </c>
      <c r="H28" s="52"/>
      <c r="I28" s="52"/>
      <c r="J28" s="52"/>
      <c r="K28" s="52"/>
      <c r="L28" s="52"/>
      <c r="M28" s="52"/>
      <c r="N28" s="13"/>
      <c r="O28" s="58">
        <v>158</v>
      </c>
      <c r="P28" s="54" t="s">
        <v>6</v>
      </c>
      <c r="Q28" s="5">
        <f>VLOOKUP(P28,Log!$B$2:$C$8,2,)</f>
        <v>0.45</v>
      </c>
      <c r="R28" s="4">
        <v>25.04</v>
      </c>
      <c r="S28" s="132">
        <f>IF(OR(AND(P28="Motorbike",R28-R27&lt;Log!$C$13),AND(P28&lt;&gt;"Motorbike",R28-R27&lt;Log!$C$12)),0,IF(S27&lt;&gt;0,R28-R27,IF(S26=0,R28-R25,R28-R26)))</f>
        <v>0</v>
      </c>
      <c r="T28" s="133">
        <f t="shared" si="5"/>
        <v>0</v>
      </c>
    </row>
    <row r="29" spans="1:23" ht="15.75" thickBot="1" x14ac:dyDescent="0.3">
      <c r="A29" s="58">
        <v>189</v>
      </c>
      <c r="B29" s="54" t="s">
        <v>5</v>
      </c>
      <c r="C29" s="5">
        <f>VLOOKUP(B29,Log!$B$2:$C$8,2,)</f>
        <v>0.38</v>
      </c>
      <c r="D29" s="5">
        <v>30.72</v>
      </c>
      <c r="E29" s="132">
        <f>IF(OR(AND(B29="Motorbike",D29-D28&lt;Log!$C$13),AND(B29&lt;&gt;"Motorbike",D29-D28&lt;Log!$C$12)),0,IF(E28&lt;&gt;0,D29-D28,IF(E27=0,D29-D26,D29-D27)))</f>
        <v>0</v>
      </c>
      <c r="F29" s="133">
        <f t="shared" si="3"/>
        <v>0</v>
      </c>
      <c r="H29" s="52"/>
      <c r="I29" s="52"/>
      <c r="J29" s="52"/>
      <c r="K29" s="52"/>
      <c r="L29" s="52"/>
      <c r="M29" s="52"/>
      <c r="N29" s="13"/>
      <c r="O29" s="59">
        <v>167</v>
      </c>
      <c r="P29" s="54" t="s">
        <v>4</v>
      </c>
      <c r="Q29" s="5">
        <f>VLOOKUP(P29,Log!$B$2:$C$8,2,)</f>
        <v>1</v>
      </c>
      <c r="R29" s="4">
        <v>26.52</v>
      </c>
      <c r="S29" s="132">
        <f>IF(OR(AND(P29="Motorbike",R29-R28&lt;Log!$C$13),AND(P29&lt;&gt;"Motorbike",R29-R28&lt;Log!$C$12)),0,IF(S28&lt;&gt;0,R29-R28,IF(S27=0,R29-R26,R29-R27)))</f>
        <v>2.120000000000001</v>
      </c>
      <c r="T29" s="134">
        <f t="shared" si="5"/>
        <v>2.120000000000001</v>
      </c>
      <c r="W29" s="11"/>
    </row>
    <row r="30" spans="1:23" ht="15.75" thickBot="1" x14ac:dyDescent="0.3">
      <c r="A30" s="58">
        <v>187</v>
      </c>
      <c r="B30" s="54" t="s">
        <v>6</v>
      </c>
      <c r="C30" s="5">
        <f>VLOOKUP(B30,Log!$B$2:$C$8,2,)</f>
        <v>0.45</v>
      </c>
      <c r="D30" s="5">
        <v>31</v>
      </c>
      <c r="E30" s="132">
        <f>IF(OR(AND(B30="Motorbike",D30-D29&lt;Log!$C$13),AND(B30&lt;&gt;"Motorbike",D30-D29&lt;Log!$C$12)),0,IF(E29&lt;&gt;0,D30-D29,IF(E28=0,D30-D27,D30-D28)))</f>
        <v>0</v>
      </c>
      <c r="F30" s="134">
        <f t="shared" si="3"/>
        <v>0</v>
      </c>
      <c r="H30" s="52"/>
      <c r="I30" s="52"/>
      <c r="J30" s="52"/>
      <c r="K30" s="52"/>
      <c r="L30" s="52"/>
      <c r="M30" s="52"/>
      <c r="N30" s="13"/>
      <c r="O30" s="56">
        <v>183</v>
      </c>
      <c r="P30" s="4" t="s">
        <v>23</v>
      </c>
      <c r="Q30" s="5">
        <f>VLOOKUP(P30,Log!$B$2:$C$8,2,)</f>
        <v>1.84</v>
      </c>
      <c r="R30" s="4">
        <v>31.84</v>
      </c>
      <c r="S30" s="32">
        <f>IF(OR(AND(P30="Motorbike",R30-R29&lt;Log!$C$13),AND(P30&lt;&gt;"Motorbike",R30-R29&lt;Log!$C$12)),0,IF(S29&lt;&gt;0,R30-R29,IF(S28=0,R30-R27,R30-R28)))</f>
        <v>5.32</v>
      </c>
      <c r="T30" s="103">
        <f t="shared" si="5"/>
        <v>9.7888000000000002</v>
      </c>
      <c r="W30" s="11"/>
    </row>
    <row r="31" spans="1:23" x14ac:dyDescent="0.25">
      <c r="A31" s="58">
        <v>173</v>
      </c>
      <c r="B31" s="54" t="s">
        <v>18</v>
      </c>
      <c r="C31" s="5">
        <f>VLOOKUP(B31,Log!$B$2:$C$8,2,)</f>
        <v>1.02</v>
      </c>
      <c r="D31" s="5">
        <v>32.520000000000003</v>
      </c>
      <c r="E31" s="32">
        <f>IF(OR(AND(B31="Motorbike",D31-D30&lt;Log!$C$13),AND(B31&lt;&gt;"Motorbike",D31-D30&lt;Log!$C$12)),0,IF(E30&lt;&gt;0,D31-D30,IF(E29=0,D31-D28,D31-D29)))</f>
        <v>2.0000000000000036</v>
      </c>
      <c r="F31" s="103">
        <f t="shared" si="3"/>
        <v>4.0400000000000071</v>
      </c>
      <c r="H31" s="52"/>
      <c r="I31" s="52"/>
      <c r="J31" s="52"/>
      <c r="K31" s="52"/>
      <c r="L31" s="52"/>
      <c r="M31" s="52"/>
      <c r="N31" s="13"/>
      <c r="O31" s="4">
        <v>203</v>
      </c>
      <c r="P31" s="4" t="s">
        <v>5</v>
      </c>
      <c r="Q31" s="5">
        <f>VLOOKUP(P31,Log!$B$2:$C$8,2,)</f>
        <v>0.38</v>
      </c>
      <c r="R31" s="4">
        <v>33.64</v>
      </c>
      <c r="S31" s="32">
        <f>IF(OR(AND(P31="Motorbike",R31-R30&lt;Log!$C$13),AND(P31&lt;&gt;"Motorbike",R31-R30&lt;Log!$C$12)),0,IF(S30&lt;&gt;0,R31-R30,IF(S29=0,R31-R28,R31-R29)))</f>
        <v>1.8000000000000007</v>
      </c>
      <c r="T31" s="32">
        <f t="shared" si="5"/>
        <v>0.68400000000000027</v>
      </c>
      <c r="W31" s="11"/>
    </row>
    <row r="32" spans="1:23" x14ac:dyDescent="0.25">
      <c r="A32" s="58">
        <v>190</v>
      </c>
      <c r="B32" s="54" t="s">
        <v>4</v>
      </c>
      <c r="C32" s="5">
        <f>VLOOKUP(B32,Log!$B$2:$C$8,2,)</f>
        <v>1</v>
      </c>
      <c r="D32" s="5">
        <v>32.520000000000003</v>
      </c>
      <c r="E32" s="32">
        <f>IF(OR(AND(B32="Motorbike",D32-D31&lt;Log!$C$13),AND(B32&lt;&gt;"Motorbike",D32-D31&lt;Log!$C$12)),0,IF(E31&lt;&gt;0,D32-D31,IF(E30=0,D32-D29,D32-D30)))</f>
        <v>0</v>
      </c>
      <c r="F32" s="32">
        <f t="shared" si="3"/>
        <v>0</v>
      </c>
      <c r="H32" s="52"/>
      <c r="I32" s="52"/>
      <c r="J32" s="52"/>
      <c r="K32" s="52"/>
      <c r="L32" s="52"/>
      <c r="M32" s="52"/>
      <c r="N32" s="13"/>
      <c r="O32" s="4">
        <v>219</v>
      </c>
      <c r="P32" s="4" t="s">
        <v>4</v>
      </c>
      <c r="Q32" s="5">
        <f>VLOOKUP(P32,Log!$B$2:$C$8,2,)</f>
        <v>1</v>
      </c>
      <c r="R32" s="4">
        <v>36.64</v>
      </c>
      <c r="S32" s="32">
        <f>IF(OR(AND(P32="Motorbike",R32-R31&lt;Log!$C$13),AND(P32&lt;&gt;"Motorbike",R32-R31&lt;Log!$C$12)),0,IF(S31&lt;&gt;0,R32-R31,IF(S30=0,R32-R29,R32-R30)))</f>
        <v>3</v>
      </c>
      <c r="T32" s="32">
        <f t="shared" si="5"/>
        <v>3</v>
      </c>
      <c r="W32" s="11"/>
    </row>
    <row r="33" spans="1:23" x14ac:dyDescent="0.25">
      <c r="A33" s="58">
        <v>212</v>
      </c>
      <c r="B33" s="54" t="s">
        <v>6</v>
      </c>
      <c r="C33" s="5">
        <f>VLOOKUP(B33,Log!$B$2:$C$8,2,)</f>
        <v>0.45</v>
      </c>
      <c r="D33" s="5">
        <v>34.24</v>
      </c>
      <c r="E33" s="32">
        <f>IF(OR(AND(B33="Motorbike",D33-D32&lt;Log!$C$13),AND(B33&lt;&gt;"Motorbike",D33-D32&lt;Log!$C$12)),0,IF(E32&lt;&gt;0,D33-D32,IF(E31=0,D33-D30,D33-D31)))</f>
        <v>1.7199999999999989</v>
      </c>
      <c r="F33" s="32">
        <f t="shared" si="3"/>
        <v>0.77399999999999947</v>
      </c>
      <c r="H33" s="50"/>
      <c r="I33" s="51"/>
      <c r="J33" s="13"/>
      <c r="L33" s="52"/>
      <c r="M33" s="52"/>
      <c r="N33" s="13"/>
      <c r="W33" s="11"/>
    </row>
    <row r="34" spans="1:23" x14ac:dyDescent="0.25">
      <c r="A34" s="58">
        <v>216</v>
      </c>
      <c r="B34" s="54" t="s">
        <v>4</v>
      </c>
      <c r="C34" s="5">
        <f>VLOOKUP(B34,Log!$B$2:$C$8,2,)</f>
        <v>1</v>
      </c>
      <c r="D34" s="5">
        <v>35.799999999999997</v>
      </c>
      <c r="E34" s="32">
        <f>IF(OR(AND(B34="Motorbike",D34-D33&lt;Log!$C$13),AND(B34&lt;&gt;"Motorbike",D34-D33&lt;Log!$C$12)),0,IF(E33&lt;&gt;0,D34-D33,IF(E32=0,D34-D31,D34-D32)))</f>
        <v>1.5599999999999952</v>
      </c>
      <c r="F34" s="32">
        <f t="shared" si="3"/>
        <v>2.2619999999999929</v>
      </c>
      <c r="H34" s="50"/>
      <c r="I34" s="51"/>
      <c r="J34" s="13"/>
      <c r="L34" s="52"/>
      <c r="M34" s="52"/>
      <c r="N34" s="13"/>
      <c r="W34" s="11"/>
    </row>
    <row r="35" spans="1:23" x14ac:dyDescent="0.25">
      <c r="A35" s="58">
        <v>215</v>
      </c>
      <c r="B35" s="54" t="s">
        <v>6</v>
      </c>
      <c r="C35" s="5">
        <f>VLOOKUP(B35,Log!$B$2:$C$8,2,)</f>
        <v>0.45</v>
      </c>
      <c r="D35" s="5">
        <v>35.799999999999997</v>
      </c>
      <c r="E35" s="32">
        <f>IF(OR(AND(B35="Motorbike",D35-D34&lt;Log!$C$13),AND(B35&lt;&gt;"Motorbike",D35-D34&lt;Log!$C$12)),0,IF(E34&lt;&gt;0,D35-D34,IF(E33=0,D35-D32,D35-D33)))</f>
        <v>0</v>
      </c>
      <c r="F35" s="32">
        <f t="shared" si="3"/>
        <v>0</v>
      </c>
      <c r="H35" s="53"/>
      <c r="J35" s="13"/>
      <c r="L35" s="52"/>
      <c r="M35" s="52"/>
      <c r="W35" s="11"/>
    </row>
    <row r="36" spans="1:23" x14ac:dyDescent="0.25">
      <c r="A36" s="58">
        <v>196</v>
      </c>
      <c r="B36" s="54" t="s">
        <v>6</v>
      </c>
      <c r="C36" s="5">
        <f>VLOOKUP(B36,Log!$B$2:$C$8,2,)</f>
        <v>0.45</v>
      </c>
      <c r="D36" s="5">
        <v>37.24</v>
      </c>
      <c r="E36" s="32">
        <f>IF(OR(AND(B36="Motorbike",D36-D35&lt;Log!$C$13),AND(B36&lt;&gt;"Motorbike",D36-D35&lt;Log!$C$12)),0,IF(E35&lt;&gt;0,D36-D35,IF(E34=0,D36-D33,D36-D34)))</f>
        <v>1.4400000000000048</v>
      </c>
      <c r="F36" s="32">
        <f t="shared" si="3"/>
        <v>2.0880000000000067</v>
      </c>
      <c r="H36" s="53"/>
      <c r="J36" s="13"/>
      <c r="L36" s="52"/>
      <c r="M36" s="52"/>
      <c r="W36" s="11"/>
    </row>
    <row r="37" spans="1:23" ht="15.75" thickBot="1" x14ac:dyDescent="0.3">
      <c r="A37" s="59">
        <v>218</v>
      </c>
      <c r="B37" s="54" t="s">
        <v>4</v>
      </c>
      <c r="C37" s="5">
        <f>VLOOKUP(B37,Log!$B$2:$C$8,2,)</f>
        <v>1</v>
      </c>
      <c r="D37" s="5">
        <v>37.92</v>
      </c>
      <c r="E37" s="32">
        <f>IF(OR(AND(B37="Motorbike",D37-D36&lt;Log!$C$13),AND(B37&lt;&gt;"Motorbike",D37-D36&lt;Log!$C$12)),0,IF(E36&lt;&gt;0,D37-D36,IF(E35=0,D37-D34,D37-D35)))</f>
        <v>0</v>
      </c>
      <c r="F37" s="32">
        <f t="shared" si="3"/>
        <v>0</v>
      </c>
      <c r="H37" s="53"/>
      <c r="J37" s="13"/>
      <c r="L37" s="52"/>
      <c r="M37" s="52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AVERAGE(S30:S34)</f>
        <v>3.3733333333333335</v>
      </c>
      <c r="T52" s="9">
        <f>AVERAGE(T30:T34)</f>
        <v>4.4909333333333334</v>
      </c>
    </row>
    <row r="53" spans="19:20" x14ac:dyDescent="0.25">
      <c r="S53" s="10">
        <f>3600/S52</f>
        <v>1067.193675889328</v>
      </c>
      <c r="T53" s="10">
        <f>3600/T52</f>
        <v>801.61510599133067</v>
      </c>
    </row>
  </sheetData>
  <mergeCells count="4">
    <mergeCell ref="C1:D1"/>
    <mergeCell ref="A11:F11"/>
    <mergeCell ref="H11:M11"/>
    <mergeCell ref="O11:T11"/>
  </mergeCells>
  <conditionalFormatting sqref="E15:E37">
    <cfRule type="cellIs" dxfId="125" priority="19" operator="greaterThanOrEqual">
      <formula>4</formula>
    </cfRule>
  </conditionalFormatting>
  <conditionalFormatting sqref="E13:F13">
    <cfRule type="cellIs" dxfId="124" priority="42" operator="greaterThan">
      <formula>4</formula>
    </cfRule>
  </conditionalFormatting>
  <conditionalFormatting sqref="F14:F37">
    <cfRule type="cellIs" dxfId="123" priority="21" operator="greaterThan">
      <formula>4</formula>
    </cfRule>
  </conditionalFormatting>
  <conditionalFormatting sqref="H28:M32 L33:M37">
    <cfRule type="cellIs" dxfId="122" priority="47" operator="greaterThan">
      <formula>4</formula>
    </cfRule>
  </conditionalFormatting>
  <conditionalFormatting sqref="L15:L27">
    <cfRule type="cellIs" dxfId="121" priority="2" operator="greaterThanOrEqual">
      <formula>4</formula>
    </cfRule>
  </conditionalFormatting>
  <conditionalFormatting sqref="L13:M13">
    <cfRule type="cellIs" dxfId="120" priority="38" operator="greaterThan">
      <formula>4</formula>
    </cfRule>
  </conditionalFormatting>
  <conditionalFormatting sqref="M14:M27">
    <cfRule type="cellIs" dxfId="119" priority="14" operator="greaterThan">
      <formula>4</formula>
    </cfRule>
  </conditionalFormatting>
  <conditionalFormatting sqref="S15:S32">
    <cfRule type="cellIs" dxfId="118" priority="5" operator="greaterThanOrEqual">
      <formula>4</formula>
    </cfRule>
  </conditionalFormatting>
  <conditionalFormatting sqref="S13:T13">
    <cfRule type="cellIs" dxfId="117" priority="35" operator="greaterThan">
      <formula>4</formula>
    </cfRule>
  </conditionalFormatting>
  <conditionalFormatting sqref="T14:T32">
    <cfRule type="cellIs" dxfId="116" priority="7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0AEC056-DE6C-4836-B634-F517FEAA75C3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20" id="{0CBA696A-29FA-4DF9-AE9F-CED9A0F7F5CD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E14:E37 L14:L27 S14:S32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BBB70-881D-4F23-AFD2-FC6A909E180A}">
  <sheetPr codeName="Sheet7"/>
  <dimension ref="A1:W53"/>
  <sheetViews>
    <sheetView topLeftCell="A27" workbookViewId="0">
      <selection activeCell="I13" sqref="I13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40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18.52</v>
      </c>
      <c r="M2" s="17">
        <f>SUM(M20:M28)</f>
        <v>17.585599999999999</v>
      </c>
      <c r="R2" s="4" t="s">
        <v>12</v>
      </c>
      <c r="S2" s="8">
        <f>SUM(S25:S28)</f>
        <v>5</v>
      </c>
      <c r="T2" s="8">
        <f>SUM(T25:T28)</f>
        <v>3.5144000000000002</v>
      </c>
    </row>
    <row r="3" spans="1:20" x14ac:dyDescent="0.25">
      <c r="K3" s="4" t="s">
        <v>13</v>
      </c>
      <c r="L3" s="18">
        <f>AVERAGE(L24:L26)</f>
        <v>1.3999999999999997</v>
      </c>
      <c r="M3" s="65">
        <f>AVERAGE(M21:M26)</f>
        <v>2.0576000000000003</v>
      </c>
      <c r="R3" s="4" t="s">
        <v>13</v>
      </c>
      <c r="S3" s="9">
        <f>AVERAGE(S25:S28)</f>
        <v>1.25</v>
      </c>
      <c r="T3" s="9">
        <f>AVERAGE(T23:T32)</f>
        <v>1.0845500000000001</v>
      </c>
    </row>
    <row r="4" spans="1:20" x14ac:dyDescent="0.25">
      <c r="A4" s="4" t="s">
        <v>4</v>
      </c>
      <c r="B4" s="128">
        <f>100*COUNTIF($B$13:$B$38,A4)/COUNTA($B$13:$B$38)</f>
        <v>50</v>
      </c>
      <c r="H4" s="4" t="s">
        <v>4</v>
      </c>
      <c r="I4" s="128">
        <f>100*COUNTIF($I$13:$I$33,H4)/COUNTA($I$13:$I$33)</f>
        <v>66.666666666666671</v>
      </c>
      <c r="K4" s="4" t="s">
        <v>1</v>
      </c>
      <c r="L4" s="21">
        <f>3600/L3</f>
        <v>2571.428571428572</v>
      </c>
      <c r="M4" s="66">
        <f>3600/M3</f>
        <v>1749.6111975116637</v>
      </c>
      <c r="O4" s="4" t="s">
        <v>4</v>
      </c>
      <c r="P4" s="128">
        <f>100*COUNTIF($P$14:$P$28,O4)/COUNTA($P$14:$P$28)</f>
        <v>53.333333333333336</v>
      </c>
      <c r="R4" s="4" t="s">
        <v>1</v>
      </c>
      <c r="S4" s="10">
        <f>3600/S3</f>
        <v>2880</v>
      </c>
      <c r="T4" s="10">
        <f>3600/T3</f>
        <v>3319.3490387718407</v>
      </c>
    </row>
    <row r="5" spans="1:20" x14ac:dyDescent="0.25">
      <c r="A5" s="4" t="s">
        <v>6</v>
      </c>
      <c r="B5" s="128">
        <f t="shared" ref="B5:B9" si="0">100*COUNTIF($B$13:$B$38,A5)/COUNTA($B$13:$B$38)</f>
        <v>25</v>
      </c>
      <c r="H5" s="4" t="s">
        <v>6</v>
      </c>
      <c r="I5" s="128">
        <f t="shared" ref="I5:I9" si="1">100*COUNTIF($I$13:$I$33,H5)/COUNTA($I$13:$I$33)</f>
        <v>14.285714285714286</v>
      </c>
      <c r="O5" s="4" t="s">
        <v>6</v>
      </c>
      <c r="P5" s="128">
        <f t="shared" ref="P5:P9" si="2">100*COUNTIF($P$14:$P$28,O5)/COUNTA($P$14:$P$28)</f>
        <v>26.666666666666668</v>
      </c>
    </row>
    <row r="6" spans="1:20" x14ac:dyDescent="0.25">
      <c r="A6" s="4" t="s">
        <v>5</v>
      </c>
      <c r="B6" s="128">
        <f t="shared" si="0"/>
        <v>25</v>
      </c>
      <c r="E6" s="27" t="s">
        <v>22</v>
      </c>
      <c r="F6" s="27" t="s">
        <v>21</v>
      </c>
      <c r="H6" s="4" t="s">
        <v>5</v>
      </c>
      <c r="I6" s="128">
        <f t="shared" si="1"/>
        <v>19.047619047619047</v>
      </c>
      <c r="L6" s="27" t="s">
        <v>22</v>
      </c>
      <c r="M6" s="27" t="s">
        <v>21</v>
      </c>
      <c r="O6" s="4" t="s">
        <v>5</v>
      </c>
      <c r="P6" s="128">
        <f t="shared" si="2"/>
        <v>13.333333333333334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26.12</v>
      </c>
      <c r="F7" s="23">
        <f>SUM(F14:F30)</f>
        <v>24.962399999999999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36.839999999999996</v>
      </c>
      <c r="M7" s="23">
        <f>SUM(M14:M37)</f>
        <v>34.2804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18.599999999999998</v>
      </c>
      <c r="T7" s="23">
        <f>SUM(T13:T23)</f>
        <v>17.124000000000002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AVERAGEIF(E16:E27,"&lt;&gt;0")</f>
        <v>1.9309090909090907</v>
      </c>
      <c r="F8" s="26">
        <f>AVERAGEIF(F14:F36,"&lt;&gt;0")</f>
        <v>1.9533176470588232</v>
      </c>
      <c r="H8" s="4" t="s">
        <v>7</v>
      </c>
      <c r="I8" s="128">
        <f t="shared" si="1"/>
        <v>0</v>
      </c>
      <c r="K8" s="28" t="s">
        <v>13</v>
      </c>
      <c r="L8" s="26">
        <f>AVERAGEIF(L14:L33,"&lt;&gt;0")</f>
        <v>2.0466666666666664</v>
      </c>
      <c r="M8" s="26">
        <f>AVERAGEIF(M14:M33,"&lt;&gt;0")</f>
        <v>1.9044666666666668</v>
      </c>
      <c r="O8" s="4" t="s">
        <v>7</v>
      </c>
      <c r="P8" s="128">
        <f t="shared" si="2"/>
        <v>6.666666666666667</v>
      </c>
      <c r="R8" s="28" t="s">
        <v>13</v>
      </c>
      <c r="S8" s="26">
        <f>AVERAGEIF(S14:S28,"&lt;&gt;0")</f>
        <v>1.9446153846153844</v>
      </c>
      <c r="T8" s="26">
        <f>AVERAGEIF(T15:T28,"&lt;&gt;0")</f>
        <v>1.7813333333333332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1864.4067796610173</v>
      </c>
      <c r="F9" s="29">
        <f>3600/F8</f>
        <v>1843.0182133564617</v>
      </c>
      <c r="H9" s="4" t="s">
        <v>23</v>
      </c>
      <c r="I9" s="128">
        <f t="shared" si="1"/>
        <v>0</v>
      </c>
      <c r="K9" s="28" t="s">
        <v>1</v>
      </c>
      <c r="L9" s="25">
        <f>3600/L8</f>
        <v>1758.9576547231272</v>
      </c>
      <c r="M9" s="29">
        <f>3600/M8</f>
        <v>1890.2929954142892</v>
      </c>
      <c r="O9" s="4" t="s">
        <v>23</v>
      </c>
      <c r="P9" s="128">
        <f t="shared" si="2"/>
        <v>0</v>
      </c>
      <c r="R9" s="28" t="s">
        <v>1</v>
      </c>
      <c r="S9" s="25">
        <f>3600/S8</f>
        <v>1851.2658227848103</v>
      </c>
      <c r="T9" s="29">
        <f>3600/T8</f>
        <v>2020.9580838323354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ht="15.75" thickBot="1" x14ac:dyDescent="0.3">
      <c r="A13" s="109">
        <v>4</v>
      </c>
      <c r="B13" s="110" t="s">
        <v>4</v>
      </c>
      <c r="C13" s="112">
        <f>VLOOKUP(B13,Log!$B$2:$C$8,2,)</f>
        <v>1</v>
      </c>
      <c r="D13" s="112">
        <v>4.2</v>
      </c>
      <c r="E13" s="114">
        <v>0</v>
      </c>
      <c r="F13" s="135">
        <v>0</v>
      </c>
      <c r="H13" s="109">
        <v>2</v>
      </c>
      <c r="I13" s="110" t="s">
        <v>4</v>
      </c>
      <c r="J13" s="112">
        <f>VLOOKUP(I13,Log!$B$2:$C$8,2,)</f>
        <v>1</v>
      </c>
      <c r="K13" s="113">
        <v>1.88</v>
      </c>
      <c r="L13" s="114">
        <v>0</v>
      </c>
      <c r="M13" s="114">
        <v>0</v>
      </c>
      <c r="N13" s="13"/>
      <c r="O13" s="109">
        <v>6</v>
      </c>
      <c r="P13" s="110" t="s">
        <v>5</v>
      </c>
      <c r="Q13" s="112">
        <f>VLOOKUP(P13,Log!$B$2:$C$8,2,)</f>
        <v>0.38</v>
      </c>
      <c r="R13" s="113">
        <v>3.72</v>
      </c>
      <c r="S13" s="114">
        <v>0</v>
      </c>
      <c r="T13" s="114">
        <v>0</v>
      </c>
    </row>
    <row r="14" spans="1:20" x14ac:dyDescent="0.25">
      <c r="A14" s="58">
        <v>18</v>
      </c>
      <c r="B14" s="54" t="s">
        <v>6</v>
      </c>
      <c r="C14" s="5">
        <f>VLOOKUP(B14,Log!$B$2:$C$8,2,)</f>
        <v>0.45</v>
      </c>
      <c r="D14" s="5">
        <v>6.32</v>
      </c>
      <c r="E14" s="132">
        <f>IF(OR(AND(B14="Motorbike",D14-D13&lt;Log!$C$13),AND(B14&lt;&gt;"Motorbike",D14-D13&lt;Log!$C$12)),0,D14-D13)</f>
        <v>2.12</v>
      </c>
      <c r="F14" s="144">
        <f>IF(E15&lt;&gt;0,C14*E14,IF(E16=0,(C14+C15+C16)*E14,(C14+C15)*E14))</f>
        <v>0.95400000000000007</v>
      </c>
      <c r="H14" s="71">
        <v>5</v>
      </c>
      <c r="I14" s="60" t="s">
        <v>4</v>
      </c>
      <c r="J14" s="5">
        <f>VLOOKUP(I14,Log!$B$2:$C$8,2,)</f>
        <v>1</v>
      </c>
      <c r="K14" s="4">
        <v>3.68</v>
      </c>
      <c r="L14" s="32">
        <f>IF(OR(AND(I14="Motorbike",K14-K13&lt;Log!$C$13),AND(I14&lt;&gt;"Motorbike",K14-K13&lt;Log!$C$12)),0,K14-K13)</f>
        <v>1.8000000000000003</v>
      </c>
      <c r="M14" s="104">
        <f>IF(L15&lt;&gt;0,J14*L14,IF(L16=0,(J14+J15+J16)*L14,(J14+J15)*L14))</f>
        <v>1.8000000000000003</v>
      </c>
      <c r="N14" s="13"/>
      <c r="O14" s="111">
        <v>49</v>
      </c>
      <c r="P14" s="110" t="s">
        <v>5</v>
      </c>
      <c r="Q14" s="112">
        <f>VLOOKUP(P14,Log!$B$2:$C$8,2,)</f>
        <v>0.38</v>
      </c>
      <c r="R14" s="113">
        <v>6.2</v>
      </c>
      <c r="S14" s="114">
        <f>IF(OR(AND(P14="Motorbike",R14-R13&lt;Log!$C$13),AND(P14&lt;&gt;"Motorbike",R14-R13&lt;Log!$C$12)),0,R14-R13)</f>
        <v>2.48</v>
      </c>
      <c r="T14" s="114">
        <f t="shared" ref="T14:T30" si="3">IF(S15&lt;&gt;0,Q14*S14,IF(S16=0,(Q14+Q15+Q16)*S14,(Q14+Q15)*S14))</f>
        <v>0.94240000000000002</v>
      </c>
    </row>
    <row r="15" spans="1:20" x14ac:dyDescent="0.25">
      <c r="A15" s="83">
        <v>37</v>
      </c>
      <c r="B15" s="54" t="s">
        <v>5</v>
      </c>
      <c r="C15" s="5">
        <f>VLOOKUP(B15,Log!$B$2:$C$8,2,)</f>
        <v>0.38</v>
      </c>
      <c r="D15" s="5">
        <v>7.08</v>
      </c>
      <c r="E15" s="132">
        <f>IF(OR(AND(B15="Motorbike",D15-D14&lt;Log!$C$13),AND(B15&lt;&gt;"Motorbike",D15-D14&lt;Log!$C$12)),0,D15-D14)</f>
        <v>0.75999999999999979</v>
      </c>
      <c r="F15" s="133">
        <f t="shared" ref="F15:F36" si="4">IF(E16&lt;&gt;0,C15*E15,IF(E17=0,(C15+C16+C17)*E15,(C15+C16)*E15))</f>
        <v>0.28879999999999995</v>
      </c>
      <c r="H15" s="72">
        <v>27</v>
      </c>
      <c r="I15" s="60" t="s">
        <v>6</v>
      </c>
      <c r="J15" s="5">
        <f>VLOOKUP(I15,Log!$B$2:$C$8,2,)</f>
        <v>0.45</v>
      </c>
      <c r="K15" s="4">
        <v>7.52</v>
      </c>
      <c r="L15" s="32">
        <f>IF(OR(AND(I15="Motorbike",K15-K14&lt;Log!$C$13),AND(I15&lt;&gt;"Motorbike",K15-K14&lt;Log!$C$12)),0,K15-K14)</f>
        <v>3.8399999999999994</v>
      </c>
      <c r="M15" s="104">
        <f t="shared" ref="M15:M33" si="5">IF(L16&lt;&gt;0,J15*L15,IF(L17=0,(J15+J16+J17)*L15,(J15+J16)*L15))</f>
        <v>5.5679999999999987</v>
      </c>
      <c r="N15" s="13"/>
      <c r="O15" s="71">
        <v>45</v>
      </c>
      <c r="P15" s="54" t="s">
        <v>6</v>
      </c>
      <c r="Q15" s="5">
        <f>VLOOKUP(P15,Log!$B$2:$C$8,2,)</f>
        <v>0.45</v>
      </c>
      <c r="R15" s="4">
        <v>7.12</v>
      </c>
      <c r="S15" s="32">
        <f>R15-R14</f>
        <v>0.91999999999999993</v>
      </c>
      <c r="T15" s="104">
        <f t="shared" si="3"/>
        <v>0.41399999999999998</v>
      </c>
    </row>
    <row r="16" spans="1:20" x14ac:dyDescent="0.25">
      <c r="A16" s="58">
        <v>22</v>
      </c>
      <c r="B16" s="54" t="s">
        <v>4</v>
      </c>
      <c r="C16" s="5">
        <f>VLOOKUP(B16,Log!$B$2:$C$8,2,)</f>
        <v>1</v>
      </c>
      <c r="D16" s="5">
        <v>10.199999999999999</v>
      </c>
      <c r="E16" s="132">
        <f>IF(OR(AND(B16="Motorbike",D16-D15&lt;Log!$C$13),AND(B16&lt;&gt;"Motorbike",D16-D15&lt;Log!$C$12)),0,IF(E15&lt;&gt;0,D16-D15,IF(E14=0,D16-D13,D16-D14)))</f>
        <v>3.1199999999999992</v>
      </c>
      <c r="F16" s="133">
        <f t="shared" si="4"/>
        <v>3.1199999999999992</v>
      </c>
      <c r="H16" s="71">
        <v>13</v>
      </c>
      <c r="I16" s="60" t="s">
        <v>4</v>
      </c>
      <c r="J16" s="5">
        <f>VLOOKUP(I16,Log!$B$2:$C$8,2,)</f>
        <v>1</v>
      </c>
      <c r="K16" s="4">
        <v>8.48</v>
      </c>
      <c r="L16" s="32">
        <f>IF(OR(AND(I16="Motorbike",K16-K15&lt;Log!$C$13),AND(I16&lt;&gt;"Motorbike",K16-K15&lt;Log!$C$12)),0,IF(L15&lt;&gt;0,K16-K15,IF(L14=0,K16-K13,K16-K14)))</f>
        <v>0</v>
      </c>
      <c r="M16" s="104">
        <f t="shared" si="5"/>
        <v>0</v>
      </c>
      <c r="N16" s="13"/>
      <c r="O16" s="58">
        <v>28</v>
      </c>
      <c r="P16" s="54" t="s">
        <v>4</v>
      </c>
      <c r="Q16" s="5">
        <f>VLOOKUP(P16,Log!$B$2:$C$8,2,)</f>
        <v>1</v>
      </c>
      <c r="R16" s="4">
        <v>8.6</v>
      </c>
      <c r="S16" s="32">
        <f>IF(OR(AND(P16="Motorbike",R16-R15&lt;Log!$C$13),AND(P16&lt;&gt;"Motorbike",R16-R15&lt;Log!$C$12)),0,IF(S15&lt;&gt;0,R16-R15,IF(S14=0,R16-R13,R16-R14)))</f>
        <v>1.4799999999999995</v>
      </c>
      <c r="T16" s="104">
        <f t="shared" si="3"/>
        <v>1.4799999999999995</v>
      </c>
    </row>
    <row r="17" spans="1:23" x14ac:dyDescent="0.25">
      <c r="A17" s="93">
        <v>57</v>
      </c>
      <c r="B17" s="54" t="s">
        <v>4</v>
      </c>
      <c r="C17" s="5">
        <f>VLOOKUP(B17,Log!$B$2:$C$8,2,)</f>
        <v>1</v>
      </c>
      <c r="D17" s="5">
        <v>12.8</v>
      </c>
      <c r="E17" s="132">
        <f>IF(OR(AND(B17="Motorbike",D17-D16&lt;Log!$C$13),AND(B17&lt;&gt;"Motorbike",D17-D16&lt;Log!$C$12)),0,IF(E16&lt;&gt;0,D17-D16,IF(E15=0,D17-D14,D17-D15)))</f>
        <v>2.6000000000000014</v>
      </c>
      <c r="F17" s="133">
        <f t="shared" si="4"/>
        <v>2.6000000000000014</v>
      </c>
      <c r="H17" s="71">
        <v>54</v>
      </c>
      <c r="I17" s="54" t="s">
        <v>4</v>
      </c>
      <c r="J17" s="5">
        <f>VLOOKUP(I17,Log!$B$2:$C$8,2,)</f>
        <v>1</v>
      </c>
      <c r="K17" s="4">
        <v>10.119999999999999</v>
      </c>
      <c r="L17" s="32">
        <f>IF(OR(AND(I17="Motorbike",K17-K16&lt;Log!$C$13),AND(I17&lt;&gt;"Motorbike",K17-K16&lt;Log!$C$12)),0,IF(L16&lt;&gt;0,K17-K16,IF(L15=0,K17-K14,K17-K15)))</f>
        <v>2.5999999999999996</v>
      </c>
      <c r="M17" s="104">
        <f t="shared" si="5"/>
        <v>2.5999999999999996</v>
      </c>
      <c r="N17" s="13"/>
      <c r="O17" s="58">
        <v>81</v>
      </c>
      <c r="P17" s="54" t="s">
        <v>4</v>
      </c>
      <c r="Q17" s="5">
        <f>VLOOKUP(P17,Log!$B$2:$C$8,2,)</f>
        <v>1</v>
      </c>
      <c r="R17" s="4">
        <v>12.52</v>
      </c>
      <c r="S17" s="32">
        <f>IF(OR(AND(P17="Motorbike",R17-R16&lt;Log!$C$13),AND(P17&lt;&gt;"Motorbike",R17-R16&lt;Log!$C$12)),0,IF(S16&lt;&gt;0,R17-R16,IF(S15=0,R17-R14,R17-R15)))</f>
        <v>3.92</v>
      </c>
      <c r="T17" s="104">
        <f t="shared" si="3"/>
        <v>5.2136000000000005</v>
      </c>
    </row>
    <row r="18" spans="1:23" x14ac:dyDescent="0.25">
      <c r="A18" s="58">
        <v>64</v>
      </c>
      <c r="B18" s="54" t="s">
        <v>4</v>
      </c>
      <c r="C18" s="5">
        <f>VLOOKUP(B18,Log!$B$2:$C$8,2,)</f>
        <v>1</v>
      </c>
      <c r="D18" s="5">
        <v>14.52</v>
      </c>
      <c r="E18" s="132">
        <f>IF(OR(AND(B18="Motorbike",D18-D17&lt;Log!$C$13),AND(B18&lt;&gt;"Motorbike",D18-D17&lt;Log!$C$12)),0,IF(E17&lt;&gt;0,D18-D17,IF(E16=0,D18-D15,D18-D16)))</f>
        <v>1.7199999999999989</v>
      </c>
      <c r="F18" s="133">
        <f t="shared" si="4"/>
        <v>1.7199999999999989</v>
      </c>
      <c r="H18" s="71">
        <v>60</v>
      </c>
      <c r="I18" s="54" t="s">
        <v>4</v>
      </c>
      <c r="J18" s="5">
        <f>VLOOKUP(I18,Log!$B$2:$C$8,2,)</f>
        <v>1</v>
      </c>
      <c r="K18" s="4">
        <v>12.4</v>
      </c>
      <c r="L18" s="32">
        <f>IF(OR(AND(I18="Motorbike",K18-K17&lt;Log!$C$13),AND(I18&lt;&gt;"Motorbike",K18-K17&lt;Log!$C$12)),0,IF(L17&lt;&gt;0,K18-K17,IF(L16=0,K18-K15,K18-K16)))</f>
        <v>2.2800000000000011</v>
      </c>
      <c r="M18" s="104">
        <f t="shared" si="5"/>
        <v>2.2800000000000011</v>
      </c>
      <c r="N18" s="13"/>
      <c r="O18" s="58">
        <v>84</v>
      </c>
      <c r="P18" s="54" t="s">
        <v>7</v>
      </c>
      <c r="Q18" s="5">
        <f>VLOOKUP(P18,Log!$B$2:$C$8,2,)</f>
        <v>0.33</v>
      </c>
      <c r="R18" s="4">
        <v>12.52</v>
      </c>
      <c r="S18" s="32">
        <f>IF(OR(AND(P18="Motorbike",R18-R17&lt;Log!$C$13),AND(P18&lt;&gt;"Motorbike",R18-R17&lt;Log!$C$12)),0,IF(S17&lt;&gt;0,R18-R17,IF(S16=0,R18-R15,R18-R16)))</f>
        <v>0</v>
      </c>
      <c r="T18" s="104">
        <f t="shared" si="3"/>
        <v>0</v>
      </c>
    </row>
    <row r="19" spans="1:23" x14ac:dyDescent="0.25">
      <c r="A19" s="58">
        <v>88</v>
      </c>
      <c r="B19" s="54" t="s">
        <v>4</v>
      </c>
      <c r="C19" s="5">
        <f>VLOOKUP(B19,Log!$B$2:$C$8,2,)</f>
        <v>1</v>
      </c>
      <c r="D19" s="5">
        <v>16.2</v>
      </c>
      <c r="E19" s="132">
        <f>IF(OR(AND(B19="Motorbike",D19-D18&lt;Log!$C$13),AND(B19&lt;&gt;"Motorbike",D19-D18&lt;Log!$C$12)),0,IF(E18&lt;&gt;0,D19-D18,IF(E17=0,D19-D16,D19-D17)))</f>
        <v>1.6799999999999997</v>
      </c>
      <c r="F19" s="133">
        <f t="shared" si="4"/>
        <v>1.6799999999999997</v>
      </c>
      <c r="H19" s="71">
        <v>77</v>
      </c>
      <c r="I19" s="54" t="s">
        <v>4</v>
      </c>
      <c r="J19" s="5">
        <f>VLOOKUP(I19,Log!$B$2:$C$8,2,)</f>
        <v>1</v>
      </c>
      <c r="K19" s="4">
        <v>14.48</v>
      </c>
      <c r="L19" s="32">
        <f>IF(OR(AND(I19="Motorbike",K19-K18&lt;Log!$C$13),AND(I19&lt;&gt;"Motorbike",K19-K18&lt;Log!$C$12)),0,IF(L18&lt;&gt;0,K19-K18,IF(L17=0,K19-K16,K19-K17)))</f>
        <v>2.08</v>
      </c>
      <c r="M19" s="104">
        <f t="shared" si="5"/>
        <v>2.08</v>
      </c>
      <c r="N19" s="13"/>
      <c r="O19" s="58">
        <v>85</v>
      </c>
      <c r="P19" s="54" t="s">
        <v>4</v>
      </c>
      <c r="Q19" s="5">
        <f>VLOOKUP(P19,Log!$B$2:$C$8,2,)</f>
        <v>1</v>
      </c>
      <c r="R19" s="4">
        <v>15.08</v>
      </c>
      <c r="S19" s="32">
        <f>IF(OR(AND(P19="Motorbike",R19-R18&lt;Log!$C$13),AND(P19&lt;&gt;"Motorbike",R19-R18&lt;Log!$C$12)),0,IF(S18&lt;&gt;0,R19-R18,IF(S17=0,R19-R16,R19-R17)))</f>
        <v>2.5600000000000005</v>
      </c>
      <c r="T19" s="104">
        <f t="shared" si="3"/>
        <v>2.5600000000000005</v>
      </c>
    </row>
    <row r="20" spans="1:23" x14ac:dyDescent="0.25">
      <c r="A20" s="58">
        <v>99</v>
      </c>
      <c r="B20" s="54" t="s">
        <v>4</v>
      </c>
      <c r="C20" s="5">
        <f>VLOOKUP(B20,Log!$B$2:$C$8,2,)</f>
        <v>1</v>
      </c>
      <c r="D20" s="5">
        <v>18.079999999999998</v>
      </c>
      <c r="E20" s="132">
        <f>IF(OR(AND(B20="Motorbike",D20-D19&lt;Log!$C$13),AND(B20&lt;&gt;"Motorbike",D20-D19&lt;Log!$C$12)),0,IF(E19&lt;&gt;0,D20-D19,IF(E18=0,D20-D17,D20-D18)))</f>
        <v>1.879999999999999</v>
      </c>
      <c r="F20" s="133">
        <f t="shared" si="4"/>
        <v>1.879999999999999</v>
      </c>
      <c r="H20" s="71">
        <v>74</v>
      </c>
      <c r="I20" s="54" t="s">
        <v>4</v>
      </c>
      <c r="J20" s="5">
        <f>VLOOKUP(I20,Log!$B$2:$C$8,2,)</f>
        <v>1</v>
      </c>
      <c r="K20" s="4">
        <v>17.52</v>
      </c>
      <c r="L20" s="32">
        <f>IF(OR(AND(I20="Motorbike",K20-K19&lt;Log!$C$13),AND(I20&lt;&gt;"Motorbike",K20-K19&lt;Log!$C$12)),0,IF(L19&lt;&gt;0,K20-K19,IF(L18=0,K20-K17,K20-K18)))</f>
        <v>3.0399999999999991</v>
      </c>
      <c r="M20" s="104">
        <f t="shared" si="5"/>
        <v>3.0399999999999991</v>
      </c>
      <c r="N20" s="13"/>
      <c r="O20" s="58">
        <v>65</v>
      </c>
      <c r="P20" s="54" t="s">
        <v>4</v>
      </c>
      <c r="Q20" s="5">
        <f>VLOOKUP(P20,Log!$B$2:$C$8,2,)</f>
        <v>1</v>
      </c>
      <c r="R20" s="4">
        <v>16.88</v>
      </c>
      <c r="S20" s="32">
        <f>IF(OR(AND(P20="Motorbike",R20-R19&lt;Log!$C$13),AND(P20&lt;&gt;"Motorbike",R20-R19&lt;Log!$C$12)),0,IF(S19&lt;&gt;0,R20-R19,IF(S18=0,R20-R17,R20-R18)))</f>
        <v>1.7999999999999989</v>
      </c>
      <c r="T20" s="104">
        <f t="shared" si="3"/>
        <v>1.7999999999999989</v>
      </c>
    </row>
    <row r="21" spans="1:23" x14ac:dyDescent="0.25">
      <c r="A21" s="58">
        <v>108</v>
      </c>
      <c r="B21" s="54" t="s">
        <v>4</v>
      </c>
      <c r="C21" s="5">
        <f>VLOOKUP(B21,Log!$B$2:$C$8,2,)</f>
        <v>1</v>
      </c>
      <c r="D21" s="5">
        <v>20.399999999999999</v>
      </c>
      <c r="E21" s="132">
        <f>IF(OR(AND(B21="Motorbike",D21-D20&lt;Log!$C$13),AND(B21&lt;&gt;"Motorbike",D21-D20&lt;Log!$C$12)),0,IF(E20&lt;&gt;0,D21-D20,IF(E19=0,D21-D18,D21-D19)))</f>
        <v>2.3200000000000003</v>
      </c>
      <c r="F21" s="133">
        <f t="shared" si="4"/>
        <v>2.3200000000000003</v>
      </c>
      <c r="H21" s="71">
        <v>95</v>
      </c>
      <c r="I21" s="54" t="s">
        <v>4</v>
      </c>
      <c r="J21" s="5">
        <f>VLOOKUP(I21,Log!$B$2:$C$8,2,)</f>
        <v>1</v>
      </c>
      <c r="K21" s="4">
        <v>21.4</v>
      </c>
      <c r="L21" s="32">
        <f>IF(OR(AND(I21="Motorbike",K21-K20&lt;Log!$C$13),AND(I21&lt;&gt;"Motorbike",K21-K20&lt;Log!$C$12)),0,IF(L20&lt;&gt;0,K21-K20,IF(L19=0,K21-K18,K21-K19)))</f>
        <v>3.879999999999999</v>
      </c>
      <c r="M21" s="104">
        <f t="shared" si="5"/>
        <v>3.879999999999999</v>
      </c>
      <c r="N21" s="13"/>
      <c r="O21" s="58">
        <v>104</v>
      </c>
      <c r="P21" s="54" t="s">
        <v>4</v>
      </c>
      <c r="Q21" s="5">
        <f>VLOOKUP(P21,Log!$B$2:$C$8,2,)</f>
        <v>1</v>
      </c>
      <c r="R21" s="4">
        <v>19.8</v>
      </c>
      <c r="S21" s="32">
        <f>IF(OR(AND(P21="Motorbike",R21-R20&lt;Log!$C$13),AND(P21&lt;&gt;"Motorbike",R21-R20&lt;Log!$C$12)),0,IF(S20&lt;&gt;0,R21-R20,IF(S19=0,R21-R18,R21-R19)))</f>
        <v>2.9200000000000017</v>
      </c>
      <c r="T21" s="104">
        <f t="shared" si="3"/>
        <v>2.9200000000000017</v>
      </c>
    </row>
    <row r="22" spans="1:23" x14ac:dyDescent="0.25">
      <c r="A22" s="58">
        <v>117</v>
      </c>
      <c r="B22" s="54" t="s">
        <v>4</v>
      </c>
      <c r="C22" s="5">
        <f>VLOOKUP(B22,Log!$B$2:$C$8,2,)</f>
        <v>1</v>
      </c>
      <c r="D22" s="5">
        <v>22.68</v>
      </c>
      <c r="E22" s="132">
        <f>IF(OR(AND(B22="Motorbike",D22-D21&lt;Log!$C$13),AND(B22&lt;&gt;"Motorbike",D22-D21&lt;Log!$C$12)),0,IF(E21&lt;&gt;0,D22-D21,IF(E20=0,D22-D19,D22-D20)))</f>
        <v>2.2800000000000011</v>
      </c>
      <c r="F22" s="133">
        <f t="shared" si="4"/>
        <v>2.2800000000000011</v>
      </c>
      <c r="H22" s="71">
        <v>114</v>
      </c>
      <c r="I22" s="54" t="s">
        <v>4</v>
      </c>
      <c r="J22" s="5">
        <f>VLOOKUP(I22,Log!$B$2:$C$8,2,)</f>
        <v>1</v>
      </c>
      <c r="K22" s="4">
        <v>23.48</v>
      </c>
      <c r="L22" s="32">
        <f>IF(OR(AND(I22="Motorbike",K22-K21&lt;Log!$C$13),AND(I22&lt;&gt;"Motorbike",K22-K21&lt;Log!$C$12)),0,IF(L21&lt;&gt;0,K22-K21,IF(L20=0,K22-K19,K22-K20)))</f>
        <v>2.0800000000000018</v>
      </c>
      <c r="M22" s="104">
        <f t="shared" si="5"/>
        <v>2.0800000000000018</v>
      </c>
      <c r="N22" s="13"/>
      <c r="O22" s="58">
        <v>93</v>
      </c>
      <c r="P22" s="54" t="s">
        <v>4</v>
      </c>
      <c r="Q22" s="5">
        <f>VLOOKUP(P22,Log!$B$2:$C$8,2,)</f>
        <v>1</v>
      </c>
      <c r="R22" s="4">
        <v>21</v>
      </c>
      <c r="S22" s="32">
        <f>IF(OR(AND(P22="Motorbike",R22-R21&lt;Log!$C$13),AND(P22&lt;&gt;"Motorbike",R22-R21&lt;Log!$C$12)),0,IF(S21&lt;&gt;0,R22-R21,IF(S20=0,R22-R19,R22-R20)))</f>
        <v>1.1999999999999993</v>
      </c>
      <c r="T22" s="104">
        <f t="shared" si="3"/>
        <v>1.1999999999999993</v>
      </c>
    </row>
    <row r="23" spans="1:23" x14ac:dyDescent="0.25">
      <c r="A23" s="58">
        <v>118</v>
      </c>
      <c r="B23" s="54" t="s">
        <v>6</v>
      </c>
      <c r="C23" s="5">
        <f>VLOOKUP(B23,Log!$B$2:$C$8,2,)</f>
        <v>0.45</v>
      </c>
      <c r="D23" s="5">
        <v>23.8</v>
      </c>
      <c r="E23" s="132">
        <f>IF(OR(AND(B23="Motorbike",D23-D22&lt;Log!$C$13),AND(B23&lt;&gt;"Motorbike",D23-D22&lt;Log!$C$12)),0,IF(E22&lt;&gt;0,D23-D22,IF(E21=0,D23-D20,D23-D21)))</f>
        <v>1.120000000000001</v>
      </c>
      <c r="F23" s="133">
        <f t="shared" si="4"/>
        <v>0.50400000000000045</v>
      </c>
      <c r="H23" s="71">
        <v>133</v>
      </c>
      <c r="I23" s="54" t="s">
        <v>5</v>
      </c>
      <c r="J23" s="5">
        <f>VLOOKUP(I23,Log!$B$2:$C$8,2,)</f>
        <v>0.38</v>
      </c>
      <c r="K23" s="4">
        <v>26.6</v>
      </c>
      <c r="L23" s="32">
        <f>IF(OR(AND(I23="Motorbike",K23-K22&lt;Log!$C$13),AND(I23&lt;&gt;"Motorbike",K23-K22&lt;Log!$C$12)),0,IF(L22&lt;&gt;0,K23-K22,IF(L21=0,K23-K20,K23-K21)))</f>
        <v>3.120000000000001</v>
      </c>
      <c r="M23" s="104">
        <f t="shared" si="5"/>
        <v>1.1856000000000004</v>
      </c>
      <c r="N23" s="13"/>
      <c r="O23" s="58">
        <v>119</v>
      </c>
      <c r="P23" s="60" t="s">
        <v>6</v>
      </c>
      <c r="Q23" s="5">
        <f>VLOOKUP(P23,Log!$B$2:$C$8,2,)</f>
        <v>0.45</v>
      </c>
      <c r="R23" s="4">
        <v>22.32</v>
      </c>
      <c r="S23" s="32">
        <f>IF(OR(AND(P23="Motorbike",R23-R22&lt;Log!$C$13),AND(P23&lt;&gt;"Motorbike",R23-R22&lt;Log!$C$12)),0,IF(S22&lt;&gt;0,R23-R22,IF(S21=0,R23-R20,R23-R21)))</f>
        <v>1.3200000000000003</v>
      </c>
      <c r="T23" s="104">
        <f t="shared" si="3"/>
        <v>0.59400000000000019</v>
      </c>
    </row>
    <row r="24" spans="1:23" ht="15.75" thickBot="1" x14ac:dyDescent="0.3">
      <c r="A24" s="59">
        <v>135</v>
      </c>
      <c r="B24" s="69" t="s">
        <v>4</v>
      </c>
      <c r="C24" s="5">
        <f>VLOOKUP(B24,Log!$B$2:$C$8,2,)</f>
        <v>1</v>
      </c>
      <c r="D24" s="5">
        <v>25</v>
      </c>
      <c r="E24" s="132">
        <f>IF(OR(AND(B24="Motorbike",D24-D23&lt;Log!$C$13),AND(B24&lt;&gt;"Motorbike",D24-D23&lt;Log!$C$12)),0,IF(E23&lt;&gt;0,D24-D23,IF(E22=0,D24-D21,D24-D22)))</f>
        <v>1.1999999999999993</v>
      </c>
      <c r="F24" s="133">
        <f t="shared" si="4"/>
        <v>1.1999999999999993</v>
      </c>
      <c r="H24" s="71">
        <v>148</v>
      </c>
      <c r="I24" s="54" t="s">
        <v>4</v>
      </c>
      <c r="J24" s="5">
        <f>VLOOKUP(I24,Log!$B$2:$C$8,2,)</f>
        <v>1</v>
      </c>
      <c r="K24" s="4">
        <v>27.92</v>
      </c>
      <c r="L24" s="32">
        <f>IF(OR(AND(I24="Motorbike",K24-K23&lt;Log!$C$13),AND(I24&lt;&gt;"Motorbike",K24-K23&lt;Log!$C$12)),0,IF(L23&lt;&gt;0,K24-K23,IF(L22=0,K24-K21,K24-K22)))</f>
        <v>1.3200000000000003</v>
      </c>
      <c r="M24" s="104">
        <f t="shared" si="5"/>
        <v>1.3200000000000003</v>
      </c>
      <c r="N24" s="13"/>
      <c r="O24" s="58">
        <v>109</v>
      </c>
      <c r="P24" s="54" t="s">
        <v>4</v>
      </c>
      <c r="Q24" s="5">
        <f>VLOOKUP(P24,Log!$B$2:$C$8,2,)</f>
        <v>1</v>
      </c>
      <c r="R24" s="4">
        <v>24</v>
      </c>
      <c r="S24" s="32">
        <f>IF(OR(AND(P24="Motorbike",R24-R23&lt;Log!$C$13),AND(P24&lt;&gt;"Motorbike",R24-R23&lt;Log!$C$12)),0,IF(S23&lt;&gt;0,R24-R23,IF(S22=0,R24-R21,R24-R22)))</f>
        <v>1.6799999999999997</v>
      </c>
      <c r="T24" s="104">
        <f t="shared" si="3"/>
        <v>1.6799999999999997</v>
      </c>
    </row>
    <row r="25" spans="1:23" x14ac:dyDescent="0.25">
      <c r="A25" s="97">
        <v>141</v>
      </c>
      <c r="B25" s="57" t="s">
        <v>6</v>
      </c>
      <c r="C25" s="68">
        <f>VLOOKUP(B25,Log!$B$2:$C$8,2,)</f>
        <v>0.45</v>
      </c>
      <c r="D25" s="5">
        <v>26.88</v>
      </c>
      <c r="E25" s="132">
        <f>IF(OR(AND(B25="Motorbike",D25-D24&lt;Log!$C$13),AND(B25&lt;&gt;"Motorbike",D25-D24&lt;Log!$C$12)),0,IF(E24&lt;&gt;0,D25-D24,IF(E23=0,D25-D22,D25-D23)))</f>
        <v>1.879999999999999</v>
      </c>
      <c r="F25" s="133">
        <f t="shared" si="4"/>
        <v>1.5603999999999993</v>
      </c>
      <c r="H25" s="71">
        <v>170</v>
      </c>
      <c r="I25" s="54" t="s">
        <v>4</v>
      </c>
      <c r="J25" s="5">
        <f>VLOOKUP(I25,Log!$B$2:$C$8,2,)</f>
        <v>1</v>
      </c>
      <c r="K25" s="4">
        <v>29.8</v>
      </c>
      <c r="L25" s="32">
        <f>IF(OR(AND(I25="Motorbike",K25-K24&lt;Log!$C$13),AND(I25&lt;&gt;"Motorbike",K25-K24&lt;Log!$C$12)),0,IF(L24&lt;&gt;0,K25-K24,IF(L23=0,K25-K22,K25-K23)))</f>
        <v>1.879999999999999</v>
      </c>
      <c r="M25" s="104">
        <f t="shared" si="5"/>
        <v>1.879999999999999</v>
      </c>
      <c r="N25" s="13"/>
      <c r="O25" s="58">
        <v>121</v>
      </c>
      <c r="P25" s="54" t="s">
        <v>4</v>
      </c>
      <c r="Q25" s="5">
        <f>VLOOKUP(P25,Log!$B$2:$C$8,2,)</f>
        <v>1</v>
      </c>
      <c r="R25" s="4">
        <v>25</v>
      </c>
      <c r="S25" s="32">
        <f>IF(OR(AND(P25="Motorbike",R25-R24&lt;Log!$C$13),AND(P25&lt;&gt;"Motorbike",R25-R24&lt;Log!$C$12)),0,IF(S24&lt;&gt;0,R25-R24,IF(S23=0,R25-R22,R25-R23)))</f>
        <v>1</v>
      </c>
      <c r="T25" s="104">
        <f t="shared" si="3"/>
        <v>1</v>
      </c>
    </row>
    <row r="26" spans="1:23" ht="15.75" thickBot="1" x14ac:dyDescent="0.3">
      <c r="A26" s="17">
        <v>164</v>
      </c>
      <c r="B26" s="59" t="s">
        <v>5</v>
      </c>
      <c r="C26" s="68">
        <f>VLOOKUP(B26,Log!$B$2:$C$8,2,)</f>
        <v>0.38</v>
      </c>
      <c r="D26" s="5">
        <v>27.08</v>
      </c>
      <c r="E26" s="132">
        <f>IF(OR(AND(B26="Motorbike",D26-D25&lt;Log!$C$13),AND(B26&lt;&gt;"Motorbike",D26-D25&lt;Log!$C$12)),0,IF(E25&lt;&gt;0,D26-D25,IF(E24=0,D26-D23,D26-D24)))</f>
        <v>0</v>
      </c>
      <c r="F26" s="133">
        <f t="shared" si="4"/>
        <v>0</v>
      </c>
      <c r="H26" s="71">
        <v>151</v>
      </c>
      <c r="I26" s="54" t="s">
        <v>4</v>
      </c>
      <c r="J26" s="5">
        <f>VLOOKUP(I26,Log!$B$2:$C$8,2,)</f>
        <v>1</v>
      </c>
      <c r="K26" s="4">
        <v>30.8</v>
      </c>
      <c r="L26" s="32">
        <f>IF(OR(AND(I26="Motorbike",K26-K25&lt;Log!$C$13),AND(I26&lt;&gt;"Motorbike",K26-K25&lt;Log!$C$12)),0,IF(L25&lt;&gt;0,K26-K25,IF(L24=0,K26-K23,K26-K24)))</f>
        <v>1</v>
      </c>
      <c r="M26" s="104">
        <f t="shared" si="5"/>
        <v>2</v>
      </c>
      <c r="N26" s="13"/>
      <c r="O26" s="58">
        <v>133</v>
      </c>
      <c r="P26" s="54" t="s">
        <v>5</v>
      </c>
      <c r="Q26" s="5">
        <f>VLOOKUP(P26,Log!$B$2:$C$8,2,)</f>
        <v>0.38</v>
      </c>
      <c r="R26" s="4">
        <v>26.88</v>
      </c>
      <c r="S26" s="32">
        <f>IF(OR(AND(P26="Motorbike",R26-R25&lt;Log!$C$13),AND(P26&lt;&gt;"Motorbike",R26-R25&lt;Log!$C$12)),0,IF(S25&lt;&gt;0,R26-R25,IF(S24=0,R26-R23,R26-R24)))</f>
        <v>1.879999999999999</v>
      </c>
      <c r="T26" s="104">
        <f t="shared" si="3"/>
        <v>1.5603999999999993</v>
      </c>
    </row>
    <row r="27" spans="1:23" x14ac:dyDescent="0.25">
      <c r="A27" s="17">
        <v>178</v>
      </c>
      <c r="B27" s="57" t="s">
        <v>5</v>
      </c>
      <c r="C27" s="68">
        <f>VLOOKUP(B27,Log!$B$2:$C$8,2,)</f>
        <v>0.38</v>
      </c>
      <c r="D27" s="5">
        <v>28.32</v>
      </c>
      <c r="E27" s="132">
        <f>IF(OR(AND(B27="Motorbike",D27-D26&lt;Log!$C$13),AND(B27&lt;&gt;"Motorbike",D27-D26&lt;Log!$C$12)),0,IF(E26&lt;&gt;0,D27-D26,IF(E25=0,D27-D24,D27-D25)))</f>
        <v>1.4400000000000013</v>
      </c>
      <c r="F27" s="133">
        <f t="shared" si="4"/>
        <v>1.1952000000000012</v>
      </c>
      <c r="H27" s="71">
        <v>173</v>
      </c>
      <c r="I27" s="54" t="s">
        <v>4</v>
      </c>
      <c r="J27" s="5">
        <f>VLOOKUP(I27,Log!$B$2:$C$8,2,)</f>
        <v>1</v>
      </c>
      <c r="K27" s="4">
        <v>31.68</v>
      </c>
      <c r="L27" s="32">
        <f>IF(OR(AND(I27="Motorbike",K27-K26&lt;Log!$C$13),AND(I27&lt;&gt;"Motorbike",K27-K26&lt;Log!$C$12)),0,IF(L26&lt;&gt;0,K27-K26,IF(L25=0,K27-K24,K27-K25)))</f>
        <v>0</v>
      </c>
      <c r="M27" s="104">
        <f t="shared" si="5"/>
        <v>0</v>
      </c>
      <c r="N27" s="13"/>
      <c r="O27" s="58">
        <v>167</v>
      </c>
      <c r="P27" s="54" t="s">
        <v>6</v>
      </c>
      <c r="Q27" s="5">
        <f>VLOOKUP(P27,Log!$B$2:$C$8,2,)</f>
        <v>0.45</v>
      </c>
      <c r="R27" s="4">
        <v>27.48</v>
      </c>
      <c r="S27" s="32">
        <f>IF(OR(AND(P27="Motorbike",R27-R26&lt;Log!$C$13),AND(P27&lt;&gt;"Motorbike",R27-R26&lt;Log!$C$12)),0,IF(S26&lt;&gt;0,R27-R26,IF(S25=0,R27-R24,R27-R25)))</f>
        <v>0</v>
      </c>
      <c r="T27" s="104">
        <f t="shared" si="3"/>
        <v>0</v>
      </c>
    </row>
    <row r="28" spans="1:23" ht="15.75" thickBot="1" x14ac:dyDescent="0.3">
      <c r="A28" s="17">
        <v>163</v>
      </c>
      <c r="B28" s="59" t="s">
        <v>6</v>
      </c>
      <c r="C28" s="68">
        <f>VLOOKUP(B28,Log!$B$2:$C$8,2,)</f>
        <v>0.45</v>
      </c>
      <c r="D28" s="5">
        <v>28.32</v>
      </c>
      <c r="E28" s="132">
        <f>IF(OR(AND(B28="Motorbike",D28-D27&lt;Log!$C$13),AND(B28&lt;&gt;"Motorbike",D28-D27&lt;Log!$C$12)),0,IF(E27&lt;&gt;0,D28-D27,IF(E26=0,D28-D25,D28-D26)))</f>
        <v>0</v>
      </c>
      <c r="F28" s="133">
        <f t="shared" si="4"/>
        <v>0</v>
      </c>
      <c r="H28" s="71">
        <v>185</v>
      </c>
      <c r="I28" s="54" t="s">
        <v>4</v>
      </c>
      <c r="J28" s="5">
        <f>VLOOKUP(I28,Log!$B$2:$C$8,2,)</f>
        <v>1</v>
      </c>
      <c r="K28" s="4">
        <v>33</v>
      </c>
      <c r="L28" s="32">
        <f>IF(OR(AND(I28="Motorbike",K28-K27&lt;Log!$C$13),AND(I28&lt;&gt;"Motorbike",K28-K27&lt;Log!$C$12)),0,IF(L27&lt;&gt;0,K28-K27,IF(L26=0,K28-K25,K28-K26)))</f>
        <v>2.1999999999999993</v>
      </c>
      <c r="M28" s="104">
        <f t="shared" si="5"/>
        <v>2.1999999999999993</v>
      </c>
      <c r="N28" s="13"/>
      <c r="O28" s="59">
        <v>159</v>
      </c>
      <c r="P28" s="54" t="s">
        <v>6</v>
      </c>
      <c r="Q28" s="5">
        <f>VLOOKUP(P28,Log!$B$2:$C$8,2,)</f>
        <v>0.45</v>
      </c>
      <c r="R28" s="4">
        <v>29</v>
      </c>
      <c r="S28" s="32">
        <f>IF(OR(AND(P28="Motorbike",R28-R27&lt;Log!$C$13),AND(P28&lt;&gt;"Motorbike",R28-R27&lt;Log!$C$12)),0,IF(S27&lt;&gt;0,R28-R27,IF(S26=0,R28-R25,R28-R26)))</f>
        <v>2.120000000000001</v>
      </c>
      <c r="T28" s="104">
        <f t="shared" si="3"/>
        <v>0.95400000000000051</v>
      </c>
    </row>
    <row r="29" spans="1:23" x14ac:dyDescent="0.25">
      <c r="A29" s="17">
        <v>186</v>
      </c>
      <c r="B29" s="57" t="s">
        <v>6</v>
      </c>
      <c r="C29" s="68">
        <f>VLOOKUP(B29,Log!$B$2:$C$8,2,)</f>
        <v>0.45</v>
      </c>
      <c r="D29" s="5">
        <v>30.32</v>
      </c>
      <c r="E29" s="132">
        <f>IF(OR(AND(B29="Motorbike",D29-D28&lt;Log!$C$13),AND(B29&lt;&gt;"Motorbike",D29-D28&lt;Log!$C$12)),0,IF(E28&lt;&gt;0,D29-D28,IF(E27=0,D29-D26,D29-D27)))</f>
        <v>2</v>
      </c>
      <c r="F29" s="133">
        <f t="shared" si="4"/>
        <v>3.66</v>
      </c>
      <c r="H29" s="71">
        <v>221</v>
      </c>
      <c r="I29" s="54" t="s">
        <v>6</v>
      </c>
      <c r="J29" s="5">
        <f>VLOOKUP(I29,Log!$B$2:$C$8,2,)</f>
        <v>0.45</v>
      </c>
      <c r="K29" s="4">
        <v>34.119999999999997</v>
      </c>
      <c r="L29" s="32">
        <f>IF(OR(AND(I29="Motorbike",K29-K28&lt;Log!$C$13),AND(I29&lt;&gt;"Motorbike",K29-K28&lt;Log!$C$12)),0,IF(L28&lt;&gt;0,K29-K28,IF(L27=0,K29-K26,K29-K27)))</f>
        <v>1.1199999999999974</v>
      </c>
      <c r="M29" s="104">
        <f t="shared" si="5"/>
        <v>0.50399999999999889</v>
      </c>
      <c r="N29" s="13"/>
      <c r="O29" s="56">
        <v>172</v>
      </c>
      <c r="P29" s="4" t="s">
        <v>5</v>
      </c>
      <c r="Q29" s="5">
        <f>VLOOKUP(P29,Log!$B$2:$C$8,2,)</f>
        <v>0.38</v>
      </c>
      <c r="R29" s="4">
        <v>34.4</v>
      </c>
      <c r="S29" s="32">
        <f>IF(OR(AND(P29="Motorbike",R29-R28&lt;Log!$C$13),AND(P29&lt;&gt;"Motorbike",R29-R28&lt;Log!$C$12)),0,IF(S28&lt;&gt;0,R29-R28,IF(S27=0,R29-R26,R29-R27)))</f>
        <v>5.3999999999999986</v>
      </c>
      <c r="T29" s="32">
        <f t="shared" si="3"/>
        <v>2.0519999999999996</v>
      </c>
      <c r="W29" s="11"/>
    </row>
    <row r="30" spans="1:23" ht="15.75" thickBot="1" x14ac:dyDescent="0.3">
      <c r="A30" s="17">
        <v>208</v>
      </c>
      <c r="B30" s="59" t="s">
        <v>5</v>
      </c>
      <c r="C30" s="68">
        <f>VLOOKUP(B30,Log!$B$2:$C$8,2,)</f>
        <v>0.38</v>
      </c>
      <c r="D30" s="5">
        <v>30.68</v>
      </c>
      <c r="E30" s="132">
        <f>IF(OR(AND(B30="Motorbike",D30-D29&lt;Log!$C$13),AND(B30&lt;&gt;"Motorbike",D30-D29&lt;Log!$C$12)),0,IF(E29&lt;&gt;0,D30-D29,IF(E28=0,D30-D27,D30-D28)))</f>
        <v>0</v>
      </c>
      <c r="F30" s="133">
        <f t="shared" si="4"/>
        <v>0</v>
      </c>
      <c r="H30" s="71">
        <v>246</v>
      </c>
      <c r="I30" s="54" t="s">
        <v>5</v>
      </c>
      <c r="J30" s="5">
        <f>VLOOKUP(I30,Log!$B$2:$C$8,2,)</f>
        <v>0.38</v>
      </c>
      <c r="K30" s="4">
        <v>35.28</v>
      </c>
      <c r="L30" s="32">
        <f>IF(OR(AND(I30="Motorbike",K30-K29&lt;Log!$C$13),AND(I30&lt;&gt;"Motorbike",K30-K29&lt;Log!$C$12)),0,IF(L29&lt;&gt;0,K30-K29,IF(L28=0,K30-K27,K30-K28)))</f>
        <v>1.1600000000000037</v>
      </c>
      <c r="M30" s="104">
        <f t="shared" si="5"/>
        <v>0.44080000000000141</v>
      </c>
      <c r="N30" s="13"/>
      <c r="O30" s="4">
        <v>239</v>
      </c>
      <c r="P30" s="4" t="s">
        <v>5</v>
      </c>
      <c r="Q30" s="5">
        <f>VLOOKUP(P30,Log!$B$2:$C$8,2,)</f>
        <v>0.38</v>
      </c>
      <c r="R30" s="4">
        <v>36.6</v>
      </c>
      <c r="S30" s="32">
        <f>IF(OR(AND(P30="Motorbike",R30-R29&lt;Log!$C$13),AND(P30&lt;&gt;"Motorbike",R30-R29&lt;Log!$C$12)),0,IF(S29&lt;&gt;0,R30-R29,IF(S28=0,R30-R27,R30-R28)))</f>
        <v>2.2000000000000028</v>
      </c>
      <c r="T30" s="32">
        <f t="shared" si="3"/>
        <v>0.83600000000000108</v>
      </c>
      <c r="W30" s="11"/>
    </row>
    <row r="31" spans="1:23" ht="15.75" thickBot="1" x14ac:dyDescent="0.3">
      <c r="A31" s="4">
        <v>219</v>
      </c>
      <c r="B31" s="41" t="s">
        <v>4</v>
      </c>
      <c r="C31" s="5">
        <f>VLOOKUP(B31,Log!$B$2:$C$8,2,)</f>
        <v>1</v>
      </c>
      <c r="D31" s="5">
        <v>31.6</v>
      </c>
      <c r="E31" s="132">
        <f>IF(OR(AND(B31="Motorbike",D31-D30&lt;Log!$C$13),AND(B31&lt;&gt;"Motorbike",D31-D30&lt;Log!$C$12)),0,IF(E30&lt;&gt;0,D31-D30,IF(E29=0,D31-D28,D31-D29)))</f>
        <v>0</v>
      </c>
      <c r="F31" s="133">
        <f t="shared" si="4"/>
        <v>0</v>
      </c>
      <c r="H31" s="71">
        <v>233</v>
      </c>
      <c r="I31" s="54" t="s">
        <v>6</v>
      </c>
      <c r="J31" s="5">
        <f>VLOOKUP(I31,Log!$B$2:$C$8,2,)</f>
        <v>0.45</v>
      </c>
      <c r="K31" s="4">
        <v>36.92</v>
      </c>
      <c r="L31" s="32">
        <f>IF(OR(AND(I31="Motorbike",K31-K30&lt;Log!$C$13),AND(I31&lt;&gt;"Motorbike",K31-K30&lt;Log!$C$12)),0,IF(L30&lt;&gt;0,K31-K30,IF(L29=0,K31-K28,K31-K29)))</f>
        <v>1.6400000000000006</v>
      </c>
      <c r="M31" s="104">
        <f t="shared" si="5"/>
        <v>0.73800000000000032</v>
      </c>
      <c r="N31" s="13"/>
      <c r="W31" s="11"/>
    </row>
    <row r="32" spans="1:23" x14ac:dyDescent="0.25">
      <c r="A32" s="17">
        <v>232</v>
      </c>
      <c r="B32" s="57" t="s">
        <v>5</v>
      </c>
      <c r="C32" s="68">
        <f>VLOOKUP(B32,Log!$B$2:$C$8,2,)</f>
        <v>0.38</v>
      </c>
      <c r="D32" s="5">
        <v>33</v>
      </c>
      <c r="E32" s="132">
        <f>IF(OR(AND(B32="Motorbike",D32-D31&lt;Log!$C$13),AND(B32&lt;&gt;"Motorbike",D32-D31&lt;Log!$C$12)),0,IF(E31&lt;&gt;0,D32-D31,IF(E30=0,D32-D29,D32-D30)))</f>
        <v>2.6799999999999997</v>
      </c>
      <c r="F32" s="133">
        <f t="shared" si="4"/>
        <v>3.6983999999999995</v>
      </c>
      <c r="H32" s="71">
        <v>260</v>
      </c>
      <c r="I32" s="54" t="s">
        <v>5</v>
      </c>
      <c r="J32" s="5">
        <f>VLOOKUP(I32,Log!$B$2:$C$8,2,)</f>
        <v>0.38</v>
      </c>
      <c r="K32" s="4">
        <v>38.08</v>
      </c>
      <c r="L32" s="32">
        <f>IF(OR(AND(I32="Motorbike",K32-K31&lt;Log!$C$13),AND(I32&lt;&gt;"Motorbike",K32-K31&lt;Log!$C$12)),0,IF(L31&lt;&gt;0,K32-K31,IF(L30=0,K32-K29,K32-K30)))</f>
        <v>1.1599999999999966</v>
      </c>
      <c r="M32" s="104">
        <f t="shared" si="5"/>
        <v>0.44079999999999869</v>
      </c>
      <c r="N32" s="13"/>
      <c r="W32" s="11"/>
    </row>
    <row r="33" spans="1:23" ht="15.75" thickBot="1" x14ac:dyDescent="0.3">
      <c r="A33" s="17">
        <v>191</v>
      </c>
      <c r="B33" s="59" t="s">
        <v>4</v>
      </c>
      <c r="C33" s="68">
        <f>VLOOKUP(B33,Log!$B$2:$C$8,2,)</f>
        <v>1</v>
      </c>
      <c r="D33" s="5">
        <v>33.799999999999997</v>
      </c>
      <c r="E33" s="132">
        <f>IF(OR(AND(B33="Motorbike",D33-D32&lt;Log!$C$13),AND(B33&lt;&gt;"Motorbike",D33-D32&lt;Log!$C$12)),0,IF(E32&lt;&gt;0,D33-D32,IF(E31=0,D33-D30,D33-D31)))</f>
        <v>0</v>
      </c>
      <c r="F33" s="133">
        <f t="shared" si="4"/>
        <v>0</v>
      </c>
      <c r="H33" s="64">
        <v>270</v>
      </c>
      <c r="I33" s="54" t="s">
        <v>5</v>
      </c>
      <c r="J33" s="5">
        <f>VLOOKUP(I33,Log!$B$2:$C$8,2,)</f>
        <v>0.38</v>
      </c>
      <c r="K33" s="4">
        <v>38.72</v>
      </c>
      <c r="L33" s="32">
        <f>IF(OR(AND(I33="Motorbike",K33-K32&lt;Log!$C$13),AND(I33&lt;&gt;"Motorbike",K33-K32&lt;Log!$C$12)),0,IF(L32&lt;&gt;0,K33-K32,IF(L31=0,K33-K30,K33-K31)))</f>
        <v>0.64000000000000057</v>
      </c>
      <c r="M33" s="104">
        <f t="shared" si="5"/>
        <v>0.24320000000000022</v>
      </c>
      <c r="N33" s="13"/>
      <c r="W33" s="11"/>
    </row>
    <row r="34" spans="1:23" x14ac:dyDescent="0.25">
      <c r="A34" s="17">
        <v>249</v>
      </c>
      <c r="B34" s="57" t="s">
        <v>5</v>
      </c>
      <c r="C34" s="68">
        <f>VLOOKUP(B34,Log!$B$2:$C$8,2,)</f>
        <v>0.38</v>
      </c>
      <c r="D34" s="5">
        <v>35.72</v>
      </c>
      <c r="E34" s="132">
        <f>IF(OR(AND(B34="Motorbike",D34-D33&lt;Log!$C$13),AND(B34&lt;&gt;"Motorbike",D34-D33&lt;Log!$C$12)),0,IF(E33&lt;&gt;0,D34-D33,IF(E32=0,D34-D31,D34-D32)))</f>
        <v>2.7199999999999989</v>
      </c>
      <c r="F34" s="133">
        <f t="shared" si="4"/>
        <v>3.7535999999999983</v>
      </c>
      <c r="H34" s="50"/>
      <c r="I34" s="51"/>
      <c r="J34" s="13"/>
      <c r="L34" s="52"/>
      <c r="M34" s="52"/>
      <c r="N34" s="13"/>
      <c r="W34" s="11"/>
    </row>
    <row r="35" spans="1:23" ht="15.75" thickBot="1" x14ac:dyDescent="0.3">
      <c r="A35" s="17">
        <v>212</v>
      </c>
      <c r="B35" s="59" t="s">
        <v>4</v>
      </c>
      <c r="C35" s="68">
        <f>VLOOKUP(B35,Log!$B$2:$C$8,2,)</f>
        <v>1</v>
      </c>
      <c r="D35" s="5">
        <v>35.799999999999997</v>
      </c>
      <c r="E35" s="132">
        <f>IF(OR(AND(B35="Motorbike",D35-D34&lt;Log!$C$13),AND(B35&lt;&gt;"Motorbike",D35-D34&lt;Log!$C$12)),0,IF(E34&lt;&gt;0,D35-D34,IF(E33=0,D35-D32,D35-D33)))</f>
        <v>0</v>
      </c>
      <c r="F35" s="133">
        <f t="shared" si="4"/>
        <v>0</v>
      </c>
      <c r="H35" s="53"/>
      <c r="J35" s="13"/>
      <c r="L35" s="52"/>
      <c r="M35" s="52"/>
      <c r="W35" s="11"/>
    </row>
    <row r="36" spans="1:23" ht="15.75" thickBot="1" x14ac:dyDescent="0.3">
      <c r="A36" s="4">
        <v>234</v>
      </c>
      <c r="B36" s="56" t="s">
        <v>6</v>
      </c>
      <c r="C36" s="5">
        <f>VLOOKUP(B36,Log!$B$2:$C$8,2,)</f>
        <v>0.45</v>
      </c>
      <c r="D36" s="5">
        <v>37.479999999999997</v>
      </c>
      <c r="E36" s="132">
        <f>IF(OR(AND(B36="Motorbike",D36-D35&lt;Log!$C$13),AND(B36&lt;&gt;"Motorbike",D36-D35&lt;Log!$C$12)),0,IF(E35&lt;&gt;0,D36-D35,IF(E34=0,D36-D33,D36-D34)))</f>
        <v>1.759999999999998</v>
      </c>
      <c r="F36" s="134">
        <f t="shared" si="4"/>
        <v>0.79199999999999915</v>
      </c>
      <c r="H36" s="53"/>
      <c r="J36" s="13"/>
      <c r="L36" s="52"/>
      <c r="M36" s="52"/>
      <c r="W36" s="11"/>
    </row>
    <row r="37" spans="1:23" x14ac:dyDescent="0.25">
      <c r="H37" s="53"/>
      <c r="J37" s="13"/>
      <c r="L37" s="52"/>
      <c r="M37" s="52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AVERAGE(S30:S34)</f>
        <v>2.2000000000000028</v>
      </c>
      <c r="T52" s="9">
        <f>AVERAGE(T30:T34)</f>
        <v>0.83600000000000108</v>
      </c>
    </row>
    <row r="53" spans="19:20" x14ac:dyDescent="0.25">
      <c r="S53" s="10">
        <f>3600/S52</f>
        <v>1636.3636363636342</v>
      </c>
      <c r="T53" s="10">
        <f>3600/T52</f>
        <v>4306.2200956937741</v>
      </c>
    </row>
  </sheetData>
  <mergeCells count="4">
    <mergeCell ref="C1:D1"/>
    <mergeCell ref="A11:F11"/>
    <mergeCell ref="H11:M11"/>
    <mergeCell ref="O11:T11"/>
  </mergeCells>
  <conditionalFormatting sqref="E14:E36">
    <cfRule type="cellIs" dxfId="113" priority="16" operator="greaterThanOrEqual">
      <formula>4</formula>
    </cfRule>
  </conditionalFormatting>
  <conditionalFormatting sqref="E13:F13">
    <cfRule type="cellIs" dxfId="112" priority="39" operator="greaterThan">
      <formula>4</formula>
    </cfRule>
  </conditionalFormatting>
  <conditionalFormatting sqref="F14:F36">
    <cfRule type="cellIs" dxfId="111" priority="18" operator="greaterThan">
      <formula>4</formula>
    </cfRule>
  </conditionalFormatting>
  <conditionalFormatting sqref="L14:L33">
    <cfRule type="cellIs" dxfId="110" priority="9" operator="greaterThanOrEqual">
      <formula>4</formula>
    </cfRule>
  </conditionalFormatting>
  <conditionalFormatting sqref="L13:M13 L34:M37">
    <cfRule type="cellIs" dxfId="109" priority="35" operator="greaterThan">
      <formula>4</formula>
    </cfRule>
  </conditionalFormatting>
  <conditionalFormatting sqref="M14:M33">
    <cfRule type="cellIs" dxfId="108" priority="11" operator="greaterThan">
      <formula>4</formula>
    </cfRule>
  </conditionalFormatting>
  <conditionalFormatting sqref="S14:S30">
    <cfRule type="cellIs" dxfId="107" priority="2" operator="greaterThanOrEqual">
      <formula>4</formula>
    </cfRule>
  </conditionalFormatting>
  <conditionalFormatting sqref="S13:T13">
    <cfRule type="cellIs" dxfId="106" priority="32" operator="greaterThan">
      <formula>4</formula>
    </cfRule>
  </conditionalFormatting>
  <conditionalFormatting sqref="T14:T30">
    <cfRule type="cellIs" dxfId="105" priority="4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6BEF48D9-5DA2-4991-A70A-5E16769555D3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E14:E36 L14:L33 S14:S30</xm:sqref>
        </x14:conditionalFormatting>
        <x14:conditionalFormatting xmlns:xm="http://schemas.microsoft.com/office/excel/2006/main">
          <x14:cfRule type="expression" priority="15" id="{35BC747A-02E6-45C1-8C69-06080FB7CA6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E15:E36 L14:L33 S14:S30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00C3C-398D-4490-B139-31AF13D309D2}">
  <sheetPr codeName="Sheet8"/>
  <dimension ref="A1:W53"/>
  <sheetViews>
    <sheetView topLeftCell="A45" workbookViewId="0">
      <selection activeCell="I4" sqref="I4:I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45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13.319999999999997</v>
      </c>
      <c r="M2" s="4">
        <f>SUM(M20:M28)</f>
        <v>14.903999999999996</v>
      </c>
      <c r="R2" s="4" t="s">
        <v>12</v>
      </c>
      <c r="S2" s="8">
        <f>SUM(S25:S29)</f>
        <v>8.1199999999999974</v>
      </c>
      <c r="T2" s="8">
        <f>SUM(T25:T29)</f>
        <v>6.5575999999999972</v>
      </c>
    </row>
    <row r="3" spans="1:20" x14ac:dyDescent="0.25">
      <c r="K3" s="4" t="s">
        <v>13</v>
      </c>
      <c r="L3" s="18">
        <f>AVERAGE(L24:L26)</f>
        <v>1.2666666666666668</v>
      </c>
      <c r="M3" s="18">
        <f>AVERAGE(M21:M26)</f>
        <v>1.497333333333333</v>
      </c>
      <c r="R3" s="4" t="s">
        <v>13</v>
      </c>
      <c r="S3" s="9">
        <f>AVERAGE(S25:S29)</f>
        <v>1.6239999999999994</v>
      </c>
      <c r="T3" s="9">
        <f>AVERAGE(T14:T23)</f>
        <v>1.2262399999999998</v>
      </c>
    </row>
    <row r="4" spans="1:20" x14ac:dyDescent="0.25">
      <c r="A4" s="4" t="s">
        <v>4</v>
      </c>
      <c r="B4" s="128">
        <f>100*COUNTIF($B$14:$B$33,A4)/COUNTA($B$14:$B$33)</f>
        <v>65</v>
      </c>
      <c r="H4" s="4" t="s">
        <v>4</v>
      </c>
      <c r="I4" s="128">
        <f>100*COUNTIF($I$20:$I$30,H4)/COUNTA($I$20:$I$30)</f>
        <v>81.818181818181813</v>
      </c>
      <c r="K4" s="4" t="s">
        <v>1</v>
      </c>
      <c r="L4" s="21">
        <f>3600/L3</f>
        <v>2842.1052631578946</v>
      </c>
      <c r="M4" s="66">
        <f>3600/M3</f>
        <v>2404.2742653606419</v>
      </c>
      <c r="O4" s="4" t="s">
        <v>4</v>
      </c>
      <c r="P4" s="128">
        <f>100*COUNTIF($P$13:$P$38,O4)/COUNTA($P$13:$P$38)</f>
        <v>34.615384615384613</v>
      </c>
      <c r="R4" s="4" t="s">
        <v>1</v>
      </c>
      <c r="S4" s="10">
        <f>3600/S3</f>
        <v>2216.7487684729072</v>
      </c>
      <c r="T4" s="10">
        <f>3600/T3</f>
        <v>2935.8037578288104</v>
      </c>
    </row>
    <row r="5" spans="1:20" x14ac:dyDescent="0.25">
      <c r="A5" s="4" t="s">
        <v>6</v>
      </c>
      <c r="B5" s="128">
        <f t="shared" ref="B5:B9" si="0">100*COUNTIF($B$14:$B$33,A5)/COUNTA($B$14:$B$33)</f>
        <v>10</v>
      </c>
      <c r="H5" s="4" t="s">
        <v>6</v>
      </c>
      <c r="I5" s="128">
        <f t="shared" ref="I5:I9" si="1">100*COUNTIF($I$20:$I$30,H5)/COUNTA($I$20:$I$30)</f>
        <v>9.0909090909090917</v>
      </c>
      <c r="O5" s="4" t="s">
        <v>6</v>
      </c>
      <c r="P5" s="128">
        <f t="shared" ref="P5:P7" si="2">100*COUNTIF($P$13:$P$38,O5)/COUNTA($P$13:$P$38)</f>
        <v>26.923076923076923</v>
      </c>
    </row>
    <row r="6" spans="1:20" x14ac:dyDescent="0.25">
      <c r="A6" s="4" t="s">
        <v>5</v>
      </c>
      <c r="B6" s="128">
        <f t="shared" si="0"/>
        <v>20</v>
      </c>
      <c r="E6" s="27" t="s">
        <v>22</v>
      </c>
      <c r="F6" s="27" t="s">
        <v>21</v>
      </c>
      <c r="H6" s="4" t="s">
        <v>5</v>
      </c>
      <c r="I6" s="128">
        <f t="shared" si="1"/>
        <v>9.0909090909090917</v>
      </c>
      <c r="L6" s="27" t="s">
        <v>22</v>
      </c>
      <c r="M6" s="27" t="s">
        <v>21</v>
      </c>
      <c r="O6" s="4" t="s">
        <v>5</v>
      </c>
      <c r="P6" s="128">
        <f t="shared" si="2"/>
        <v>38.46153846153846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25.279999999999998</v>
      </c>
      <c r="F7" s="23">
        <f>SUM(F14:F30)</f>
        <v>26.282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31.919999999999995</v>
      </c>
      <c r="M7" s="23">
        <f>SUM(M14:M37)</f>
        <v>30.985199999999999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13.6</v>
      </c>
      <c r="T7" s="23">
        <f>SUM(T13:T23)</f>
        <v>12.262399999999998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AVERAGEIF(E14:E21,"&lt;&gt;0")</f>
        <v>1.7950000000000002</v>
      </c>
      <c r="F8" s="26">
        <f>AVERAGEIF(F15:F33,"&lt;&gt;0")</f>
        <v>1.8400250000000005</v>
      </c>
      <c r="H8" s="4" t="s">
        <v>7</v>
      </c>
      <c r="I8" s="128">
        <f t="shared" si="1"/>
        <v>0</v>
      </c>
      <c r="K8" s="28" t="s">
        <v>13</v>
      </c>
      <c r="L8" s="26">
        <f>AVERAGEIF(L20:L30,"&lt;&gt;0")</f>
        <v>1.9244444444444442</v>
      </c>
      <c r="M8" s="26">
        <f>AVERAGEIF(M21:M30,"&lt;&gt;0")</f>
        <v>1.9729999999999994</v>
      </c>
      <c r="O8" s="4" t="s">
        <v>7</v>
      </c>
      <c r="P8" s="128">
        <f t="shared" ref="P8:P9" si="3">100*COUNTIF($P$13:$P$39,O8)/COUNTA($P$13:$P$39)</f>
        <v>0</v>
      </c>
      <c r="R8" s="28" t="s">
        <v>13</v>
      </c>
      <c r="S8" s="26">
        <f>AVERAGEIF(S14:S29,"&lt;&gt;0")</f>
        <v>1.6428571428571426</v>
      </c>
      <c r="T8" s="26">
        <f>AVERAGEIF(T14:T36,"&lt;&gt;0")</f>
        <v>1.4195111111111109</v>
      </c>
    </row>
    <row r="9" spans="1:20" ht="15.75" thickBot="1" x14ac:dyDescent="0.3">
      <c r="A9" s="4" t="s">
        <v>23</v>
      </c>
      <c r="B9" s="128">
        <f t="shared" si="0"/>
        <v>5</v>
      </c>
      <c r="D9" s="28" t="s">
        <v>1</v>
      </c>
      <c r="E9" s="25">
        <f>3600/E8</f>
        <v>2005.5710306406684</v>
      </c>
      <c r="F9" s="29">
        <f>3600/F8</f>
        <v>1956.4951563158104</v>
      </c>
      <c r="H9" s="4" t="s">
        <v>23</v>
      </c>
      <c r="I9" s="128">
        <f t="shared" si="1"/>
        <v>0</v>
      </c>
      <c r="K9" s="28" t="s">
        <v>1</v>
      </c>
      <c r="L9" s="25">
        <f>3600/L8</f>
        <v>1870.6697459584298</v>
      </c>
      <c r="M9" s="29">
        <f>3600/M8</f>
        <v>1824.6325392802844</v>
      </c>
      <c r="O9" s="4" t="s">
        <v>23</v>
      </c>
      <c r="P9" s="128">
        <f t="shared" si="3"/>
        <v>0</v>
      </c>
      <c r="R9" s="28" t="s">
        <v>1</v>
      </c>
      <c r="S9" s="25">
        <f>3600/S8</f>
        <v>2191.3043478260875</v>
      </c>
      <c r="T9" s="29">
        <f>3600/T8</f>
        <v>2536.0844109082941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ht="15.75" thickBot="1" x14ac:dyDescent="0.3">
      <c r="A13" s="115">
        <v>1</v>
      </c>
      <c r="B13" s="113" t="s">
        <v>4</v>
      </c>
      <c r="C13" s="116">
        <f>VLOOKUP(B13,Log!$B$2:$C$8,2,)</f>
        <v>1</v>
      </c>
      <c r="D13" s="112">
        <v>4.24</v>
      </c>
      <c r="E13" s="114">
        <v>0</v>
      </c>
      <c r="F13" s="114">
        <v>0</v>
      </c>
      <c r="H13" s="113">
        <v>3</v>
      </c>
      <c r="I13" s="110" t="s">
        <v>4</v>
      </c>
      <c r="J13" s="112">
        <f>VLOOKUP(I13,Log!$B$2:$C$8,2,)</f>
        <v>1</v>
      </c>
      <c r="K13" s="113">
        <v>5.2</v>
      </c>
      <c r="L13" s="114">
        <v>0</v>
      </c>
      <c r="M13" s="114">
        <v>0</v>
      </c>
      <c r="N13" s="13"/>
      <c r="O13" s="109">
        <v>7</v>
      </c>
      <c r="P13" s="110" t="s">
        <v>6</v>
      </c>
      <c r="Q13" s="112">
        <f>VLOOKUP(P13,Log!$B$2:$C$8,2,)</f>
        <v>0.45</v>
      </c>
      <c r="R13" s="113">
        <v>3.72</v>
      </c>
      <c r="S13" s="114">
        <v>0</v>
      </c>
      <c r="T13" s="114">
        <v>0</v>
      </c>
    </row>
    <row r="14" spans="1:20" ht="15.75" thickBot="1" x14ac:dyDescent="0.3">
      <c r="A14" s="109">
        <v>2</v>
      </c>
      <c r="B14" s="110" t="s">
        <v>4</v>
      </c>
      <c r="C14" s="116">
        <f>VLOOKUP(B14,Log!$B$2:$C$8,2,)</f>
        <v>1</v>
      </c>
      <c r="D14" s="112">
        <v>6.72</v>
      </c>
      <c r="E14" s="114">
        <f>IF(OR(AND(B14="Motorbike",D14-D13&lt;Log!$C$13),AND(B14&lt;&gt;"Motorbike",D14-D13&lt;Log!$C$12)),0,D14-D13)</f>
        <v>2.4799999999999995</v>
      </c>
      <c r="F14" s="114">
        <f>IF(E15&lt;&gt;0,C14*E14,IF(E16=0,(C14+C15+C16)*E14,(C14+C15)*E14))</f>
        <v>2.4799999999999995</v>
      </c>
      <c r="H14" s="61">
        <v>33</v>
      </c>
      <c r="I14" s="60" t="s">
        <v>5</v>
      </c>
      <c r="J14" s="5">
        <f>VLOOKUP(I14,Log!$B$2:$C$8,2,)</f>
        <v>0.38</v>
      </c>
      <c r="K14" s="4">
        <v>7.24</v>
      </c>
      <c r="L14" s="32">
        <f>IF(OR(AND(I14="Motorbike",K14-K13&lt;Log!$C$13),AND(I14&lt;&gt;"Motorbike",K14-K13&lt;Log!$C$12)),0,K14-K13)</f>
        <v>2.04</v>
      </c>
      <c r="M14" s="32">
        <f>IF(L15&lt;&gt;0,J14*L14,IF(L16=0,(J14+J15+J16)*L14,(J14+J15)*L14))</f>
        <v>0.7752</v>
      </c>
      <c r="N14" s="13"/>
      <c r="O14" s="71">
        <v>3</v>
      </c>
      <c r="P14" s="73" t="s">
        <v>4</v>
      </c>
      <c r="Q14" s="5">
        <f>VLOOKUP(P14,Log!$B$2:$C$8,2,)</f>
        <v>1</v>
      </c>
      <c r="R14" s="4">
        <v>5.44</v>
      </c>
      <c r="S14" s="32">
        <f>IF(OR(AND(P14="Motorbike",R14-R13&lt;Log!$C$13),AND(P14&lt;&gt;"Motorbike",R14-R13&lt;Log!$C$12)),0,R14-R13)</f>
        <v>1.7200000000000002</v>
      </c>
      <c r="T14" s="32">
        <f>IF(S15&lt;&gt;0,Q14*S14,IF(S16=0,(Q14+Q15+Q16)*S14,(Q14+Q15)*S14))</f>
        <v>1.7200000000000002</v>
      </c>
    </row>
    <row r="15" spans="1:20" x14ac:dyDescent="0.25">
      <c r="A15" s="58">
        <v>53</v>
      </c>
      <c r="B15" s="54" t="s">
        <v>5</v>
      </c>
      <c r="C15" s="68">
        <f>VLOOKUP(B15,Log!$B$2:$C$8,2,)</f>
        <v>0.38</v>
      </c>
      <c r="D15" s="5">
        <v>8.1199999999999992</v>
      </c>
      <c r="E15" s="32">
        <f>IF(OR(AND(B15="Motorbike",D15-D14&lt;Log!$C$13),AND(B15&lt;&gt;"Motorbike",D15-D14&lt;Log!$C$12)),0,D15-D14)</f>
        <v>1.3999999999999995</v>
      </c>
      <c r="F15" s="104">
        <f t="shared" ref="F15:F35" si="4">IF(E16&lt;&gt;0,C15*E15,IF(E17=0,(C15+C16+C17)*E15,(C15+C16)*E15))</f>
        <v>0.53199999999999981</v>
      </c>
      <c r="H15" s="63">
        <v>17</v>
      </c>
      <c r="I15" s="60" t="s">
        <v>4</v>
      </c>
      <c r="J15" s="5">
        <f>VLOOKUP(I15,Log!$B$2:$C$8,2,)</f>
        <v>1</v>
      </c>
      <c r="K15" s="4">
        <v>9.7200000000000006</v>
      </c>
      <c r="L15" s="32">
        <f>IF(OR(AND(I15="Motorbike",K15-K14&lt;Log!$C$13),AND(I15&lt;&gt;"Motorbike",K15-K14&lt;Log!$C$12)),0,K15-K14)</f>
        <v>2.4800000000000004</v>
      </c>
      <c r="M15" s="32">
        <f t="shared" ref="M15:M30" si="5">IF(L16&lt;&gt;0,J15*L15,IF(L17=0,(J15+J16+J17)*L15,(J15+J16)*L15))</f>
        <v>2.4800000000000004</v>
      </c>
      <c r="N15" s="13"/>
      <c r="O15" s="71">
        <v>33</v>
      </c>
      <c r="P15" s="85" t="s">
        <v>5</v>
      </c>
      <c r="Q15" s="68">
        <f>VLOOKUP(P15,Log!$B$2:$C$8,2,)</f>
        <v>0.38</v>
      </c>
      <c r="R15" s="4">
        <v>7.44</v>
      </c>
      <c r="S15" s="32">
        <f>IF(OR(AND(P15="Motorbike",R15-R14&lt;Log!$C$13),AND(P15&lt;&gt;"Motorbike",R15-R14&lt;Log!$C$12)),0,R15-R14)</f>
        <v>2</v>
      </c>
      <c r="T15" s="32">
        <f t="shared" ref="T15:T38" si="6">IF(S16&lt;&gt;0,Q15*S15,IF(S17=0,(Q15+Q16+Q17)*S15,(Q15+Q16)*S15))</f>
        <v>1.6600000000000001</v>
      </c>
    </row>
    <row r="16" spans="1:20" ht="15.75" thickBot="1" x14ac:dyDescent="0.3">
      <c r="A16" s="58">
        <v>6</v>
      </c>
      <c r="B16" s="54" t="s">
        <v>4</v>
      </c>
      <c r="C16" s="68">
        <f>VLOOKUP(B16,Log!$B$2:$C$8,2,)</f>
        <v>1</v>
      </c>
      <c r="D16" s="5">
        <v>9.32</v>
      </c>
      <c r="E16" s="32">
        <f>IF(OR(AND(B16="Motorbike",D16-D15&lt;Log!$C$13),AND(B16&lt;&gt;"Motorbike",D16-D15&lt;Log!$C$12)),0,IF(E15&lt;&gt;0,D16-D15,IF(E14=0,D16-D13,D16-D14)))</f>
        <v>1.2000000000000011</v>
      </c>
      <c r="F16" s="104">
        <f t="shared" si="4"/>
        <v>1.2000000000000011</v>
      </c>
      <c r="H16" s="71">
        <v>39</v>
      </c>
      <c r="I16" s="60" t="s">
        <v>4</v>
      </c>
      <c r="J16" s="5">
        <f>VLOOKUP(I16,Log!$B$2:$C$8,2,)</f>
        <v>1</v>
      </c>
      <c r="K16" s="4">
        <v>11.32</v>
      </c>
      <c r="L16" s="32">
        <f>IF(OR(AND(I16="Motorbike",K16-K15&lt;Log!$C$13),AND(I16&lt;&gt;"Motorbike",K16-K15&lt;Log!$C$12)),0,IF(L15&lt;&gt;0,K16-K15,IF(L14=0,K16-K13,K16-K14)))</f>
        <v>1.5999999999999996</v>
      </c>
      <c r="M16" s="32">
        <f t="shared" si="5"/>
        <v>1.5999999999999996</v>
      </c>
      <c r="N16" s="13"/>
      <c r="O16" s="59">
        <v>9</v>
      </c>
      <c r="P16" s="86" t="s">
        <v>6</v>
      </c>
      <c r="Q16" s="68">
        <f>VLOOKUP(P16,Log!$B$2:$C$8,2,)</f>
        <v>0.45</v>
      </c>
      <c r="R16" s="4">
        <v>7.52</v>
      </c>
      <c r="S16" s="32">
        <f>IF(OR(AND(P16="Motorbike",R16-R15&lt;Log!$C$13),AND(P16&lt;&gt;"Motorbike",R16-R15&lt;Log!$C$12)),0,IF(S15&lt;&gt;0,R16-R15,IF(S14=0,R16-R13,R16-R14)))</f>
        <v>0</v>
      </c>
      <c r="T16" s="32">
        <f t="shared" si="6"/>
        <v>0</v>
      </c>
    </row>
    <row r="17" spans="1:23" x14ac:dyDescent="0.25">
      <c r="A17" s="58">
        <v>39</v>
      </c>
      <c r="B17" s="54" t="s">
        <v>4</v>
      </c>
      <c r="C17" s="68">
        <f>VLOOKUP(B17,Log!$B$2:$C$8,2,)</f>
        <v>1</v>
      </c>
      <c r="D17" s="5">
        <v>11.32</v>
      </c>
      <c r="E17" s="32">
        <f>IF(OR(AND(B17="Motorbike",D17-D16&lt;Log!$C$13),AND(B17&lt;&gt;"Motorbike",D17-D16&lt;Log!$C$12)),0,IF(E16&lt;&gt;0,D17-D16,IF(E15=0,D17-D14,D17-D15)))</f>
        <v>2</v>
      </c>
      <c r="F17" s="104">
        <f t="shared" si="4"/>
        <v>2</v>
      </c>
      <c r="H17" s="71">
        <v>10</v>
      </c>
      <c r="I17" s="54" t="s">
        <v>4</v>
      </c>
      <c r="J17" s="5">
        <f>VLOOKUP(I17,Log!$B$2:$C$8,2,)</f>
        <v>1</v>
      </c>
      <c r="K17" s="4">
        <v>13.72</v>
      </c>
      <c r="L17" s="32">
        <f>IF(OR(AND(I17="Motorbike",K17-K16&lt;Log!$C$13),AND(I17&lt;&gt;"Motorbike",K17-K16&lt;Log!$C$12)),0,IF(L16&lt;&gt;0,K17-K16,IF(L15=0,K17-K14,K17-K15)))</f>
        <v>2.4000000000000004</v>
      </c>
      <c r="M17" s="32">
        <f t="shared" si="5"/>
        <v>2.4000000000000004</v>
      </c>
      <c r="N17" s="13"/>
      <c r="O17" s="57">
        <v>30</v>
      </c>
      <c r="P17" s="70" t="s">
        <v>4</v>
      </c>
      <c r="Q17" s="5">
        <f>VLOOKUP(P17,Log!$B$2:$C$8,2,)</f>
        <v>1</v>
      </c>
      <c r="R17" s="4">
        <v>9.92</v>
      </c>
      <c r="S17" s="32">
        <f>IF(OR(AND(P17="Motorbike",R17-R16&lt;Log!$C$13),AND(P17&lt;&gt;"Motorbike",R17-R16&lt;Log!$C$12)),0,IF(S16&lt;&gt;0,R17-R16,IF(S15=0,R17-R14,R17-R15)))</f>
        <v>2.4799999999999995</v>
      </c>
      <c r="T17" s="32">
        <f t="shared" si="6"/>
        <v>2.4799999999999995</v>
      </c>
    </row>
    <row r="18" spans="1:23" ht="15.75" thickBot="1" x14ac:dyDescent="0.3">
      <c r="A18" s="59">
        <v>49</v>
      </c>
      <c r="B18" s="54" t="s">
        <v>4</v>
      </c>
      <c r="C18" s="68">
        <f>VLOOKUP(B18,Log!$B$2:$C$8,2,)</f>
        <v>1</v>
      </c>
      <c r="D18" s="5">
        <v>13.04</v>
      </c>
      <c r="E18" s="32">
        <f>IF(OR(AND(B18="Motorbike",D18-D17&lt;Log!$C$13),AND(B18&lt;&gt;"Motorbike",D18-D17&lt;Log!$C$12)),0,IF(E17&lt;&gt;0,D18-D17,IF(E16=0,D18-D15,D18-D16)))</f>
        <v>1.7199999999999989</v>
      </c>
      <c r="F18" s="104">
        <f t="shared" si="4"/>
        <v>1.7199999999999989</v>
      </c>
      <c r="H18" s="64">
        <v>71</v>
      </c>
      <c r="I18" s="54" t="s">
        <v>6</v>
      </c>
      <c r="J18" s="5">
        <f>VLOOKUP(I18,Log!$B$2:$C$8,2,)</f>
        <v>0.45</v>
      </c>
      <c r="K18" s="4">
        <v>16</v>
      </c>
      <c r="L18" s="32">
        <f>IF(OR(AND(I18="Motorbike",K18-K17&lt;Log!$C$13),AND(I18&lt;&gt;"Motorbike",K18-K17&lt;Log!$C$12)),0,IF(L17&lt;&gt;0,K18-K17,IF(L16=0,K18-K15,K18-K16)))</f>
        <v>2.2799999999999994</v>
      </c>
      <c r="M18" s="32">
        <f t="shared" si="5"/>
        <v>1.0259999999999998</v>
      </c>
      <c r="N18" s="13"/>
      <c r="O18" s="58">
        <v>56</v>
      </c>
      <c r="P18" s="54" t="s">
        <v>4</v>
      </c>
      <c r="Q18" s="5">
        <f>VLOOKUP(P18,Log!$B$2:$C$8,2,)</f>
        <v>1</v>
      </c>
      <c r="R18" s="4">
        <v>11.4</v>
      </c>
      <c r="S18" s="32">
        <f>IF(OR(AND(P18="Motorbike",R18-R17&lt;Log!$C$13),AND(P18&lt;&gt;"Motorbike",R18-R17&lt;Log!$C$12)),0,IF(S17&lt;&gt;0,R18-R17,IF(S16=0,R18-R15,R18-R16)))</f>
        <v>1.4800000000000004</v>
      </c>
      <c r="T18" s="32">
        <f t="shared" si="6"/>
        <v>1.4800000000000004</v>
      </c>
    </row>
    <row r="19" spans="1:23" ht="15.75" thickBot="1" x14ac:dyDescent="0.3">
      <c r="A19" s="57">
        <v>63</v>
      </c>
      <c r="B19" s="54" t="s">
        <v>4</v>
      </c>
      <c r="C19" s="68">
        <f>VLOOKUP(B19,Log!$B$2:$C$8,2,)</f>
        <v>1</v>
      </c>
      <c r="D19" s="5">
        <v>15.4</v>
      </c>
      <c r="E19" s="32">
        <f>IF(OR(AND(B19="Motorbike",D19-D18&lt;Log!$C$13),AND(B19&lt;&gt;"Motorbike",D19-D18&lt;Log!$C$12)),0,IF(E18&lt;&gt;0,D19-D18,IF(E17=0,D19-D16,D19-D17)))</f>
        <v>2.3600000000000012</v>
      </c>
      <c r="F19" s="104">
        <f t="shared" si="4"/>
        <v>2.3600000000000012</v>
      </c>
      <c r="H19" s="88">
        <v>90</v>
      </c>
      <c r="I19" s="54" t="s">
        <v>4</v>
      </c>
      <c r="J19" s="5">
        <f>VLOOKUP(I19,Log!$B$2:$C$8,2,)</f>
        <v>1</v>
      </c>
      <c r="K19" s="4">
        <v>19.8</v>
      </c>
      <c r="L19" s="32">
        <f>IF(OR(AND(I19="Motorbike",K19-K18&lt;Log!$C$13),AND(I19&lt;&gt;"Motorbike",K19-K18&lt;Log!$C$12)),0,IF(L18&lt;&gt;0,K19-K18,IF(L17=0,K19-K16,K19-K17)))</f>
        <v>3.8000000000000007</v>
      </c>
      <c r="M19" s="105">
        <f t="shared" si="5"/>
        <v>3.8000000000000007</v>
      </c>
      <c r="N19" s="13"/>
      <c r="O19" s="58">
        <v>68</v>
      </c>
      <c r="P19" s="69" t="s">
        <v>4</v>
      </c>
      <c r="Q19" s="5">
        <f>VLOOKUP(P19,Log!$B$2:$C$8,2,)</f>
        <v>1</v>
      </c>
      <c r="R19" s="4">
        <v>13.44</v>
      </c>
      <c r="S19" s="32">
        <f>IF(OR(AND(P19="Motorbike",R19-R18&lt;Log!$C$13),AND(P19&lt;&gt;"Motorbike",R19-R18&lt;Log!$C$12)),0,IF(S18&lt;&gt;0,R19-R18,IF(S17=0,R19-R16,R19-R17)))</f>
        <v>2.0399999999999991</v>
      </c>
      <c r="T19" s="32">
        <f t="shared" si="6"/>
        <v>2.0399999999999991</v>
      </c>
    </row>
    <row r="20" spans="1:23" x14ac:dyDescent="0.25">
      <c r="A20" s="58">
        <v>80</v>
      </c>
      <c r="B20" s="54" t="s">
        <v>5</v>
      </c>
      <c r="C20" s="68">
        <f>VLOOKUP(B20,Log!$B$2:$C$8,2,)</f>
        <v>0.38</v>
      </c>
      <c r="D20" s="5">
        <v>17.2</v>
      </c>
      <c r="E20" s="32">
        <f>IF(OR(AND(B20="Motorbike",D20-D19&lt;Log!$C$13),AND(B20&lt;&gt;"Motorbike",D20-D19&lt;Log!$C$12)),0,IF(E19&lt;&gt;0,D20-D19,IF(E18=0,D20-D17,D20-D18)))</f>
        <v>1.7999999999999989</v>
      </c>
      <c r="F20" s="104">
        <f t="shared" si="4"/>
        <v>0.68399999999999961</v>
      </c>
      <c r="H20" s="63">
        <v>103</v>
      </c>
      <c r="I20" s="54" t="s">
        <v>4</v>
      </c>
      <c r="J20" s="5">
        <f>VLOOKUP(I20,Log!$B$2:$C$8,2,)</f>
        <v>1</v>
      </c>
      <c r="K20" s="4">
        <v>22.92</v>
      </c>
      <c r="L20" s="132">
        <f>IF(OR(AND(I20="Motorbike",K20-K19&lt;Log!$C$13),AND(I20&lt;&gt;"Motorbike",K20-K19&lt;Log!$C$12)),0,IF(L19&lt;&gt;0,K20-K19,IF(L18=0,K20-K17,K20-K18)))</f>
        <v>3.120000000000001</v>
      </c>
      <c r="M20" s="142">
        <f t="shared" si="5"/>
        <v>3.120000000000001</v>
      </c>
      <c r="N20" s="13"/>
      <c r="O20" s="58">
        <v>77</v>
      </c>
      <c r="P20" s="85" t="s">
        <v>6</v>
      </c>
      <c r="Q20" s="68">
        <f>VLOOKUP(P20,Log!$B$2:$C$8,2,)</f>
        <v>0.45</v>
      </c>
      <c r="R20" s="4">
        <v>14.64</v>
      </c>
      <c r="S20" s="32">
        <f>IF(OR(AND(P20="Motorbike",R20-R19&lt;Log!$C$13),AND(P20&lt;&gt;"Motorbike",R20-R19&lt;Log!$C$12)),0,IF(S19&lt;&gt;0,R20-R19,IF(S18=0,R20-R17,R20-R18)))</f>
        <v>1.2000000000000011</v>
      </c>
      <c r="T20" s="32">
        <f t="shared" si="6"/>
        <v>0.996000000000001</v>
      </c>
    </row>
    <row r="21" spans="1:23" ht="15.75" thickBot="1" x14ac:dyDescent="0.3">
      <c r="A21" s="58">
        <v>81</v>
      </c>
      <c r="B21" s="54" t="s">
        <v>4</v>
      </c>
      <c r="C21" s="68">
        <f>VLOOKUP(B21,Log!$B$2:$C$8,2,)</f>
        <v>1</v>
      </c>
      <c r="D21" s="5">
        <v>18.600000000000001</v>
      </c>
      <c r="E21" s="32">
        <f>IF(OR(AND(B21="Motorbike",D21-D20&lt;Log!$C$13),AND(B21&lt;&gt;"Motorbike",D21-D20&lt;Log!$C$12)),0,IF(E20&lt;&gt;0,D21-D20,IF(E19=0,D21-D18,D21-D19)))</f>
        <v>1.4000000000000021</v>
      </c>
      <c r="F21" s="104">
        <f t="shared" si="4"/>
        <v>2.8000000000000043</v>
      </c>
      <c r="H21" s="71">
        <v>116</v>
      </c>
      <c r="I21" s="54" t="s">
        <v>4</v>
      </c>
      <c r="J21" s="5">
        <f>VLOOKUP(I21,Log!$B$2:$C$8,2,)</f>
        <v>1</v>
      </c>
      <c r="K21" s="4">
        <v>23.4</v>
      </c>
      <c r="L21" s="132">
        <f>K21-K20</f>
        <v>0.47999999999999687</v>
      </c>
      <c r="M21" s="133">
        <f t="shared" si="5"/>
        <v>0.47999999999999687</v>
      </c>
      <c r="N21" s="13"/>
      <c r="O21" s="58">
        <v>65</v>
      </c>
      <c r="P21" s="86" t="s">
        <v>5</v>
      </c>
      <c r="Q21" s="68">
        <f>VLOOKUP(P21,Log!$B$2:$C$8,2,)</f>
        <v>0.38</v>
      </c>
      <c r="R21" s="4">
        <v>14.92</v>
      </c>
      <c r="S21" s="32">
        <f>IF(OR(AND(P21="Motorbike",R21-R20&lt;Log!$C$13),AND(P21&lt;&gt;"Motorbike",R21-R20&lt;Log!$C$12)),0,IF(S20&lt;&gt;0,R21-R20,IF(S19=0,R21-R18,R21-R19)))</f>
        <v>0</v>
      </c>
      <c r="T21" s="32">
        <f t="shared" si="6"/>
        <v>0</v>
      </c>
    </row>
    <row r="22" spans="1:23" x14ac:dyDescent="0.25">
      <c r="A22" s="58">
        <v>59</v>
      </c>
      <c r="B22" s="54" t="s">
        <v>4</v>
      </c>
      <c r="C22" s="68">
        <f>VLOOKUP(B22,Log!$B$2:$C$8,2,)</f>
        <v>1</v>
      </c>
      <c r="D22" s="5">
        <v>19.52</v>
      </c>
      <c r="E22" s="32">
        <f>IF(OR(AND(B22="Motorbike",D22-D21&lt;Log!$C$13),AND(B22&lt;&gt;"Motorbike",D22-D21&lt;Log!$C$12)),0,IF(E21&lt;&gt;0,D22-D21,IF(E20=0,D22-D19,D22-D20)))</f>
        <v>0</v>
      </c>
      <c r="F22" s="104">
        <f t="shared" si="4"/>
        <v>0</v>
      </c>
      <c r="H22" s="71">
        <v>124</v>
      </c>
      <c r="I22" s="54" t="s">
        <v>4</v>
      </c>
      <c r="J22" s="5">
        <f>VLOOKUP(I22,Log!$B$2:$C$8,2,)</f>
        <v>1</v>
      </c>
      <c r="K22" s="4">
        <v>25.12</v>
      </c>
      <c r="L22" s="132">
        <f>IF(OR(AND(I22="Motorbike",K22-K21&lt;Log!$C$13),AND(I22&lt;&gt;"Motorbike",K22-K21&lt;Log!$C$12)),0,IF(L21&lt;&gt;0,K22-K21,IF(L20=0,K22-K19,K22-K20)))</f>
        <v>1.7200000000000024</v>
      </c>
      <c r="M22" s="133">
        <f t="shared" si="5"/>
        <v>1.7200000000000024</v>
      </c>
      <c r="N22" s="13"/>
      <c r="O22" s="58">
        <v>62</v>
      </c>
      <c r="P22" s="70" t="s">
        <v>4</v>
      </c>
      <c r="Q22" s="5">
        <f>VLOOKUP(P22,Log!$B$2:$C$8,2,)</f>
        <v>1</v>
      </c>
      <c r="R22" s="4">
        <v>16.04</v>
      </c>
      <c r="S22" s="32">
        <f>IF(OR(AND(P22="Motorbike",R22-R21&lt;Log!$C$13),AND(P22&lt;&gt;"Motorbike",R22-R21&lt;Log!$C$12)),0,IF(S21&lt;&gt;0,R22-R21,IF(S20=0,R22-R19,R22-R20)))</f>
        <v>1.3999999999999986</v>
      </c>
      <c r="T22" s="32">
        <f t="shared" si="6"/>
        <v>1.3999999999999986</v>
      </c>
    </row>
    <row r="23" spans="1:23" ht="15.75" thickBot="1" x14ac:dyDescent="0.3">
      <c r="A23" s="58">
        <v>113</v>
      </c>
      <c r="B23" s="54" t="s">
        <v>6</v>
      </c>
      <c r="C23" s="68">
        <f>VLOOKUP(B23,Log!$B$2:$C$8,2,)</f>
        <v>0.45</v>
      </c>
      <c r="D23" s="5">
        <v>20.92</v>
      </c>
      <c r="E23" s="32">
        <f>IF(OR(AND(B23="Motorbike",D23-D22&lt;Log!$C$13),AND(B23&lt;&gt;"Motorbike",D23-D22&lt;Log!$C$12)),0,IF(E22&lt;&gt;0,D23-D22,IF(E21=0,D23-D20,D23-D21)))</f>
        <v>2.3200000000000003</v>
      </c>
      <c r="F23" s="104">
        <f t="shared" si="4"/>
        <v>3.3640000000000003</v>
      </c>
      <c r="H23" s="71">
        <v>136</v>
      </c>
      <c r="I23" s="69" t="s">
        <v>4</v>
      </c>
      <c r="J23" s="5">
        <f>VLOOKUP(I23,Log!$B$2:$C$8,2,)</f>
        <v>1</v>
      </c>
      <c r="K23" s="4">
        <v>26.52</v>
      </c>
      <c r="L23" s="132">
        <f>IF(OR(AND(I23="Motorbike",K23-K22&lt;Log!$C$13),AND(I23&lt;&gt;"Motorbike",K23-K22&lt;Log!$C$12)),0,IF(L22&lt;&gt;0,K23-K22,IF(L21=0,K23-K20,K23-K21)))</f>
        <v>1.3999999999999986</v>
      </c>
      <c r="M23" s="133">
        <f t="shared" si="5"/>
        <v>1.3999999999999986</v>
      </c>
      <c r="N23" s="13"/>
      <c r="O23" s="58">
        <v>89</v>
      </c>
      <c r="P23" s="60" t="s">
        <v>5</v>
      </c>
      <c r="Q23" s="5">
        <f>VLOOKUP(P23,Log!$B$2:$C$8,2,)</f>
        <v>0.38</v>
      </c>
      <c r="R23" s="4">
        <v>17.32</v>
      </c>
      <c r="S23" s="32">
        <f>IF(OR(AND(P23="Motorbike",R23-R22&lt;Log!$C$13),AND(P23&lt;&gt;"Motorbike",R23-R22&lt;Log!$C$12)),0,IF(S22&lt;&gt;0,R23-R22,IF(S21=0,R23-R20,R23-R21)))</f>
        <v>1.2800000000000011</v>
      </c>
      <c r="T23" s="32">
        <f t="shared" si="6"/>
        <v>0.48640000000000044</v>
      </c>
    </row>
    <row r="24" spans="1:23" x14ac:dyDescent="0.25">
      <c r="A24" s="58">
        <v>78</v>
      </c>
      <c r="B24" s="54" t="s">
        <v>4</v>
      </c>
      <c r="C24" s="68">
        <f>VLOOKUP(B24,Log!$B$2:$C$8,2,)</f>
        <v>1</v>
      </c>
      <c r="D24" s="5">
        <v>21.64</v>
      </c>
      <c r="E24" s="32">
        <f>IF(OR(AND(B24="Motorbike",D24-D23&lt;Log!$C$13),AND(B24&lt;&gt;"Motorbike",D24-D23&lt;Log!$C$12)),0,IF(E23&lt;&gt;0,D24-D23,IF(E22=0,D24-D21,D24-D22)))</f>
        <v>0</v>
      </c>
      <c r="F24" s="104">
        <f t="shared" si="4"/>
        <v>0</v>
      </c>
      <c r="H24" s="71">
        <v>149</v>
      </c>
      <c r="I24" s="57" t="s">
        <v>4</v>
      </c>
      <c r="J24" s="68">
        <f>VLOOKUP(I24,Log!$B$2:$C$8,2,)</f>
        <v>1</v>
      </c>
      <c r="K24" s="4">
        <v>28.52</v>
      </c>
      <c r="L24" s="132">
        <f>IF(OR(AND(I24="Motorbike",K24-K23&lt;Log!$C$13),AND(I24&lt;&gt;"Motorbike",K24-K23&lt;Log!$C$12)),0,IF(L23&lt;&gt;0,K24-K23,IF(L22=0,K24-K21,K24-K22)))</f>
        <v>2</v>
      </c>
      <c r="M24" s="133">
        <f t="shared" si="5"/>
        <v>2.9</v>
      </c>
      <c r="N24" s="13"/>
      <c r="O24" s="58">
        <v>79</v>
      </c>
      <c r="P24" s="54" t="s">
        <v>6</v>
      </c>
      <c r="Q24" s="5">
        <f>VLOOKUP(P24,Log!$B$2:$C$8,2,)</f>
        <v>0.45</v>
      </c>
      <c r="R24" s="4">
        <v>18.600000000000001</v>
      </c>
      <c r="S24" s="32">
        <f>IF(OR(AND(P24="Motorbike",R24-R23&lt;Log!$C$13),AND(P24&lt;&gt;"Motorbike",R24-R23&lt;Log!$C$12)),0,IF(S23&lt;&gt;0,R24-R23,IF(S22=0,R24-R21,R24-R22)))</f>
        <v>1.2800000000000011</v>
      </c>
      <c r="T24" s="32">
        <f t="shared" si="6"/>
        <v>0.57600000000000051</v>
      </c>
    </row>
    <row r="25" spans="1:23" ht="15.75" thickBot="1" x14ac:dyDescent="0.3">
      <c r="A25" s="58">
        <v>98</v>
      </c>
      <c r="B25" s="54" t="s">
        <v>4</v>
      </c>
      <c r="C25" s="68">
        <f>VLOOKUP(B25,Log!$B$2:$C$8,2,)</f>
        <v>1</v>
      </c>
      <c r="D25" s="5">
        <v>22.8</v>
      </c>
      <c r="E25" s="32">
        <f>IF(OR(AND(B25="Motorbike",D25-D24&lt;Log!$C$13),AND(B25&lt;&gt;"Motorbike",D25-D24&lt;Log!$C$12)),0,IF(E24&lt;&gt;0,D25-D24,IF(E23=0,D25-D22,D25-D23)))</f>
        <v>1.879999999999999</v>
      </c>
      <c r="F25" s="104">
        <f t="shared" si="4"/>
        <v>1.879999999999999</v>
      </c>
      <c r="H25" s="71">
        <v>148</v>
      </c>
      <c r="I25" s="59" t="s">
        <v>6</v>
      </c>
      <c r="J25" s="68">
        <f>VLOOKUP(I25,Log!$B$2:$C$8,2,)</f>
        <v>0.45</v>
      </c>
      <c r="K25" s="4">
        <v>28.6</v>
      </c>
      <c r="L25" s="132">
        <f>IF(OR(AND(I25="Motorbike",K25-K24&lt;Log!$C$13),AND(I25&lt;&gt;"Motorbike",K25-K24&lt;Log!$C$12)),0,IF(L24&lt;&gt;0,K25-K24,IF(L23=0,K25-K22,K25-K23)))</f>
        <v>0</v>
      </c>
      <c r="M25" s="133">
        <f t="shared" si="5"/>
        <v>0</v>
      </c>
      <c r="N25" s="13"/>
      <c r="O25" s="59">
        <v>95</v>
      </c>
      <c r="P25" s="54" t="s">
        <v>5</v>
      </c>
      <c r="Q25" s="5">
        <f>VLOOKUP(P25,Log!$B$2:$C$8,2,)</f>
        <v>0.38</v>
      </c>
      <c r="R25" s="4">
        <v>20.12</v>
      </c>
      <c r="S25" s="32">
        <f>IF(OR(AND(P25="Motorbike",R25-R24&lt;Log!$C$13),AND(P25&lt;&gt;"Motorbike",R25-R24&lt;Log!$C$12)),0,IF(S24&lt;&gt;0,R25-R24,IF(S23=0,R25-R22,R25-R23)))</f>
        <v>1.5199999999999996</v>
      </c>
      <c r="T25" s="32">
        <f t="shared" si="6"/>
        <v>0.57759999999999989</v>
      </c>
    </row>
    <row r="26" spans="1:23" x14ac:dyDescent="0.25">
      <c r="A26" s="58">
        <v>126</v>
      </c>
      <c r="B26" s="54" t="s">
        <v>6</v>
      </c>
      <c r="C26" s="68">
        <f>VLOOKUP(B26,Log!$B$2:$C$8,2,)</f>
        <v>0.45</v>
      </c>
      <c r="D26" s="5">
        <v>24.92</v>
      </c>
      <c r="E26" s="32">
        <f>IF(OR(AND(B26="Motorbike",D26-D25&lt;Log!$C$13),AND(B26&lt;&gt;"Motorbike",D26-D25&lt;Log!$C$12)),0,IF(E25&lt;&gt;0,D26-D25,IF(E24=0,D26-D23,D26-D24)))</f>
        <v>2.120000000000001</v>
      </c>
      <c r="F26" s="104">
        <f t="shared" si="4"/>
        <v>0.95400000000000051</v>
      </c>
      <c r="H26" s="71">
        <v>153</v>
      </c>
      <c r="I26" s="57" t="s">
        <v>4</v>
      </c>
      <c r="J26" s="68">
        <f>VLOOKUP(I26,Log!$B$2:$C$8,2,)</f>
        <v>1</v>
      </c>
      <c r="K26" s="4">
        <v>30.32</v>
      </c>
      <c r="L26" s="132">
        <f>IF(OR(AND(I26="Motorbike",K26-K25&lt;Log!$C$13),AND(I26&lt;&gt;"Motorbike",K26-K25&lt;Log!$C$12)),0,IF(L25&lt;&gt;0,K26-K25,IF(L24=0,K26-K23,K26-K24)))</f>
        <v>1.8000000000000007</v>
      </c>
      <c r="M26" s="133">
        <f t="shared" si="5"/>
        <v>2.4840000000000009</v>
      </c>
      <c r="N26" s="13"/>
      <c r="O26" s="57">
        <v>115</v>
      </c>
      <c r="P26" s="54" t="s">
        <v>5</v>
      </c>
      <c r="Q26" s="5">
        <f>VLOOKUP(P26,Log!$B$2:$C$8,2,)</f>
        <v>0.38</v>
      </c>
      <c r="R26" s="4">
        <v>21.12</v>
      </c>
      <c r="S26" s="32">
        <f>IF(OR(AND(P26="Motorbike",R26-R25&lt;Log!$C$13),AND(P26&lt;&gt;"Motorbike",R26-R25&lt;Log!$C$12)),0,IF(S25&lt;&gt;0,R26-R25,IF(S24=0,R26-R23,R26-R24)))</f>
        <v>1</v>
      </c>
      <c r="T26" s="32">
        <f t="shared" si="6"/>
        <v>0.38</v>
      </c>
    </row>
    <row r="27" spans="1:23" ht="15.75" thickBot="1" x14ac:dyDescent="0.3">
      <c r="A27" s="58">
        <v>139</v>
      </c>
      <c r="B27" s="54" t="s">
        <v>4</v>
      </c>
      <c r="C27" s="68">
        <f>VLOOKUP(B27,Log!$B$2:$C$8,2,)</f>
        <v>1</v>
      </c>
      <c r="D27" s="5">
        <v>26.4</v>
      </c>
      <c r="E27" s="32">
        <f>IF(OR(AND(B27="Motorbike",D27-D26&lt;Log!$C$13),AND(B27&lt;&gt;"Motorbike",D27-D26&lt;Log!$C$12)),0,IF(E26&lt;&gt;0,D27-D26,IF(E25=0,D27-D24,D27-D25)))</f>
        <v>1.4799999999999969</v>
      </c>
      <c r="F27" s="104">
        <f t="shared" si="4"/>
        <v>1.4799999999999969</v>
      </c>
      <c r="H27" s="71">
        <v>188</v>
      </c>
      <c r="I27" s="59" t="s">
        <v>5</v>
      </c>
      <c r="J27" s="68">
        <f>VLOOKUP(I27,Log!$B$2:$C$8,2,)</f>
        <v>0.38</v>
      </c>
      <c r="K27" s="4">
        <v>30.8</v>
      </c>
      <c r="L27" s="132">
        <f>IF(OR(AND(I27="Motorbike",K27-K26&lt;Log!$C$13),AND(I27&lt;&gt;"Motorbike",K27-K26&lt;Log!$C$12)),0,IF(L26&lt;&gt;0,K27-K26,IF(L25=0,K27-K24,K27-K25)))</f>
        <v>0</v>
      </c>
      <c r="M27" s="133">
        <f t="shared" si="5"/>
        <v>0</v>
      </c>
      <c r="N27" s="13"/>
      <c r="O27" s="71">
        <v>103</v>
      </c>
      <c r="P27" s="54" t="s">
        <v>4</v>
      </c>
      <c r="Q27" s="5">
        <f>VLOOKUP(P27,Log!$B$2:$C$8,2,)</f>
        <v>1</v>
      </c>
      <c r="R27" s="4">
        <v>22.92</v>
      </c>
      <c r="S27" s="32">
        <f>IF(OR(AND(P27="Motorbike",R27-R26&lt;Log!$C$13),AND(P27&lt;&gt;"Motorbike",R27-R26&lt;Log!$C$12)),0,IF(S26&lt;&gt;0,R27-R26,IF(S25=0,R27-R24,R27-R25)))</f>
        <v>1.8000000000000007</v>
      </c>
      <c r="T27" s="32">
        <f t="shared" si="6"/>
        <v>1.8000000000000007</v>
      </c>
    </row>
    <row r="28" spans="1:23" ht="15.75" thickBot="1" x14ac:dyDescent="0.3">
      <c r="A28" s="58">
        <v>131</v>
      </c>
      <c r="B28" s="54" t="s">
        <v>4</v>
      </c>
      <c r="C28" s="68">
        <f>VLOOKUP(B28,Log!$B$2:$C$8,2,)</f>
        <v>1</v>
      </c>
      <c r="D28" s="5">
        <v>28.12</v>
      </c>
      <c r="E28" s="32">
        <f>IF(OR(AND(B28="Motorbike",D28-D27&lt;Log!$C$13),AND(B28&lt;&gt;"Motorbike",D28-D27&lt;Log!$C$12)),0,IF(E27&lt;&gt;0,D28-D27,IF(E26=0,D28-D25,D28-D26)))</f>
        <v>1.7200000000000024</v>
      </c>
      <c r="F28" s="104">
        <f t="shared" si="4"/>
        <v>1.7200000000000024</v>
      </c>
      <c r="H28" s="71">
        <v>179</v>
      </c>
      <c r="I28" s="70" t="s">
        <v>4</v>
      </c>
      <c r="J28" s="5">
        <f>VLOOKUP(I28,Log!$B$2:$C$8,2,)</f>
        <v>1</v>
      </c>
      <c r="K28" s="4">
        <v>33.119999999999997</v>
      </c>
      <c r="L28" s="132">
        <f>IF(OR(AND(I28="Motorbike",K28-K27&lt;Log!$C$13),AND(I28&lt;&gt;"Motorbike",K28-K27&lt;Log!$C$12)),0,IF(L27&lt;&gt;0,K28-K27,IF(L26=0,K28-K25,K28-K26)))</f>
        <v>2.7999999999999972</v>
      </c>
      <c r="M28" s="133">
        <f t="shared" si="5"/>
        <v>2.7999999999999972</v>
      </c>
      <c r="N28" s="13"/>
      <c r="O28" s="59">
        <v>102</v>
      </c>
      <c r="P28" s="54" t="s">
        <v>4</v>
      </c>
      <c r="Q28" s="5">
        <f>VLOOKUP(P28,Log!$B$2:$C$8,2,)</f>
        <v>1</v>
      </c>
      <c r="R28" s="4">
        <v>24.44</v>
      </c>
      <c r="S28" s="32">
        <f>IF(OR(AND(P28="Motorbike",R28-R27&lt;Log!$C$13),AND(P28&lt;&gt;"Motorbike",R28-R27&lt;Log!$C$12)),0,IF(S27&lt;&gt;0,R28-R27,IF(S26=0,R28-R25,R28-R26)))</f>
        <v>1.5199999999999996</v>
      </c>
      <c r="T28" s="32">
        <f t="shared" si="6"/>
        <v>1.5199999999999996</v>
      </c>
    </row>
    <row r="29" spans="1:23" x14ac:dyDescent="0.25">
      <c r="A29" s="58">
        <v>192</v>
      </c>
      <c r="B29" s="54" t="s">
        <v>23</v>
      </c>
      <c r="C29" s="68">
        <f>VLOOKUP(B29,Log!$B$2:$C$8,2,)</f>
        <v>1.84</v>
      </c>
      <c r="D29" s="5">
        <v>29.52</v>
      </c>
      <c r="E29" s="32">
        <f>IF(OR(AND(B29="Motorbike",D29-D28&lt;Log!$C$13),AND(B29&lt;&gt;"Motorbike",D29-D28&lt;Log!$C$12)),0,IF(E28&lt;&gt;0,D29-D28,IF(E27=0,D29-D26,D29-D27)))</f>
        <v>1.3999999999999986</v>
      </c>
      <c r="F29" s="104">
        <f t="shared" si="4"/>
        <v>3.107999999999997</v>
      </c>
      <c r="H29" s="71">
        <v>175</v>
      </c>
      <c r="I29" s="54" t="s">
        <v>4</v>
      </c>
      <c r="J29" s="5">
        <f>VLOOKUP(I29,Log!$B$2:$C$8,2,)</f>
        <v>1</v>
      </c>
      <c r="K29" s="4">
        <v>35.24</v>
      </c>
      <c r="L29" s="132">
        <f>IF(OR(AND(I29="Motorbike",K29-K28&lt;Log!$C$13),AND(I29&lt;&gt;"Motorbike",K29-K28&lt;Log!$C$12)),0,IF(L28&lt;&gt;0,K29-K28,IF(L27=0,K29-K26,K29-K27)))</f>
        <v>2.1200000000000045</v>
      </c>
      <c r="M29" s="133">
        <f t="shared" si="5"/>
        <v>2.1200000000000045</v>
      </c>
      <c r="N29" s="13"/>
      <c r="O29" s="93">
        <v>136</v>
      </c>
      <c r="P29" s="54" t="s">
        <v>4</v>
      </c>
      <c r="Q29" s="5">
        <f>VLOOKUP(P29,Log!$B$2:$C$8,2,)</f>
        <v>1</v>
      </c>
      <c r="R29" s="4">
        <v>26.72</v>
      </c>
      <c r="S29" s="32">
        <f>IF(OR(AND(P29="Motorbike",R29-R28&lt;Log!$C$13),AND(P29&lt;&gt;"Motorbike",R29-R28&lt;Log!$C$12)),0,IF(S28&lt;&gt;0,R29-R28,IF(S27=0,R29-R26,R29-R27)))</f>
        <v>2.2799999999999976</v>
      </c>
      <c r="T29" s="32">
        <f t="shared" si="6"/>
        <v>2.2799999999999976</v>
      </c>
      <c r="W29" s="11"/>
    </row>
    <row r="30" spans="1:23" ht="15.75" thickBot="1" x14ac:dyDescent="0.3">
      <c r="A30" s="58">
        <v>166</v>
      </c>
      <c r="B30" s="54" t="s">
        <v>5</v>
      </c>
      <c r="C30" s="68">
        <f>VLOOKUP(B30,Log!$B$2:$C$8,2,)</f>
        <v>0.38</v>
      </c>
      <c r="D30" s="5">
        <v>29.64</v>
      </c>
      <c r="E30" s="32">
        <f>IF(OR(AND(B30="Motorbike",D30-D29&lt;Log!$C$13),AND(B30&lt;&gt;"Motorbike",D30-D29&lt;Log!$C$12)),0,IF(E29&lt;&gt;0,D30-D29,IF(E28=0,D30-D27,D30-D28)))</f>
        <v>0</v>
      </c>
      <c r="F30" s="104">
        <f t="shared" si="4"/>
        <v>0</v>
      </c>
      <c r="H30" s="64">
        <v>201</v>
      </c>
      <c r="I30" s="54" t="s">
        <v>4</v>
      </c>
      <c r="J30" s="5">
        <f>VLOOKUP(I30,Log!$B$2:$C$8,2,)</f>
        <v>1</v>
      </c>
      <c r="K30" s="4">
        <v>37.119999999999997</v>
      </c>
      <c r="L30" s="132">
        <f>IF(OR(AND(I30="Motorbike",K30-K29&lt;Log!$C$13),AND(I30&lt;&gt;"Motorbike",K30-K29&lt;Log!$C$12)),0,IF(L29&lt;&gt;0,K30-K29,IF(L28=0,K30-K27,K30-K28)))</f>
        <v>1.8799999999999955</v>
      </c>
      <c r="M30" s="134">
        <f t="shared" si="5"/>
        <v>1.8799999999999955</v>
      </c>
      <c r="N30" s="13"/>
      <c r="O30" s="93">
        <v>145</v>
      </c>
      <c r="P30" s="54" t="s">
        <v>6</v>
      </c>
      <c r="Q30" s="5">
        <f>VLOOKUP(P30,Log!$B$2:$C$8,2,)</f>
        <v>0.45</v>
      </c>
      <c r="R30" s="4">
        <v>29</v>
      </c>
      <c r="S30" s="32">
        <f>IF(OR(AND(P30="Motorbike",R30-R29&lt;Log!$C$13),AND(P30&lt;&gt;"Motorbike",R30-R29&lt;Log!$C$12)),0,IF(S29&lt;&gt;0,R30-R29,IF(S28=0,R30-R27,R30-R28)))</f>
        <v>2.2800000000000011</v>
      </c>
      <c r="T30" s="32">
        <f t="shared" si="6"/>
        <v>1.0260000000000005</v>
      </c>
      <c r="W30" s="11"/>
    </row>
    <row r="31" spans="1:23" ht="15.75" thickBot="1" x14ac:dyDescent="0.3">
      <c r="A31" s="58">
        <v>156</v>
      </c>
      <c r="B31" s="54" t="s">
        <v>4</v>
      </c>
      <c r="C31" s="68">
        <f>VLOOKUP(B31,Log!$B$2:$C$8,2,)</f>
        <v>1</v>
      </c>
      <c r="D31" s="5">
        <v>31.64</v>
      </c>
      <c r="E31" s="32">
        <f>IF(OR(AND(B31="Motorbike",D31-D30&lt;Log!$C$13),AND(B31&lt;&gt;"Motorbike",D31-D30&lt;Log!$C$12)),0,IF(E30&lt;&gt;0,D31-D30,IF(E29=0,D31-D28,D31-D29)))</f>
        <v>2.120000000000001</v>
      </c>
      <c r="F31" s="104">
        <f t="shared" si="4"/>
        <v>2.120000000000001</v>
      </c>
      <c r="N31" s="13"/>
      <c r="O31" s="58">
        <v>157</v>
      </c>
      <c r="P31" s="69" t="s">
        <v>5</v>
      </c>
      <c r="Q31" s="5">
        <f>VLOOKUP(P31,Log!$B$2:$C$8,2,)</f>
        <v>0.38</v>
      </c>
      <c r="R31" s="4">
        <v>30.12</v>
      </c>
      <c r="S31" s="32">
        <f>IF(OR(AND(P31="Motorbike",R31-R30&lt;Log!$C$13),AND(P31&lt;&gt;"Motorbike",R31-R30&lt;Log!$C$12)),0,IF(S30&lt;&gt;0,R31-R30,IF(S29=0,R31-R28,R31-R29)))</f>
        <v>1.120000000000001</v>
      </c>
      <c r="T31" s="32">
        <f t="shared" si="6"/>
        <v>1.3552000000000011</v>
      </c>
      <c r="W31" s="11"/>
    </row>
    <row r="32" spans="1:23" x14ac:dyDescent="0.25">
      <c r="A32" s="58">
        <v>186</v>
      </c>
      <c r="B32" s="54" t="s">
        <v>4</v>
      </c>
      <c r="C32" s="68">
        <f>VLOOKUP(B32,Log!$B$2:$C$8,2,)</f>
        <v>1</v>
      </c>
      <c r="D32" s="5">
        <v>34.520000000000003</v>
      </c>
      <c r="E32" s="32">
        <f>IF(OR(AND(B32="Motorbike",D32-D31&lt;Log!$C$13),AND(B32&lt;&gt;"Motorbike",D32-D31&lt;Log!$C$12)),0,IF(E31&lt;&gt;0,D32-D31,IF(E30=0,D32-D29,D32-D30)))</f>
        <v>2.8800000000000026</v>
      </c>
      <c r="F32" s="104">
        <f t="shared" si="4"/>
        <v>2.8800000000000026</v>
      </c>
      <c r="N32" s="13"/>
      <c r="O32" s="58">
        <v>169</v>
      </c>
      <c r="P32" s="85" t="s">
        <v>6</v>
      </c>
      <c r="Q32" s="68">
        <f>VLOOKUP(P32,Log!$B$2:$C$8,2,)</f>
        <v>0.45</v>
      </c>
      <c r="R32" s="4">
        <v>30.8</v>
      </c>
      <c r="S32" s="32">
        <f>IF(OR(AND(P32="Motorbike",R32-R31&lt;Log!$C$13),AND(P32&lt;&gt;"Motorbike",R32-R31&lt;Log!$C$12)),0,IF(S31&lt;&gt;0,R32-R31,IF(S30=0,R32-R29,R32-R30)))</f>
        <v>0</v>
      </c>
      <c r="T32" s="32">
        <f t="shared" si="6"/>
        <v>0</v>
      </c>
      <c r="W32" s="11"/>
    </row>
    <row r="33" spans="1:23" ht="15.75" thickBot="1" x14ac:dyDescent="0.3">
      <c r="A33" s="59">
        <v>200</v>
      </c>
      <c r="B33" s="54" t="s">
        <v>5</v>
      </c>
      <c r="C33" s="68">
        <f>VLOOKUP(B33,Log!$B$2:$C$8,2,)</f>
        <v>0.38</v>
      </c>
      <c r="D33" s="5">
        <v>36.200000000000003</v>
      </c>
      <c r="E33" s="32">
        <f>IF(OR(AND(B33="Motorbike",D33-D32&lt;Log!$C$13),AND(B33&lt;&gt;"Motorbike",D33-D32&lt;Log!$C$12)),0,IF(E32&lt;&gt;0,D33-D32,IF(E31=0,D33-D30,D33-D31)))</f>
        <v>1.6799999999999997</v>
      </c>
      <c r="F33" s="104">
        <f t="shared" si="4"/>
        <v>0.63839999999999986</v>
      </c>
      <c r="N33" s="13"/>
      <c r="O33" s="58">
        <v>188</v>
      </c>
      <c r="P33" s="86" t="s">
        <v>5</v>
      </c>
      <c r="Q33" s="68">
        <f>VLOOKUP(P33,Log!$B$2:$C$8,2,)</f>
        <v>0.38</v>
      </c>
      <c r="R33" s="4">
        <v>31</v>
      </c>
      <c r="S33" s="32">
        <f>IF(OR(AND(P33="Motorbike",R33-R32&lt;Log!$C$13),AND(P33&lt;&gt;"Motorbike",R33-R32&lt;Log!$C$12)),0,IF(S32&lt;&gt;0,R33-R32,IF(S31=0,R33-R30,R33-R31)))</f>
        <v>0</v>
      </c>
      <c r="T33" s="32">
        <f t="shared" si="6"/>
        <v>0</v>
      </c>
      <c r="W33" s="11"/>
    </row>
    <row r="34" spans="1:23" x14ac:dyDescent="0.25">
      <c r="A34" s="56">
        <v>227</v>
      </c>
      <c r="B34" s="4" t="s">
        <v>6</v>
      </c>
      <c r="C34" s="68">
        <f>VLOOKUP(B34,Log!$B$2:$C$8,2,)</f>
        <v>0.45</v>
      </c>
      <c r="D34" s="5">
        <v>37.72</v>
      </c>
      <c r="E34" s="32">
        <f>IF(OR(AND(B34="Motorbike",D34-D33&lt;Log!$C$13),AND(B34&lt;&gt;"Motorbike",D34-D33&lt;Log!$C$12)),0,IF(E33&lt;&gt;0,D34-D33,IF(E32=0,D34-D31,D34-D32)))</f>
        <v>1.519999999999996</v>
      </c>
      <c r="F34" s="32">
        <f t="shared" si="4"/>
        <v>1.2615999999999967</v>
      </c>
      <c r="H34" s="50"/>
      <c r="I34" s="51"/>
      <c r="J34" s="13"/>
      <c r="L34" s="52"/>
      <c r="M34" s="52"/>
      <c r="N34" s="13"/>
      <c r="O34" s="58">
        <v>199</v>
      </c>
      <c r="P34" s="70" t="s">
        <v>5</v>
      </c>
      <c r="Q34" s="5">
        <f>VLOOKUP(P34,Log!$B$2:$C$8,2,)</f>
        <v>0.38</v>
      </c>
      <c r="R34" s="4">
        <v>31.92</v>
      </c>
      <c r="S34" s="32">
        <f>IF(OR(AND(P34="Motorbike",R34-R33&lt;Log!$C$13),AND(P34&lt;&gt;"Motorbike",R34-R33&lt;Log!$C$12)),0,IF(S33&lt;&gt;0,R34-R33,IF(S32=0,R34-R31,R34-R32)))</f>
        <v>1.8000000000000007</v>
      </c>
      <c r="T34" s="32">
        <f t="shared" si="6"/>
        <v>1.4940000000000007</v>
      </c>
      <c r="W34" s="11"/>
    </row>
    <row r="35" spans="1:23" x14ac:dyDescent="0.25">
      <c r="A35" s="4">
        <v>210</v>
      </c>
      <c r="B35" s="4" t="s">
        <v>5</v>
      </c>
      <c r="C35" s="68">
        <f>VLOOKUP(B35,Log!$B$2:$C$8,2,)</f>
        <v>0.38</v>
      </c>
      <c r="D35" s="5">
        <v>38</v>
      </c>
      <c r="E35" s="32">
        <f>IF(OR(AND(B35="Motorbike",D35-D34&lt;Log!$C$13),AND(B35&lt;&gt;"Motorbike",D35-D34&lt;Log!$C$12)),0,IF(E34&lt;&gt;0,D35-D34,IF(E33=0,D35-D32,D35-D33)))</f>
        <v>0</v>
      </c>
      <c r="F35" s="32">
        <f t="shared" si="4"/>
        <v>0</v>
      </c>
      <c r="H35" s="53"/>
      <c r="J35" s="13"/>
      <c r="L35" s="52"/>
      <c r="M35" s="52"/>
      <c r="O35" s="58">
        <v>178</v>
      </c>
      <c r="P35" s="54" t="s">
        <v>6</v>
      </c>
      <c r="Q35" s="5">
        <f>VLOOKUP(P35,Log!$B$2:$C$8,2,)</f>
        <v>0.45</v>
      </c>
      <c r="R35" s="4">
        <v>32.840000000000003</v>
      </c>
      <c r="S35" s="32">
        <f>IF(OR(AND(P35="Motorbike",R35-R34&lt;Log!$C$13),AND(P35&lt;&gt;"Motorbike",R35-R34&lt;Log!$C$12)),0,IF(S34&lt;&gt;0,R35-R34,IF(S33=0,R35-R32,R35-R33)))</f>
        <v>0</v>
      </c>
      <c r="T35" s="32">
        <f t="shared" si="6"/>
        <v>0</v>
      </c>
      <c r="W35" s="11"/>
    </row>
    <row r="36" spans="1:23" ht="15.75" thickBot="1" x14ac:dyDescent="0.3">
      <c r="H36" s="53"/>
      <c r="J36" s="13"/>
      <c r="L36" s="52"/>
      <c r="M36" s="52"/>
      <c r="O36" s="59">
        <v>155</v>
      </c>
      <c r="P36" s="54" t="s">
        <v>4</v>
      </c>
      <c r="Q36" s="5">
        <f>VLOOKUP(P36,Log!$B$2:$C$8,2,)</f>
        <v>1</v>
      </c>
      <c r="R36" s="4">
        <v>34.200000000000003</v>
      </c>
      <c r="S36" s="32">
        <f>IF(OR(AND(P36="Motorbike",R36-R35&lt;Log!$C$13),AND(P36&lt;&gt;"Motorbike",R36-R35&lt;Log!$C$12)),0,IF(S35&lt;&gt;0,R36-R35,IF(S34=0,R36-R33,R36-R34)))</f>
        <v>2.2800000000000011</v>
      </c>
      <c r="T36" s="32">
        <f t="shared" si="6"/>
        <v>2.2800000000000011</v>
      </c>
      <c r="W36" s="11"/>
    </row>
    <row r="37" spans="1:23" x14ac:dyDescent="0.25">
      <c r="H37" s="53"/>
      <c r="J37" s="13"/>
      <c r="L37" s="52"/>
      <c r="M37" s="52"/>
      <c r="O37" s="56">
        <v>233</v>
      </c>
      <c r="P37" s="4" t="s">
        <v>5</v>
      </c>
      <c r="Q37" s="5">
        <f>VLOOKUP(P37,Log!$B$2:$C$8,2,)</f>
        <v>0.38</v>
      </c>
      <c r="R37" s="4">
        <v>34.72</v>
      </c>
      <c r="S37" s="32">
        <f>IF(OR(AND(P37="Motorbike",R37-R36&lt;Log!$C$13),AND(P37&lt;&gt;"Motorbike",R37-R36&lt;Log!$C$12)),0,IF(S36&lt;&gt;0,R37-R36,IF(S35=0,R37-R34,R37-R35)))</f>
        <v>0.51999999999999602</v>
      </c>
      <c r="T37" s="32">
        <f t="shared" si="6"/>
        <v>0.1975999999999985</v>
      </c>
      <c r="W37" s="11"/>
    </row>
    <row r="38" spans="1:23" x14ac:dyDescent="0.25">
      <c r="O38" s="4">
        <v>237</v>
      </c>
      <c r="P38" s="4" t="s">
        <v>5</v>
      </c>
      <c r="Q38" s="5">
        <f>VLOOKUP(P38,Log!$B$2:$C$8,2,)</f>
        <v>0.38</v>
      </c>
      <c r="R38" s="4">
        <v>37.119999999999997</v>
      </c>
      <c r="S38" s="32">
        <f>IF(OR(AND(P38="Motorbike",R38-R37&lt;Log!$C$13),AND(P38&lt;&gt;"Motorbike",R38-R37&lt;Log!$C$12)),0,IF(S37&lt;&gt;0,R38-R37,IF(S36=0,R38-R35,R38-R36)))</f>
        <v>2.3999999999999986</v>
      </c>
      <c r="T38" s="32">
        <f t="shared" si="6"/>
        <v>0.91199999999999948</v>
      </c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>
        <f>AVERAGE(S31:S35)</f>
        <v>0.5840000000000003</v>
      </c>
      <c r="T52" s="9">
        <f>AVERAGE(T31:T35)</f>
        <v>0.56984000000000035</v>
      </c>
    </row>
    <row r="53" spans="19:20" x14ac:dyDescent="0.25">
      <c r="S53" s="10">
        <f>3600/S52</f>
        <v>6164.3835616438328</v>
      </c>
      <c r="T53" s="10">
        <f>3600/T52</f>
        <v>6317.5628246525303</v>
      </c>
    </row>
  </sheetData>
  <mergeCells count="4">
    <mergeCell ref="C1:D1"/>
    <mergeCell ref="A11:F11"/>
    <mergeCell ref="H11:M11"/>
    <mergeCell ref="O11:T11"/>
  </mergeCells>
  <conditionalFormatting sqref="E14:E35 S14:S38">
    <cfRule type="cellIs" dxfId="102" priority="20" operator="greaterThanOrEqual">
      <formula>4</formula>
    </cfRule>
  </conditionalFormatting>
  <conditionalFormatting sqref="E13:F13 T14:T38">
    <cfRule type="cellIs" dxfId="101" priority="43" operator="greaterThan">
      <formula>4</formula>
    </cfRule>
  </conditionalFormatting>
  <conditionalFormatting sqref="F14:F35">
    <cfRule type="cellIs" dxfId="100" priority="22" operator="greaterThan">
      <formula>4</formula>
    </cfRule>
  </conditionalFormatting>
  <conditionalFormatting sqref="L15:L30">
    <cfRule type="cellIs" dxfId="99" priority="13" operator="greaterThanOrEqual">
      <formula>4</formula>
    </cfRule>
  </conditionalFormatting>
  <conditionalFormatting sqref="L13:M13">
    <cfRule type="cellIs" dxfId="98" priority="39" operator="greaterThan">
      <formula>4</formula>
    </cfRule>
  </conditionalFormatting>
  <conditionalFormatting sqref="L34:M37">
    <cfRule type="cellIs" dxfId="97" priority="48" operator="greaterThan">
      <formula>4</formula>
    </cfRule>
  </conditionalFormatting>
  <conditionalFormatting sqref="M14:M30">
    <cfRule type="cellIs" dxfId="96" priority="15" operator="greaterThan">
      <formula>4</formula>
    </cfRule>
  </conditionalFormatting>
  <conditionalFormatting sqref="S13:T13">
    <cfRule type="cellIs" dxfId="95" priority="36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9" id="{C9E2B8DD-9651-4861-85DC-D93DE75FA395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S14:S38 E14:E35</xm:sqref>
        </x14:conditionalFormatting>
        <x14:conditionalFormatting xmlns:xm="http://schemas.microsoft.com/office/excel/2006/main">
          <x14:cfRule type="expression" priority="21" id="{C3CAC2FC-23AB-45A7-B5D8-99461D826B8F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E14:E35 S14:S38</xm:sqref>
        </x14:conditionalFormatting>
        <x14:conditionalFormatting xmlns:xm="http://schemas.microsoft.com/office/excel/2006/main">
          <x14:cfRule type="expression" priority="12" id="{A46E34AE-A0E0-41EE-94BE-812F04B8FDCE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4" id="{31A42CEB-0E97-4363-B422-F2EF6DC2693A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550D-9635-4B6F-88E9-D1F6B65E9AEB}">
  <sheetPr codeName="Sheet9"/>
  <dimension ref="A1:W53"/>
  <sheetViews>
    <sheetView topLeftCell="A25" workbookViewId="0">
      <selection activeCell="I21" sqref="I21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44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17.880000000000003</v>
      </c>
      <c r="M2" s="17">
        <f>SUM(M20:M28)</f>
        <v>17.922400000000003</v>
      </c>
      <c r="R2" s="4" t="s">
        <v>12</v>
      </c>
      <c r="S2" s="8">
        <f>SUM(S25:S27)</f>
        <v>6.3999999999999986</v>
      </c>
      <c r="T2" s="8">
        <f>SUM(T25:T27)</f>
        <v>5.3659999999999988</v>
      </c>
    </row>
    <row r="3" spans="1:20" x14ac:dyDescent="0.25">
      <c r="K3" s="4" t="s">
        <v>13</v>
      </c>
      <c r="L3" s="18">
        <f>AVERAGE(L24:L26)</f>
        <v>1.8399999999999999</v>
      </c>
      <c r="M3" s="65">
        <f>AVERAGE(M21:M26)</f>
        <v>1.9937333333333331</v>
      </c>
      <c r="R3" s="4" t="s">
        <v>13</v>
      </c>
      <c r="S3" s="9">
        <f>AVERAGE(S25:S27)</f>
        <v>2.1333333333333329</v>
      </c>
      <c r="T3" s="9">
        <f>AVERAGE(T23:T32)</f>
        <v>2.2208571428571431</v>
      </c>
    </row>
    <row r="4" spans="1:20" x14ac:dyDescent="0.25">
      <c r="A4" s="4" t="s">
        <v>4</v>
      </c>
      <c r="B4" s="128">
        <f>100*COUNTIF($B$13:$B$28,A4)/COUNTA($B$13:$B$28)</f>
        <v>56.25</v>
      </c>
      <c r="H4" s="4" t="s">
        <v>4</v>
      </c>
      <c r="I4" s="128">
        <f>100*COUNTIF($I$13:$I$20,H4)/COUNTA($I$13:$I$20)</f>
        <v>100</v>
      </c>
      <c r="K4" s="4" t="s">
        <v>1</v>
      </c>
      <c r="L4" s="21">
        <f>3600/L3</f>
        <v>1956.521739130435</v>
      </c>
      <c r="M4" s="66">
        <f>3600/M3</f>
        <v>1805.6577275463119</v>
      </c>
      <c r="O4" s="4" t="s">
        <v>4</v>
      </c>
      <c r="P4" s="128">
        <f>100*COUNTIF($P$13:$P$25,O4)/COUNTA($P$13:$P$25)</f>
        <v>84.615384615384613</v>
      </c>
      <c r="R4" s="4" t="s">
        <v>1</v>
      </c>
      <c r="S4" s="10">
        <f>3600/S3</f>
        <v>1687.5000000000005</v>
      </c>
      <c r="T4" s="10">
        <f>3600/T3</f>
        <v>1620.9957545349284</v>
      </c>
    </row>
    <row r="5" spans="1:20" x14ac:dyDescent="0.25">
      <c r="A5" s="4" t="s">
        <v>6</v>
      </c>
      <c r="B5" s="128">
        <f t="shared" ref="B5:B9" si="0">100*COUNTIF($B$13:$B$28,A5)/COUNTA($B$13:$B$28)</f>
        <v>18.75</v>
      </c>
      <c r="H5" s="4" t="s">
        <v>6</v>
      </c>
      <c r="I5" s="128">
        <f t="shared" ref="I5:I9" si="1">100*COUNTIF($I$13:$I$20,H5)/COUNTA($I$13:$I$20)</f>
        <v>0</v>
      </c>
      <c r="O5" s="4" t="s">
        <v>6</v>
      </c>
      <c r="P5" s="128">
        <f t="shared" ref="P5:P9" si="2">100*COUNTIF($P$13:$P$25,O5)/COUNTA($P$13:$P$25)</f>
        <v>7.6923076923076925</v>
      </c>
    </row>
    <row r="6" spans="1:20" x14ac:dyDescent="0.25">
      <c r="A6" s="4" t="s">
        <v>5</v>
      </c>
      <c r="B6" s="128">
        <f t="shared" si="0"/>
        <v>25</v>
      </c>
      <c r="E6" s="27" t="s">
        <v>22</v>
      </c>
      <c r="F6" s="27" t="s">
        <v>21</v>
      </c>
      <c r="H6" s="4" t="s">
        <v>5</v>
      </c>
      <c r="I6" s="128">
        <f t="shared" si="1"/>
        <v>0</v>
      </c>
      <c r="L6" s="27" t="s">
        <v>22</v>
      </c>
      <c r="M6" s="27" t="s">
        <v>21</v>
      </c>
      <c r="O6" s="4" t="s">
        <v>5</v>
      </c>
      <c r="P6" s="128">
        <f t="shared" si="2"/>
        <v>7.6923076923076925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30.84</v>
      </c>
      <c r="F7" s="23">
        <f>SUM(F19:F30)</f>
        <v>21.178799999999999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29.4</v>
      </c>
      <c r="M7" s="23">
        <f>SUM(M14:M37)</f>
        <v>28.232399999999998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17.48</v>
      </c>
      <c r="T7" s="23">
        <f>SUM(T13:T23)</f>
        <v>15.8368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AVERAGEIF(E14:E31,"&lt;&gt;0")</f>
        <v>2.1146666666666665</v>
      </c>
      <c r="F8" s="26">
        <f>AVERAGEIF(F14:F28,"&lt;&gt;0")</f>
        <v>1.8834333333333337</v>
      </c>
      <c r="H8" s="4" t="s">
        <v>7</v>
      </c>
      <c r="I8" s="128">
        <f t="shared" si="1"/>
        <v>0</v>
      </c>
      <c r="K8" s="28" t="s">
        <v>13</v>
      </c>
      <c r="L8" s="26">
        <f>AVERAGEIF(L14:L29,"&lt;&gt;0")</f>
        <v>1.8374999999999999</v>
      </c>
      <c r="M8" s="26">
        <f>AVERAGEIF(M14:M20,"&lt;&gt;0")</f>
        <v>1.6285714285714286</v>
      </c>
      <c r="O8" s="4" t="s">
        <v>7</v>
      </c>
      <c r="P8" s="128">
        <f t="shared" si="2"/>
        <v>0</v>
      </c>
      <c r="R8" s="28" t="s">
        <v>13</v>
      </c>
      <c r="S8" s="26">
        <f>AVERAGEIF(S14:S28,"&lt;&gt;0")</f>
        <v>1.7866666666666666</v>
      </c>
      <c r="T8" s="26">
        <f>AVERAGEIF(T14:T28,"&lt;&gt;0")</f>
        <v>1.5671200000000001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1702.3959646910469</v>
      </c>
      <c r="F9" s="29">
        <f>3600/F8</f>
        <v>1911.4029343574673</v>
      </c>
      <c r="H9" s="4" t="s">
        <v>23</v>
      </c>
      <c r="I9" s="128">
        <f t="shared" si="1"/>
        <v>0</v>
      </c>
      <c r="K9" s="28" t="s">
        <v>1</v>
      </c>
      <c r="L9" s="25">
        <f>3600/L8</f>
        <v>1959.1836734693879</v>
      </c>
      <c r="M9" s="29">
        <f>3600/M8</f>
        <v>2210.5263157894738</v>
      </c>
      <c r="O9" s="4" t="s">
        <v>23</v>
      </c>
      <c r="P9" s="128">
        <f t="shared" si="2"/>
        <v>0</v>
      </c>
      <c r="R9" s="28" t="s">
        <v>1</v>
      </c>
      <c r="S9" s="25">
        <f>3600/S8</f>
        <v>2014.9253731343283</v>
      </c>
      <c r="T9" s="29">
        <f>3600/T8</f>
        <v>2297.2076165194753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55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09">
        <v>7</v>
      </c>
      <c r="B13" s="110" t="s">
        <v>6</v>
      </c>
      <c r="C13" s="116">
        <f>VLOOKUP(B13,Log!$B$2:$C$8,2,)</f>
        <v>0.45</v>
      </c>
      <c r="D13" s="112">
        <v>0.4</v>
      </c>
      <c r="E13" s="114">
        <v>0</v>
      </c>
      <c r="F13" s="114">
        <v>0</v>
      </c>
      <c r="H13" s="109">
        <v>4</v>
      </c>
      <c r="I13" s="145" t="s">
        <v>4</v>
      </c>
      <c r="J13" s="116">
        <f>VLOOKUP(I13,Log!$B$2:$C$8,2,)</f>
        <v>1</v>
      </c>
      <c r="K13" s="113">
        <v>0.4</v>
      </c>
      <c r="L13" s="114">
        <v>0</v>
      </c>
      <c r="M13" s="114">
        <v>0</v>
      </c>
      <c r="N13" s="13"/>
      <c r="O13" s="109">
        <v>3</v>
      </c>
      <c r="P13" s="110" t="s">
        <v>4</v>
      </c>
      <c r="Q13" s="116">
        <f>VLOOKUP(P13,Log!$B$2:$C$8,2,)</f>
        <v>1</v>
      </c>
      <c r="R13" s="113">
        <v>0.72</v>
      </c>
      <c r="S13" s="114">
        <v>0</v>
      </c>
      <c r="T13" s="114">
        <v>0</v>
      </c>
    </row>
    <row r="14" spans="1:20" ht="15.75" thickBot="1" x14ac:dyDescent="0.3">
      <c r="A14" s="58">
        <v>9</v>
      </c>
      <c r="B14" s="54" t="s">
        <v>5</v>
      </c>
      <c r="C14" s="68">
        <f>VLOOKUP(B14,Log!$B$2:$C$8,2,)</f>
        <v>0.38</v>
      </c>
      <c r="D14" s="5">
        <v>1.72</v>
      </c>
      <c r="E14" s="105">
        <f>IF(OR(AND(B14="Motorbike",D14-D13&lt;Log!$C$13),AND(B14&lt;&gt;"Motorbike",D14-D13&lt;Log!$C$12)),0,D14-D13)</f>
        <v>1.3199999999999998</v>
      </c>
      <c r="F14" s="104">
        <f>IF(E15&lt;&gt;0,C14*E14,IF(E16=0,(C14+C15+C16)*E14,(C14+C15)*E14))</f>
        <v>0.50159999999999993</v>
      </c>
      <c r="H14" s="71">
        <v>3</v>
      </c>
      <c r="I14" s="89" t="s">
        <v>4</v>
      </c>
      <c r="J14" s="68">
        <f>VLOOKUP(I14,Log!$B$2:$C$8,2,)</f>
        <v>1</v>
      </c>
      <c r="K14" s="4">
        <v>0.52</v>
      </c>
      <c r="L14" s="32">
        <f>K14-K13</f>
        <v>0.12</v>
      </c>
      <c r="M14" s="104">
        <f>IF(L15&lt;&gt;0,J14*L14,IF(L16=0,(J14+J15+J16)*L14,(J14+J15)*L14))</f>
        <v>0.12</v>
      </c>
      <c r="N14" s="13"/>
      <c r="O14" s="71">
        <v>5</v>
      </c>
      <c r="P14" s="60" t="s">
        <v>4</v>
      </c>
      <c r="Q14" s="68">
        <f>VLOOKUP(P14,Log!$B$2:$C$8,2,)</f>
        <v>1</v>
      </c>
      <c r="R14" s="4">
        <v>3.04</v>
      </c>
      <c r="S14" s="32">
        <f>IF(OR(AND(P14="Motorbike",R14-R13&lt;Log!$C$13),AND(P14&lt;&gt;"Motorbike",R14-R13&lt;Log!$C$12)),0,R14-R13)</f>
        <v>2.3200000000000003</v>
      </c>
      <c r="T14" s="104">
        <f>IF(S15&lt;&gt;0,Q14*S14,IF(S16=0,(Q14+Q15+Q16)*S14,(Q14+Q15)*S14))</f>
        <v>2.3200000000000003</v>
      </c>
    </row>
    <row r="15" spans="1:20" ht="15.75" thickBot="1" x14ac:dyDescent="0.3">
      <c r="A15" s="58">
        <v>8</v>
      </c>
      <c r="B15" s="54" t="s">
        <v>4</v>
      </c>
      <c r="C15" s="68">
        <f>VLOOKUP(B15,Log!$B$2:$C$8,2,)</f>
        <v>1</v>
      </c>
      <c r="D15" s="40">
        <v>2.6</v>
      </c>
      <c r="E15" s="106">
        <f>D15-D14</f>
        <v>0.88000000000000012</v>
      </c>
      <c r="F15" s="107">
        <f t="shared" ref="F15:F31" si="3">IF(E16&lt;&gt;0,C15*E15,IF(E17=0,(C15+C16+C17)*E15,(C15+C16)*E15))</f>
        <v>1.7600000000000002</v>
      </c>
      <c r="H15" s="71">
        <v>5</v>
      </c>
      <c r="I15" s="75" t="s">
        <v>4</v>
      </c>
      <c r="J15" s="68">
        <f>VLOOKUP(I15,Log!$B$2:$C$8,2,)</f>
        <v>1</v>
      </c>
      <c r="K15" s="4">
        <v>2.84</v>
      </c>
      <c r="L15" s="32">
        <f>IF(OR(AND(I15="Motorbike",K15-K14&lt;Log!$C$13),AND(I15&lt;&gt;"Motorbike",K15-K14&lt;Log!$C$12)),0,K15-K14)</f>
        <v>2.3199999999999998</v>
      </c>
      <c r="M15" s="104">
        <f t="shared" ref="M15:M29" si="4">IF(L16&lt;&gt;0,J15*L15,IF(L17=0,(J15+J16+J17)*L15,(J15+J16)*L15))</f>
        <v>2.3199999999999998</v>
      </c>
      <c r="N15" s="13"/>
      <c r="O15" s="71">
        <v>12</v>
      </c>
      <c r="P15" s="54" t="s">
        <v>5</v>
      </c>
      <c r="Q15" s="68">
        <f>VLOOKUP(P15,Log!$B$2:$C$8,2,)</f>
        <v>0.38</v>
      </c>
      <c r="R15" s="4">
        <v>4.2</v>
      </c>
      <c r="S15" s="32">
        <f>IF(OR(AND(P15="Motorbike",R15-R14&lt;Log!$C$13),AND(P15&lt;&gt;"Motorbike",R15-R14&lt;Log!$C$12)),0,R15-R14)</f>
        <v>1.1600000000000001</v>
      </c>
      <c r="T15" s="104">
        <f t="shared" ref="T15:T29" si="5">IF(S16&lt;&gt;0,Q15*S15,IF(S17=0,(Q15+Q16+Q17)*S15,(Q15+Q16)*S15))</f>
        <v>0.44080000000000008</v>
      </c>
    </row>
    <row r="16" spans="1:20" x14ac:dyDescent="0.25">
      <c r="A16" s="58">
        <v>24</v>
      </c>
      <c r="B16" s="54" t="s">
        <v>4</v>
      </c>
      <c r="C16" s="68">
        <f>VLOOKUP(B16,Log!$B$2:$C$8,2,)</f>
        <v>1</v>
      </c>
      <c r="D16" s="5">
        <v>3.24</v>
      </c>
      <c r="E16" s="103">
        <f>IF(OR(AND(B16="Motorbike",D16-D15&lt;Log!$C$13),AND(B16&lt;&gt;"Motorbike",D16-D15&lt;Log!$C$12)),0,IF(E15&lt;&gt;0,D16-D15,IF(E14=0,D16-D13,D16-D14)))</f>
        <v>0</v>
      </c>
      <c r="F16" s="104">
        <f t="shared" si="3"/>
        <v>0</v>
      </c>
      <c r="H16" s="71">
        <v>11</v>
      </c>
      <c r="I16" s="60" t="s">
        <v>4</v>
      </c>
      <c r="J16" s="68">
        <f>VLOOKUP(I16,Log!$B$2:$C$8,2,)</f>
        <v>1</v>
      </c>
      <c r="K16" s="4">
        <v>4.84</v>
      </c>
      <c r="L16" s="32">
        <f>IF(OR(AND(I16="Motorbike",K16-K15&lt;Log!$C$13),AND(I16&lt;&gt;"Motorbike",K16-K15&lt;Log!$C$12)),0,IF(L15&lt;&gt;0,K16-K15,IF(L14=0,K16-K13,K16-K14)))</f>
        <v>2</v>
      </c>
      <c r="M16" s="104">
        <f t="shared" si="4"/>
        <v>2</v>
      </c>
      <c r="N16" s="13"/>
      <c r="O16" s="58">
        <v>11</v>
      </c>
      <c r="P16" s="54" t="s">
        <v>4</v>
      </c>
      <c r="Q16" s="68">
        <f>VLOOKUP(P16,Log!$B$2:$C$8,2,)</f>
        <v>1</v>
      </c>
      <c r="R16" s="4">
        <v>5.2</v>
      </c>
      <c r="S16" s="32">
        <f>IF(OR(AND(P16="Motorbike",R16-R15&lt;Log!$C$13),AND(P16&lt;&gt;"Motorbike",R16-R15&lt;Log!$C$12)),0,IF(S15&lt;&gt;0,R16-R15,IF(S14=0,R16-R13,R16-R14)))</f>
        <v>1</v>
      </c>
      <c r="T16" s="104">
        <f t="shared" si="5"/>
        <v>1</v>
      </c>
    </row>
    <row r="17" spans="1:23" x14ac:dyDescent="0.25">
      <c r="A17" s="58">
        <v>17</v>
      </c>
      <c r="B17" s="54" t="s">
        <v>4</v>
      </c>
      <c r="C17" s="68">
        <f>VLOOKUP(B17,Log!$B$2:$C$8,2,)</f>
        <v>1</v>
      </c>
      <c r="D17" s="5">
        <v>4.4400000000000004</v>
      </c>
      <c r="E17" s="32">
        <f>IF(OR(AND(B17="Motorbike",D17-D16&lt;Log!$C$13),AND(B17&lt;&gt;"Motorbike",D17-D16&lt;Log!$C$12)),0,IF(E16&lt;&gt;0,D17-D16,IF(E15=0,D17-D14,D17-D15)))</f>
        <v>1.8400000000000003</v>
      </c>
      <c r="F17" s="104">
        <f t="shared" si="3"/>
        <v>3.6800000000000006</v>
      </c>
      <c r="H17" s="71">
        <v>31</v>
      </c>
      <c r="I17" s="54" t="s">
        <v>4</v>
      </c>
      <c r="J17" s="68">
        <f>VLOOKUP(I17,Log!$B$2:$C$8,2,)</f>
        <v>1</v>
      </c>
      <c r="K17" s="4">
        <v>6.12</v>
      </c>
      <c r="L17" s="32">
        <f>IF(OR(AND(I17="Motorbike",K17-K16&lt;Log!$C$13),AND(I17&lt;&gt;"Motorbike",K17-K16&lt;Log!$C$12)),0,IF(L16&lt;&gt;0,K17-K16,IF(L15=0,K17-K14,K17-K15)))</f>
        <v>1.2800000000000002</v>
      </c>
      <c r="M17" s="104">
        <f t="shared" si="4"/>
        <v>1.2800000000000002</v>
      </c>
      <c r="N17" s="13"/>
      <c r="O17" s="58">
        <v>38</v>
      </c>
      <c r="P17" s="54" t="s">
        <v>4</v>
      </c>
      <c r="Q17" s="68">
        <f>VLOOKUP(P17,Log!$B$2:$C$8,2,)</f>
        <v>1</v>
      </c>
      <c r="R17" s="4">
        <v>7.2</v>
      </c>
      <c r="S17" s="32">
        <f>IF(OR(AND(P17="Motorbike",R17-R16&lt;Log!$C$13),AND(P17&lt;&gt;"Motorbike",R17-R16&lt;Log!$C$12)),0,IF(S16&lt;&gt;0,R17-R16,IF(S15=0,R17-R14,R17-R15)))</f>
        <v>2</v>
      </c>
      <c r="T17" s="104">
        <f t="shared" si="5"/>
        <v>2</v>
      </c>
    </row>
    <row r="18" spans="1:23" x14ac:dyDescent="0.25">
      <c r="A18" s="58">
        <v>13</v>
      </c>
      <c r="B18" s="54" t="s">
        <v>4</v>
      </c>
      <c r="C18" s="68">
        <f>VLOOKUP(B18,Log!$B$2:$C$8,2,)</f>
        <v>1</v>
      </c>
      <c r="D18" s="5">
        <v>5.12</v>
      </c>
      <c r="E18" s="32">
        <f>IF(OR(AND(B18="Motorbike",D18-D17&lt;Log!$C$13),AND(B18&lt;&gt;"Motorbike",D18-D17&lt;Log!$C$12)),0,IF(E17&lt;&gt;0,D18-D17,IF(E16=0,D18-D15,D18-D16)))</f>
        <v>0</v>
      </c>
      <c r="F18" s="104">
        <f t="shared" si="3"/>
        <v>0</v>
      </c>
      <c r="H18" s="71">
        <v>38</v>
      </c>
      <c r="I18" s="54" t="s">
        <v>4</v>
      </c>
      <c r="J18" s="68">
        <f>VLOOKUP(I18,Log!$B$2:$C$8,2,)</f>
        <v>1</v>
      </c>
      <c r="K18" s="4">
        <v>7.2</v>
      </c>
      <c r="L18" s="32">
        <f>IF(OR(AND(I18="Motorbike",K18-K17&lt;Log!$C$13),AND(I18&lt;&gt;"Motorbike",K18-K17&lt;Log!$C$12)),0,IF(L17&lt;&gt;0,K18-K17,IF(L16=0,K18-K15,K18-K16)))</f>
        <v>1.08</v>
      </c>
      <c r="M18" s="104">
        <f t="shared" si="4"/>
        <v>1.08</v>
      </c>
      <c r="N18" s="13"/>
      <c r="O18" s="58">
        <v>43</v>
      </c>
      <c r="P18" s="54" t="s">
        <v>4</v>
      </c>
      <c r="Q18" s="68">
        <f>VLOOKUP(P18,Log!$B$2:$C$8,2,)</f>
        <v>1</v>
      </c>
      <c r="R18" s="4">
        <v>9</v>
      </c>
      <c r="S18" s="32">
        <f>IF(OR(AND(P18="Motorbike",R18-R17&lt;Log!$C$13),AND(P18&lt;&gt;"Motorbike",R18-R17&lt;Log!$C$12)),0,IF(S17&lt;&gt;0,R18-R17,IF(S16=0,R18-R15,R18-R16)))</f>
        <v>1.7999999999999998</v>
      </c>
      <c r="T18" s="104">
        <f t="shared" si="5"/>
        <v>1.7999999999999998</v>
      </c>
    </row>
    <row r="19" spans="1:23" x14ac:dyDescent="0.25">
      <c r="A19" s="58">
        <v>16</v>
      </c>
      <c r="B19" s="54" t="s">
        <v>4</v>
      </c>
      <c r="C19" s="68">
        <f>VLOOKUP(B19,Log!$B$2:$C$8,2,)</f>
        <v>1</v>
      </c>
      <c r="D19" s="5">
        <v>8</v>
      </c>
      <c r="E19" s="32">
        <f>IF(OR(AND(B19="Motorbike",D19-D18&lt;Log!$C$13),AND(B19&lt;&gt;"Motorbike",D19-D18&lt;Log!$C$12)),0,IF(E18&lt;&gt;0,D19-D18,IF(E17=0,D19-D16,D19-D17)))</f>
        <v>3.5599999999999996</v>
      </c>
      <c r="F19" s="104">
        <f t="shared" si="3"/>
        <v>3.5599999999999996</v>
      </c>
      <c r="H19" s="71">
        <v>32</v>
      </c>
      <c r="I19" s="54" t="s">
        <v>4</v>
      </c>
      <c r="J19" s="68">
        <f>VLOOKUP(I19,Log!$B$2:$C$8,2,)</f>
        <v>1</v>
      </c>
      <c r="K19" s="4">
        <v>9.7200000000000006</v>
      </c>
      <c r="L19" s="32">
        <f>IF(OR(AND(I19="Motorbike",K19-K18&lt;Log!$C$13),AND(I19&lt;&gt;"Motorbike",K19-K18&lt;Log!$C$12)),0,IF(L18&lt;&gt;0,K19-K18,IF(L17=0,K19-K16,K19-K17)))</f>
        <v>2.5200000000000005</v>
      </c>
      <c r="M19" s="104">
        <f t="shared" si="4"/>
        <v>2.5200000000000005</v>
      </c>
      <c r="N19" s="13"/>
      <c r="O19" s="58">
        <v>60</v>
      </c>
      <c r="P19" s="54" t="s">
        <v>4</v>
      </c>
      <c r="Q19" s="68">
        <f>VLOOKUP(P19,Log!$B$2:$C$8,2,)</f>
        <v>1</v>
      </c>
      <c r="R19" s="4">
        <v>10.8</v>
      </c>
      <c r="S19" s="32">
        <f>IF(OR(AND(P19="Motorbike",R19-R18&lt;Log!$C$13),AND(P19&lt;&gt;"Motorbike",R19-R18&lt;Log!$C$12)),0,IF(S18&lt;&gt;0,R19-R18,IF(S17=0,R19-R16,R19-R17)))</f>
        <v>1.8000000000000007</v>
      </c>
      <c r="T19" s="104">
        <f t="shared" si="5"/>
        <v>1.8000000000000007</v>
      </c>
    </row>
    <row r="20" spans="1:23" x14ac:dyDescent="0.25">
      <c r="A20" s="58">
        <v>34</v>
      </c>
      <c r="B20" s="54" t="s">
        <v>4</v>
      </c>
      <c r="C20" s="68">
        <f>VLOOKUP(B20,Log!$B$2:$C$8,2,)</f>
        <v>1</v>
      </c>
      <c r="D20" s="5">
        <v>10.039999999999999</v>
      </c>
      <c r="E20" s="32">
        <f>IF(OR(AND(B20="Motorbike",D20-D19&lt;Log!$C$13),AND(B20&lt;&gt;"Motorbike",D20-D19&lt;Log!$C$12)),0,IF(E19&lt;&gt;0,D20-D19,IF(E18=0,D20-D17,D20-D18)))</f>
        <v>2.0399999999999991</v>
      </c>
      <c r="F20" s="104">
        <f t="shared" si="3"/>
        <v>2.0399999999999991</v>
      </c>
      <c r="H20" s="71">
        <v>48</v>
      </c>
      <c r="I20" s="54" t="s">
        <v>4</v>
      </c>
      <c r="J20" s="68">
        <f>VLOOKUP(I20,Log!$B$2:$C$8,2,)</f>
        <v>1</v>
      </c>
      <c r="K20" s="4">
        <v>11.8</v>
      </c>
      <c r="L20" s="32">
        <f>IF(OR(AND(I20="Motorbike",K20-K19&lt;Log!$C$13),AND(I20&lt;&gt;"Motorbike",K20-K19&lt;Log!$C$12)),0,IF(L19&lt;&gt;0,K20-K19,IF(L18=0,K20-K17,K20-K18)))</f>
        <v>2.08</v>
      </c>
      <c r="M20" s="104">
        <f t="shared" si="4"/>
        <v>2.08</v>
      </c>
      <c r="N20" s="13"/>
      <c r="O20" s="58">
        <v>61</v>
      </c>
      <c r="P20" s="54" t="s">
        <v>4</v>
      </c>
      <c r="Q20" s="68">
        <f>VLOOKUP(P20,Log!$B$2:$C$8,2,)</f>
        <v>1</v>
      </c>
      <c r="R20" s="4">
        <v>12.84</v>
      </c>
      <c r="S20" s="32">
        <f>IF(OR(AND(P20="Motorbike",R20-R19&lt;Log!$C$13),AND(P20&lt;&gt;"Motorbike",R20-R19&lt;Log!$C$12)),0,IF(S19&lt;&gt;0,R20-R19,IF(S18=0,R20-R17,R20-R18)))</f>
        <v>2.0399999999999991</v>
      </c>
      <c r="T20" s="104">
        <f t="shared" si="5"/>
        <v>2.0399999999999991</v>
      </c>
    </row>
    <row r="21" spans="1:23" x14ac:dyDescent="0.25">
      <c r="A21" s="58">
        <v>56</v>
      </c>
      <c r="B21" s="54" t="s">
        <v>4</v>
      </c>
      <c r="C21" s="68">
        <f>VLOOKUP(B21,Log!$B$2:$C$8,2,)</f>
        <v>1</v>
      </c>
      <c r="D21" s="5">
        <v>11.92</v>
      </c>
      <c r="E21" s="32">
        <f>IF(OR(AND(B21="Motorbike",D21-D20&lt;Log!$C$13),AND(B21&lt;&gt;"Motorbike",D21-D20&lt;Log!$C$12)),0,IF(E20&lt;&gt;0,D21-D20,IF(E19=0,D21-D18,D21-D19)))</f>
        <v>1.8800000000000008</v>
      </c>
      <c r="F21" s="104">
        <f t="shared" si="3"/>
        <v>1.8800000000000008</v>
      </c>
      <c r="H21" s="71">
        <v>52</v>
      </c>
      <c r="I21" s="146" t="s">
        <v>18</v>
      </c>
      <c r="J21" s="68">
        <f>VLOOKUP(I21,Log!$B$2:$C$8,2,)</f>
        <v>1.02</v>
      </c>
      <c r="K21" s="4">
        <v>13.92</v>
      </c>
      <c r="L21" s="32">
        <f>IF(OR(AND(I21="Motorbike",K21-K20&lt;Log!$C$13),AND(I21&lt;&gt;"Motorbike",K21-K20&lt;Log!$C$12)),0,IF(L20&lt;&gt;0,K21-K20,IF(L19=0,K21-K18,K21-K19)))</f>
        <v>2.1199999999999992</v>
      </c>
      <c r="M21" s="32">
        <f t="shared" si="4"/>
        <v>2.1623999999999994</v>
      </c>
      <c r="N21" s="13"/>
      <c r="O21" s="58">
        <v>62</v>
      </c>
      <c r="P21" s="54" t="s">
        <v>4</v>
      </c>
      <c r="Q21" s="68">
        <f>VLOOKUP(P21,Log!$B$2:$C$8,2,)</f>
        <v>1</v>
      </c>
      <c r="R21" s="4">
        <v>15</v>
      </c>
      <c r="S21" s="32">
        <f>IF(OR(AND(P21="Motorbike",R21-R20&lt;Log!$C$13),AND(P21&lt;&gt;"Motorbike",R21-R20&lt;Log!$C$12)),0,IF(S20&lt;&gt;0,R21-R20,IF(S19=0,R21-R18,R21-R19)))</f>
        <v>2.16</v>
      </c>
      <c r="T21" s="104">
        <f t="shared" si="5"/>
        <v>2.16</v>
      </c>
    </row>
    <row r="22" spans="1:23" x14ac:dyDescent="0.25">
      <c r="A22" s="58">
        <v>70</v>
      </c>
      <c r="B22" s="54" t="s">
        <v>4</v>
      </c>
      <c r="C22" s="68">
        <f>VLOOKUP(B22,Log!$B$2:$C$8,2,)</f>
        <v>1</v>
      </c>
      <c r="D22" s="5">
        <v>15.4</v>
      </c>
      <c r="E22" s="32">
        <f>IF(OR(AND(B22="Motorbike",D22-D21&lt;Log!$C$13),AND(B22&lt;&gt;"Motorbike",D22-D21&lt;Log!$C$12)),0,IF(E21&lt;&gt;0,D22-D21,IF(E20=0,D22-D19,D22-D20)))</f>
        <v>3.4800000000000004</v>
      </c>
      <c r="F22" s="104">
        <f t="shared" si="3"/>
        <v>3.4800000000000004</v>
      </c>
      <c r="H22" s="71">
        <v>62</v>
      </c>
      <c r="I22" s="54" t="s">
        <v>4</v>
      </c>
      <c r="J22" s="68">
        <f>VLOOKUP(I22,Log!$B$2:$C$8,2,)</f>
        <v>1</v>
      </c>
      <c r="K22" s="4">
        <v>15</v>
      </c>
      <c r="L22" s="32">
        <f>IF(OR(AND(I22="Motorbike",K22-K21&lt;Log!$C$13),AND(I22&lt;&gt;"Motorbike",K22-K21&lt;Log!$C$12)),0,IF(L21&lt;&gt;0,K22-K21,IF(L20=0,K22-K19,K22-K20)))</f>
        <v>1.08</v>
      </c>
      <c r="M22" s="32">
        <f t="shared" si="4"/>
        <v>1.08</v>
      </c>
      <c r="N22" s="13"/>
      <c r="O22" s="58">
        <v>71</v>
      </c>
      <c r="P22" s="54" t="s">
        <v>4</v>
      </c>
      <c r="Q22" s="68">
        <f>VLOOKUP(P22,Log!$B$2:$C$8,2,)</f>
        <v>1</v>
      </c>
      <c r="R22" s="4">
        <v>16.52</v>
      </c>
      <c r="S22" s="32">
        <f>IF(OR(AND(P22="Motorbike",R22-R21&lt;Log!$C$13),AND(P22&lt;&gt;"Motorbike",R22-R21&lt;Log!$C$12)),0,IF(S21&lt;&gt;0,R22-R21,IF(S20=0,R22-R19,R22-R20)))</f>
        <v>1.5199999999999996</v>
      </c>
      <c r="T22" s="104">
        <f t="shared" si="5"/>
        <v>1.5199999999999996</v>
      </c>
    </row>
    <row r="23" spans="1:23" x14ac:dyDescent="0.25">
      <c r="A23" s="58">
        <v>93</v>
      </c>
      <c r="B23" s="54" t="s">
        <v>6</v>
      </c>
      <c r="C23" s="68">
        <f>VLOOKUP(B23,Log!$B$2:$C$8,2,)</f>
        <v>0.45</v>
      </c>
      <c r="D23" s="5">
        <v>16.32</v>
      </c>
      <c r="E23" s="32">
        <f>IF(OR(AND(OR(B23="Motorbike",B23="CNG",B23="Bicycle",B23="NMV"),D23-D22&lt;Log!$C$13),AND(NOT(OR(B23="Motorbike",B23="CNG",B23="Bicycle",B23="NMV")),D23-D22&lt;Log!$C$12)),0,IF(E22&lt;&gt;0,D23-D22,IF(E21=0,D23-D20,D23-D21)))</f>
        <v>0.91999999999999993</v>
      </c>
      <c r="F23" s="104">
        <f t="shared" si="3"/>
        <v>0.41399999999999998</v>
      </c>
      <c r="H23" s="71">
        <v>76</v>
      </c>
      <c r="I23" s="54" t="s">
        <v>4</v>
      </c>
      <c r="J23" s="68">
        <f>VLOOKUP(I23,Log!$B$2:$C$8,2,)</f>
        <v>1</v>
      </c>
      <c r="K23" s="4">
        <v>18.2</v>
      </c>
      <c r="L23" s="32">
        <f>IF(OR(AND(I23="Motorbike",K23-K22&lt;Log!$C$13),AND(I23&lt;&gt;"Motorbike",K23-K22&lt;Log!$C$12)),0,IF(L22&lt;&gt;0,K23-K22,IF(L21=0,K23-K20,K23-K21)))</f>
        <v>3.1999999999999993</v>
      </c>
      <c r="M23" s="32">
        <f t="shared" si="4"/>
        <v>3.1999999999999993</v>
      </c>
      <c r="N23" s="13"/>
      <c r="O23" s="58">
        <v>89</v>
      </c>
      <c r="P23" s="60" t="s">
        <v>6</v>
      </c>
      <c r="Q23" s="68">
        <f>VLOOKUP(P23,Log!$B$2:$C$8,2,)</f>
        <v>0.45</v>
      </c>
      <c r="R23" s="4">
        <v>18.2</v>
      </c>
      <c r="S23" s="32">
        <f>IF(OR(AND(P23="Motorbike",R23-R22&lt;Log!$C$13),AND(P23&lt;&gt;"Motorbike",R23-R22&lt;Log!$C$12)),0,IF(S22&lt;&gt;0,R23-R22,IF(S21=0,R23-R20,R23-R21)))</f>
        <v>1.6799999999999997</v>
      </c>
      <c r="T23" s="104">
        <f t="shared" si="5"/>
        <v>0.75599999999999989</v>
      </c>
    </row>
    <row r="24" spans="1:23" x14ac:dyDescent="0.25">
      <c r="A24" s="58">
        <v>111</v>
      </c>
      <c r="B24" s="54" t="s">
        <v>6</v>
      </c>
      <c r="C24" s="68">
        <f>VLOOKUP(B24,Log!$B$2:$C$8,2,)</f>
        <v>0.45</v>
      </c>
      <c r="D24" s="5">
        <v>17.2</v>
      </c>
      <c r="E24" s="32">
        <f>IF(OR(AND(OR(B24="Motorbike",B24="CNG",B24="Bicycle",B24="NMV"),D24-D23&lt;Log!$C$13),AND(NOT(OR(B24="Motorbike",B24="CNG",B24="Bicycle",B24="NMV")),D24-D23&lt;Log!$C$12)),0,IF(E23&lt;&gt;0,D24-D23,IF(E22=0,D24-D21,D24-D22)))</f>
        <v>0.87999999999999901</v>
      </c>
      <c r="F24" s="104">
        <f t="shared" si="3"/>
        <v>0.39599999999999957</v>
      </c>
      <c r="H24" s="71">
        <v>107</v>
      </c>
      <c r="I24" s="54" t="s">
        <v>4</v>
      </c>
      <c r="J24" s="68">
        <f>VLOOKUP(I24,Log!$B$2:$C$8,2,)</f>
        <v>1</v>
      </c>
      <c r="K24" s="4">
        <v>20.440000000000001</v>
      </c>
      <c r="L24" s="32">
        <f>IF(OR(AND(I24="Motorbike",K24-K23&lt;Log!$C$13),AND(I24&lt;&gt;"Motorbike",K24-K23&lt;Log!$C$12)),0,IF(L23&lt;&gt;0,K24-K23,IF(L22=0,K24-K21,K24-K22)))</f>
        <v>2.240000000000002</v>
      </c>
      <c r="M24" s="32">
        <f t="shared" si="4"/>
        <v>2.240000000000002</v>
      </c>
      <c r="N24" s="13"/>
      <c r="O24" s="58">
        <v>99</v>
      </c>
      <c r="P24" s="54" t="s">
        <v>4</v>
      </c>
      <c r="Q24" s="68">
        <f>VLOOKUP(P24,Log!$B$2:$C$8,2,)</f>
        <v>1</v>
      </c>
      <c r="R24" s="4">
        <v>20</v>
      </c>
      <c r="S24" s="32">
        <f>IF(OR(AND(P24="Motorbike",R24-R23&lt;Log!$C$13),AND(P24&lt;&gt;"Motorbike",R24-R23&lt;Log!$C$12)),0,IF(S23&lt;&gt;0,R24-R23,IF(S22=0,R24-R21,R24-R22)))</f>
        <v>1.8000000000000007</v>
      </c>
      <c r="T24" s="104">
        <f t="shared" si="5"/>
        <v>1.8000000000000007</v>
      </c>
    </row>
    <row r="25" spans="1:23" ht="15.75" thickBot="1" x14ac:dyDescent="0.3">
      <c r="A25" s="58">
        <v>82</v>
      </c>
      <c r="B25" s="54" t="s">
        <v>4</v>
      </c>
      <c r="C25" s="68">
        <f>VLOOKUP(B25,Log!$B$2:$C$8,2,)</f>
        <v>1</v>
      </c>
      <c r="D25" s="5">
        <v>19.84</v>
      </c>
      <c r="E25" s="32">
        <f>IF(OR(AND(OR(B25="Motorbike",B25="CNG",B25="Bicycle",B25="NMV"),D25-D24&lt;Log!$C$13),AND(NOT(OR(B25="Motorbike",B25="CNG",B25="Bicycle",B25="NMV")),D25-D24&lt;Log!$C$12)),0,IF(E24&lt;&gt;0,D25-D24,IF(E23=0,D25-D22,D25-D23)))</f>
        <v>2.6400000000000006</v>
      </c>
      <c r="F25" s="104">
        <f t="shared" si="3"/>
        <v>2.6400000000000006</v>
      </c>
      <c r="H25" s="71">
        <v>105</v>
      </c>
      <c r="I25" s="54" t="s">
        <v>4</v>
      </c>
      <c r="J25" s="68">
        <f>VLOOKUP(I25,Log!$B$2:$C$8,2,)</f>
        <v>1</v>
      </c>
      <c r="K25" s="4">
        <v>22.04</v>
      </c>
      <c r="L25" s="32">
        <f>IF(OR(AND(I25="Motorbike",K25-K24&lt;Log!$C$13),AND(I25&lt;&gt;"Motorbike",K25-K24&lt;Log!$C$12)),0,IF(L24&lt;&gt;0,K25-K24,IF(L23=0,K25-K22,K25-K23)))</f>
        <v>1.5999999999999979</v>
      </c>
      <c r="M25" s="32">
        <f t="shared" si="4"/>
        <v>1.5999999999999979</v>
      </c>
      <c r="N25" s="13"/>
      <c r="O25" s="59">
        <v>113</v>
      </c>
      <c r="P25" s="54" t="s">
        <v>4</v>
      </c>
      <c r="Q25" s="68">
        <f>VLOOKUP(P25,Log!$B$2:$C$8,2,)</f>
        <v>1</v>
      </c>
      <c r="R25" s="4">
        <v>22.12</v>
      </c>
      <c r="S25" s="32">
        <f>IF(OR(AND(P25="Motorbike",R25-R24&lt;Log!$C$13),AND(P25&lt;&gt;"Motorbike",R25-R24&lt;Log!$C$12)),0,IF(S24&lt;&gt;0,R25-R24,IF(S23=0,R25-R22,R25-R23)))</f>
        <v>2.120000000000001</v>
      </c>
      <c r="T25" s="104">
        <f t="shared" si="5"/>
        <v>2.120000000000001</v>
      </c>
    </row>
    <row r="26" spans="1:23" x14ac:dyDescent="0.25">
      <c r="A26" s="58">
        <v>114</v>
      </c>
      <c r="B26" s="54" t="s">
        <v>5</v>
      </c>
      <c r="C26" s="68">
        <f>VLOOKUP(B26,Log!$B$2:$C$8,2,)</f>
        <v>0.38</v>
      </c>
      <c r="D26" s="5">
        <v>21.2</v>
      </c>
      <c r="E26" s="32">
        <f>IF(OR(AND(OR(B26="Motorbike",B26="CNG",B26="Bicycle",B26="NMV"),D26-D25&lt;Log!$C$13),AND(NOT(OR(B26="Motorbike",B26="CNG",B26="Bicycle",B26="NMV")),D26-D25&lt;Log!$C$12)),0,IF(E25&lt;&gt;0,D26-D25,IF(E24=0,D26-D23,D26-D24)))</f>
        <v>1.3599999999999994</v>
      </c>
      <c r="F26" s="104">
        <f t="shared" si="3"/>
        <v>1.0335999999999996</v>
      </c>
      <c r="H26" s="71">
        <v>116</v>
      </c>
      <c r="I26" s="54" t="s">
        <v>4</v>
      </c>
      <c r="J26" s="68">
        <f>VLOOKUP(I26,Log!$B$2:$C$8,2,)</f>
        <v>1</v>
      </c>
      <c r="K26" s="4">
        <v>23.72</v>
      </c>
      <c r="L26" s="32">
        <f>IF(OR(AND(I26="Motorbike",K26-K25&lt;Log!$C$13),AND(I26&lt;&gt;"Motorbike",K26-K25&lt;Log!$C$12)),0,IF(L25&lt;&gt;0,K26-K25,IF(L24=0,K26-K23,K26-K24)))</f>
        <v>1.6799999999999997</v>
      </c>
      <c r="M26" s="32">
        <f t="shared" si="4"/>
        <v>1.6799999999999997</v>
      </c>
      <c r="N26" s="13"/>
      <c r="O26" s="93">
        <v>130</v>
      </c>
      <c r="P26" s="54" t="s">
        <v>4</v>
      </c>
      <c r="Q26" s="68">
        <f>VLOOKUP(P26,Log!$B$2:$C$8,2,)</f>
        <v>1</v>
      </c>
      <c r="R26" s="4">
        <v>24.52</v>
      </c>
      <c r="S26" s="32">
        <f>IF(OR(AND(P26="Motorbike",R26-R25&lt;Log!$C$13),AND(P26&lt;&gt;"Motorbike",R26-R25&lt;Log!$C$12)),0,IF(S25&lt;&gt;0,R26-R25,IF(S24=0,R26-R23,R26-R24)))</f>
        <v>2.3999999999999986</v>
      </c>
      <c r="T26" s="32">
        <f t="shared" si="5"/>
        <v>2.3999999999999986</v>
      </c>
    </row>
    <row r="27" spans="1:23" x14ac:dyDescent="0.25">
      <c r="A27" s="58">
        <v>127</v>
      </c>
      <c r="B27" s="54" t="s">
        <v>5</v>
      </c>
      <c r="C27" s="68">
        <f>VLOOKUP(B27,Log!$B$2:$C$8,2,)</f>
        <v>0.38</v>
      </c>
      <c r="D27" s="5">
        <v>21.6</v>
      </c>
      <c r="E27" s="32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4">
        <f t="shared" si="3"/>
        <v>0</v>
      </c>
      <c r="H27" s="71">
        <v>123</v>
      </c>
      <c r="I27" s="54" t="s">
        <v>4</v>
      </c>
      <c r="J27" s="68">
        <f>VLOOKUP(I27,Log!$B$2:$C$8,2,)</f>
        <v>1</v>
      </c>
      <c r="K27" s="4">
        <v>25.72</v>
      </c>
      <c r="L27" s="32">
        <f>IF(OR(AND(I27="Motorbike",K27-K26&lt;Log!$C$13),AND(I27&lt;&gt;"Motorbike",K27-K26&lt;Log!$C$12)),0,IF(L26&lt;&gt;0,K27-K26,IF(L25=0,K27-K24,K27-K25)))</f>
        <v>2</v>
      </c>
      <c r="M27" s="32">
        <f t="shared" si="4"/>
        <v>2</v>
      </c>
      <c r="N27" s="13"/>
      <c r="O27" s="58">
        <v>145</v>
      </c>
      <c r="P27" s="54" t="s">
        <v>6</v>
      </c>
      <c r="Q27" s="68">
        <f>VLOOKUP(P27,Log!$B$2:$C$8,2,)</f>
        <v>0.45</v>
      </c>
      <c r="R27" s="4">
        <v>26.4</v>
      </c>
      <c r="S27" s="32">
        <f>IF(OR(AND(P27="Motorbike",R27-R26&lt;Log!$C$13),AND(P27&lt;&gt;"Motorbike",R27-R26&lt;Log!$C$12)),0,IF(S26&lt;&gt;0,R27-R26,IF(S25=0,R27-R24,R27-R25)))</f>
        <v>1.879999999999999</v>
      </c>
      <c r="T27" s="32">
        <f t="shared" si="5"/>
        <v>0.84599999999999953</v>
      </c>
    </row>
    <row r="28" spans="1:23" x14ac:dyDescent="0.25">
      <c r="A28" s="58">
        <v>154</v>
      </c>
      <c r="B28" s="54" t="s">
        <v>5</v>
      </c>
      <c r="C28" s="68">
        <f>VLOOKUP(B28,Log!$B$2:$C$8,2,)</f>
        <v>0.38</v>
      </c>
      <c r="D28" s="5">
        <v>24.4</v>
      </c>
      <c r="E28" s="32">
        <f>IF(OR(AND(OR(B28="Motorbike",B28="CNG",B28="Bicycle",B28="NMV"),D28-D27&lt;Log!$C$13),AND(NOT(OR(B28="Motorbike",B28="CNG",B28="Bicycle",B28="NMV")),D28-D27&lt;Log!$C$12)),0,IF(E27&lt;&gt;0,D28-D27,IF(E26=0,D28-D25,D28-D26)))</f>
        <v>3.1999999999999993</v>
      </c>
      <c r="F28" s="104">
        <f t="shared" si="3"/>
        <v>1.2159999999999997</v>
      </c>
      <c r="H28" s="71">
        <v>152</v>
      </c>
      <c r="I28" s="54" t="s">
        <v>4</v>
      </c>
      <c r="J28" s="68">
        <f>VLOOKUP(I28,Log!$B$2:$C$8,2,)</f>
        <v>1</v>
      </c>
      <c r="K28" s="4">
        <v>27.6</v>
      </c>
      <c r="L28" s="32">
        <f>IF(OR(AND(I28="Motorbike",K28-K27&lt;Log!$C$13),AND(I28&lt;&gt;"Motorbike",K28-K27&lt;Log!$C$12)),0,IF(L27&lt;&gt;0,K28-K27,IF(L26=0,K28-K25,K28-K26)))</f>
        <v>1.8800000000000026</v>
      </c>
      <c r="M28" s="32">
        <f t="shared" si="4"/>
        <v>1.8800000000000026</v>
      </c>
      <c r="N28" s="13"/>
      <c r="O28" s="93">
        <v>156</v>
      </c>
      <c r="P28" s="54" t="s">
        <v>6</v>
      </c>
      <c r="Q28" s="68">
        <f>VLOOKUP(P28,Log!$B$2:$C$8,2,)</f>
        <v>0.45</v>
      </c>
      <c r="R28" s="4">
        <v>27.52</v>
      </c>
      <c r="S28" s="32">
        <f>IF(OR(AND(P28="Motorbike",R28-R27&lt;Log!$C$13),AND(P28&lt;&gt;"Motorbike",R28-R27&lt;Log!$C$12)),0,IF(S27&lt;&gt;0,R28-R27,IF(S26=0,R28-R25,R28-R26)))</f>
        <v>1.120000000000001</v>
      </c>
      <c r="T28" s="32">
        <f t="shared" si="5"/>
        <v>0.50400000000000045</v>
      </c>
    </row>
    <row r="29" spans="1:23" ht="15.75" thickBot="1" x14ac:dyDescent="0.3">
      <c r="A29" s="58">
        <v>151</v>
      </c>
      <c r="B29" s="54" t="s">
        <v>18</v>
      </c>
      <c r="C29" s="68">
        <f>VLOOKUP(B29,Log!$B$2:$C$8,2,)</f>
        <v>1.02</v>
      </c>
      <c r="D29" s="5">
        <v>27.4</v>
      </c>
      <c r="E29" s="32">
        <f>IF(OR(AND(OR(B29="Motorbike",B29="CNG",B29="Bicycle",B29="NMV"),D29-D28&lt;Log!$C$13),AND(NOT(OR(B29="Motorbike",B29="CNG",B29="Bicycle",B29="NMV")),D29-D28&lt;Log!$C$12)),0,IF(E28&lt;&gt;0,D29-D28,IF(E27=0,D29-D26,D29-D27)))</f>
        <v>3</v>
      </c>
      <c r="F29" s="32">
        <f t="shared" si="3"/>
        <v>3.06</v>
      </c>
      <c r="H29" s="64">
        <v>170</v>
      </c>
      <c r="I29" s="54" t="s">
        <v>6</v>
      </c>
      <c r="J29" s="68">
        <f>VLOOKUP(I29,Log!$B$2:$C$8,2,)</f>
        <v>0.45</v>
      </c>
      <c r="K29" s="4">
        <v>29.8</v>
      </c>
      <c r="L29" s="32">
        <f>IF(OR(AND(I29="Motorbike",K29-K28&lt;Log!$C$13),AND(I29&lt;&gt;"Motorbike",K29-K28&lt;Log!$C$12)),0,IF(L28&lt;&gt;0,K29-K28,IF(L27=0,K29-K26,K29-K27)))</f>
        <v>2.1999999999999993</v>
      </c>
      <c r="M29" s="32">
        <f t="shared" si="4"/>
        <v>0.98999999999999966</v>
      </c>
      <c r="N29" s="13"/>
      <c r="O29" s="59">
        <v>157</v>
      </c>
      <c r="P29" s="54" t="s">
        <v>4</v>
      </c>
      <c r="Q29" s="68">
        <f>VLOOKUP(P29,Log!$B$2:$C$8,2,)</f>
        <v>1</v>
      </c>
      <c r="R29" s="4">
        <v>34.64</v>
      </c>
      <c r="S29" s="32">
        <f>IF(OR(AND(P29="Motorbike",R29-R28&lt;Log!$C$13),AND(P29&lt;&gt;"Motorbike",R29-R28&lt;Log!$C$12)),0,IF(S28&lt;&gt;0,R29-R28,IF(S27=0,R29-R26,R29-R27)))</f>
        <v>7.120000000000001</v>
      </c>
      <c r="T29" s="32">
        <f t="shared" si="5"/>
        <v>7.120000000000001</v>
      </c>
      <c r="W29" s="11"/>
    </row>
    <row r="30" spans="1:23" x14ac:dyDescent="0.25">
      <c r="A30" s="58">
        <v>177</v>
      </c>
      <c r="B30" s="54" t="s">
        <v>5</v>
      </c>
      <c r="C30" s="68">
        <f>VLOOKUP(B30,Log!$B$2:$C$8,2,)</f>
        <v>0.38</v>
      </c>
      <c r="D30" s="5">
        <v>31.24</v>
      </c>
      <c r="E30" s="32">
        <f>IF(OR(AND(OR(B30="Motorbike",B30="CNG",B30="Bicycle",B30="NMV"),D30-D29&lt;Log!$C$13),AND(NOT(OR(B30="Motorbike",B30="CNG",B30="Bicycle",B30="NMV")),D30-D29&lt;Log!$C$12)),0,IF(E29&lt;&gt;0,D30-D29,IF(E28=0,D30-D27,D30-D28)))</f>
        <v>3.84</v>
      </c>
      <c r="F30" s="32">
        <f t="shared" si="3"/>
        <v>1.4592000000000001</v>
      </c>
      <c r="N30" s="13"/>
      <c r="W30" s="11"/>
    </row>
    <row r="31" spans="1:23" ht="15.75" thickBot="1" x14ac:dyDescent="0.3">
      <c r="A31" s="59">
        <v>180</v>
      </c>
      <c r="B31" s="54" t="s">
        <v>6</v>
      </c>
      <c r="C31" s="68">
        <f>VLOOKUP(B31,Log!$B$2:$C$8,2,)</f>
        <v>0.45</v>
      </c>
      <c r="D31" s="5">
        <v>32.119999999999997</v>
      </c>
      <c r="E31" s="32">
        <f>IF(OR(AND(OR(B31="Motorbike",B31="CNG",B31="Bicycle",B31="NMV"),D31-D30&lt;Log!$C$13),AND(NOT(OR(B31="Motorbike",B31="CNG",B31="Bicycle",B31="NMV")),D31-D30&lt;Log!$C$12)),0,IF(E30&lt;&gt;0,D31-D30,IF(E29=0,D31-D28,D31-D29)))</f>
        <v>0.87999999999999901</v>
      </c>
      <c r="F31" s="32">
        <f t="shared" si="3"/>
        <v>0.39599999999999957</v>
      </c>
      <c r="N31" s="13"/>
      <c r="W31" s="11"/>
    </row>
    <row r="32" spans="1:23" x14ac:dyDescent="0.25">
      <c r="N32" s="13"/>
      <c r="W32" s="11"/>
    </row>
    <row r="33" spans="8:23" x14ac:dyDescent="0.25">
      <c r="N33" s="13"/>
      <c r="W33" s="11"/>
    </row>
    <row r="34" spans="8:23" x14ac:dyDescent="0.25">
      <c r="H34" s="50"/>
      <c r="I34" s="51"/>
      <c r="J34" s="13"/>
      <c r="L34" s="52"/>
      <c r="M34" s="52"/>
      <c r="N34" s="13"/>
      <c r="W34" s="11"/>
    </row>
    <row r="35" spans="8:23" x14ac:dyDescent="0.25">
      <c r="H35" s="53"/>
      <c r="J35" s="13"/>
      <c r="L35" s="52"/>
      <c r="M35" s="52"/>
      <c r="W35" s="11"/>
    </row>
    <row r="36" spans="8:23" x14ac:dyDescent="0.25">
      <c r="H36" s="53"/>
      <c r="J36" s="13"/>
      <c r="L36" s="52"/>
      <c r="M36" s="52"/>
      <c r="W36" s="11"/>
    </row>
    <row r="37" spans="8:23" x14ac:dyDescent="0.25">
      <c r="H37" s="53"/>
      <c r="J37" s="13"/>
      <c r="L37" s="52"/>
      <c r="M37" s="52"/>
      <c r="W37" s="11"/>
    </row>
    <row r="38" spans="8:23" x14ac:dyDescent="0.25">
      <c r="W38" s="11"/>
    </row>
    <row r="39" spans="8:23" x14ac:dyDescent="0.25">
      <c r="W39" s="11"/>
    </row>
    <row r="40" spans="8:23" x14ac:dyDescent="0.25">
      <c r="W40" s="11"/>
    </row>
    <row r="41" spans="8:23" x14ac:dyDescent="0.25">
      <c r="W41" s="11"/>
    </row>
    <row r="42" spans="8:23" x14ac:dyDescent="0.25">
      <c r="W42" s="11"/>
    </row>
    <row r="43" spans="8:23" x14ac:dyDescent="0.25">
      <c r="W43" s="11"/>
    </row>
    <row r="44" spans="8:23" x14ac:dyDescent="0.25">
      <c r="W44" s="11"/>
    </row>
    <row r="52" spans="19:20" x14ac:dyDescent="0.25">
      <c r="S52" s="9">
        <f>AVERAGE(S29:S34)</f>
        <v>7.120000000000001</v>
      </c>
      <c r="T52" s="9">
        <f>AVERAGE(T29:T34)</f>
        <v>7.120000000000001</v>
      </c>
    </row>
    <row r="53" spans="19:20" x14ac:dyDescent="0.25">
      <c r="S53" s="10">
        <f>3600/S52</f>
        <v>505.6179775280898</v>
      </c>
      <c r="T53" s="10">
        <f>3600/T52</f>
        <v>505.6179775280898</v>
      </c>
    </row>
  </sheetData>
  <mergeCells count="4">
    <mergeCell ref="C1:D1"/>
    <mergeCell ref="A11:F11"/>
    <mergeCell ref="H11:M11"/>
    <mergeCell ref="O11:T11"/>
  </mergeCells>
  <conditionalFormatting sqref="E13:F13 T14:T29">
    <cfRule type="cellIs" dxfId="90" priority="41" operator="greaterThan">
      <formula>4</formula>
    </cfRule>
  </conditionalFormatting>
  <conditionalFormatting sqref="F14:F28">
    <cfRule type="cellIs" dxfId="89" priority="20" operator="greaterThan">
      <formula>4</formula>
    </cfRule>
  </conditionalFormatting>
  <conditionalFormatting sqref="L14:L29">
    <cfRule type="cellIs" dxfId="88" priority="11" operator="greaterThanOrEqual">
      <formula>4</formula>
    </cfRule>
  </conditionalFormatting>
  <conditionalFormatting sqref="L13:M13">
    <cfRule type="cellIs" dxfId="87" priority="37" operator="greaterThan">
      <formula>4</formula>
    </cfRule>
  </conditionalFormatting>
  <conditionalFormatting sqref="L34:M37">
    <cfRule type="cellIs" dxfId="86" priority="46" operator="greaterThan">
      <formula>4</formula>
    </cfRule>
  </conditionalFormatting>
  <conditionalFormatting sqref="M14:M20">
    <cfRule type="cellIs" dxfId="85" priority="13" operator="greaterThan">
      <formula>4</formula>
    </cfRule>
  </conditionalFormatting>
  <conditionalFormatting sqref="S14:S29 E14:E31">
    <cfRule type="cellIs" dxfId="84" priority="18" operator="greaterThanOrEqual">
      <formula>4</formula>
    </cfRule>
  </conditionalFormatting>
  <conditionalFormatting sqref="S13:T13">
    <cfRule type="cellIs" dxfId="83" priority="34" operator="greaterThan">
      <formula>4</formula>
    </cfRule>
  </conditionalFormatting>
  <conditionalFormatting sqref="M21:M29">
    <cfRule type="cellIs" dxfId="82" priority="2" operator="greaterThan">
      <formula>4</formula>
    </cfRule>
  </conditionalFormatting>
  <conditionalFormatting sqref="F29:F31">
    <cfRule type="cellIs" dxfId="81" priority="1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5EC935DD-886E-4717-A82E-5BD091C30580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L14:L29 S14:S29 E14:E31</xm:sqref>
        </x14:conditionalFormatting>
        <x14:conditionalFormatting xmlns:xm="http://schemas.microsoft.com/office/excel/2006/main">
          <x14:cfRule type="expression" priority="10" id="{DE3B65C9-6A7F-4CAA-987C-7D95ABE1730B}">
            <xm:f>AND(OFFSET(E15,0,-3)="Motorbike", E15&lt;Log!$C$13)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L16:L29 S15:S29 E15:E31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F50B2-FE70-4020-A996-2EE940247BD3}">
  <sheetPr codeName="Sheet10"/>
  <dimension ref="A1:W44"/>
  <sheetViews>
    <sheetView topLeftCell="A32" workbookViewId="0">
      <selection activeCell="E16" sqref="E16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47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21.04</v>
      </c>
      <c r="M2" s="17">
        <f>SUM(M20:M28)</f>
        <v>23.485599999999998</v>
      </c>
      <c r="R2" s="4" t="s">
        <v>12</v>
      </c>
      <c r="S2" s="8">
        <f>SUM(S24:S25)</f>
        <v>7.16</v>
      </c>
      <c r="T2" s="8">
        <f>SUM(T24:T25)</f>
        <v>6.8879999999999999</v>
      </c>
    </row>
    <row r="3" spans="1:20" x14ac:dyDescent="0.25">
      <c r="K3" s="4" t="s">
        <v>13</v>
      </c>
      <c r="L3" s="18">
        <f>AVERAGE(L24:L26)</f>
        <v>0.43999999999999889</v>
      </c>
      <c r="M3" s="19">
        <f>AVERAGE(M24:M27)</f>
        <v>1.1453999999999993</v>
      </c>
      <c r="R3" s="4" t="s">
        <v>13</v>
      </c>
      <c r="S3" s="9">
        <f>AVERAGE(S24:S25)</f>
        <v>3.58</v>
      </c>
      <c r="T3" s="9">
        <f>AVERAGE(T25:T28)</f>
        <v>0.92580000000000062</v>
      </c>
    </row>
    <row r="4" spans="1:20" x14ac:dyDescent="0.25">
      <c r="A4" s="4" t="s">
        <v>4</v>
      </c>
      <c r="B4" s="128">
        <f>100*COUNTIF($B$17:$B$26,A4)/COUNTA($B$17:$B$26)</f>
        <v>70</v>
      </c>
      <c r="H4" s="4" t="s">
        <v>4</v>
      </c>
      <c r="I4" s="128">
        <f>100*COUNTIF($I$15:$I$22,H4)/COUNTA($I$15:$I$22)</f>
        <v>100</v>
      </c>
      <c r="K4" s="4" t="s">
        <v>1</v>
      </c>
      <c r="L4" s="20">
        <f>3600/L3</f>
        <v>8181.818181818202</v>
      </c>
      <c r="M4" s="21">
        <f>3600/M3</f>
        <v>3143.0068098480897</v>
      </c>
      <c r="O4" s="4" t="s">
        <v>4</v>
      </c>
      <c r="P4" s="128">
        <f>100*COUNTIF($P$13:$P$22,O4)/COUNTA($P$13:$P$22)</f>
        <v>40</v>
      </c>
      <c r="R4" s="4" t="s">
        <v>1</v>
      </c>
      <c r="S4" s="10">
        <f>3600/S3</f>
        <v>1005.586592178771</v>
      </c>
      <c r="T4" s="10">
        <f>3600/T3</f>
        <v>3888.5288399222268</v>
      </c>
    </row>
    <row r="5" spans="1:20" x14ac:dyDescent="0.25">
      <c r="A5" s="4" t="s">
        <v>6</v>
      </c>
      <c r="B5" s="128">
        <f t="shared" ref="B5:B9" si="0">100*COUNTIF($B$17:$B$26,A5)/COUNTA($B$17:$B$26)</f>
        <v>10</v>
      </c>
      <c r="H5" s="4" t="s">
        <v>6</v>
      </c>
      <c r="I5" s="128">
        <f t="shared" ref="I5:I9" si="1">100*COUNTIF($I$15:$I$22,H5)/COUNTA($I$15:$I$22)</f>
        <v>0</v>
      </c>
      <c r="O5" s="4" t="s">
        <v>6</v>
      </c>
      <c r="P5" s="128">
        <f t="shared" ref="P5:P9" si="2">100*COUNTIF($P$13:$P$22,O5)/COUNTA($P$13:$P$22)</f>
        <v>40</v>
      </c>
    </row>
    <row r="6" spans="1:20" x14ac:dyDescent="0.25">
      <c r="A6" s="4" t="s">
        <v>5</v>
      </c>
      <c r="B6" s="128">
        <f t="shared" si="0"/>
        <v>20</v>
      </c>
      <c r="E6" s="27" t="s">
        <v>22</v>
      </c>
      <c r="F6" s="27" t="s">
        <v>21</v>
      </c>
      <c r="H6" s="4" t="s">
        <v>5</v>
      </c>
      <c r="I6" s="128">
        <f t="shared" si="1"/>
        <v>0</v>
      </c>
      <c r="L6" s="27" t="s">
        <v>22</v>
      </c>
      <c r="M6" s="27" t="s">
        <v>21</v>
      </c>
      <c r="O6" s="4" t="s">
        <v>5</v>
      </c>
      <c r="P6" s="128">
        <f t="shared" si="2"/>
        <v>20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SUM(E16:E36)</f>
        <v>25.080000000000002</v>
      </c>
      <c r="F7" s="23">
        <f>SUM(F17:F27)</f>
        <v>17.738</v>
      </c>
      <c r="H7" s="4" t="s">
        <v>18</v>
      </c>
      <c r="I7" s="128">
        <f t="shared" si="1"/>
        <v>0</v>
      </c>
      <c r="K7" s="28" t="s">
        <v>20</v>
      </c>
      <c r="L7" s="23">
        <f>SUM(L16:L22)</f>
        <v>11.160000000000002</v>
      </c>
      <c r="M7" s="23">
        <f>SUM(M15:M22)</f>
        <v>14.880000000000003</v>
      </c>
      <c r="O7" s="4" t="s">
        <v>18</v>
      </c>
      <c r="P7" s="128">
        <f t="shared" si="2"/>
        <v>0</v>
      </c>
      <c r="R7" s="28" t="s">
        <v>51</v>
      </c>
      <c r="S7" s="23">
        <f>SUM(S14:S23)</f>
        <v>12.120000000000001</v>
      </c>
      <c r="T7" s="23">
        <f>SUM(Q14:Q23)</f>
        <v>7.1300000000000008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AVERAGEIF(E16:E36,"&lt;&gt;0")</f>
        <v>1.6720000000000002</v>
      </c>
      <c r="F8" s="26">
        <f>AVERAGEIF(F17:F26,"&lt;&gt;0")</f>
        <v>2.1339999999999999</v>
      </c>
      <c r="H8" s="4" t="s">
        <v>7</v>
      </c>
      <c r="I8" s="128">
        <f t="shared" si="1"/>
        <v>0</v>
      </c>
      <c r="K8" s="28" t="s">
        <v>13</v>
      </c>
      <c r="L8" s="26">
        <f>AVERAGEIF(L15:L22,"&lt;&gt;0")</f>
        <v>1.8971428571428572</v>
      </c>
      <c r="M8" s="26">
        <f>AVERAGEIF(M15:M22,"&lt;&gt;0")</f>
        <v>2.1257142857142859</v>
      </c>
      <c r="O8" s="4" t="s">
        <v>7</v>
      </c>
      <c r="P8" s="128">
        <f t="shared" si="2"/>
        <v>0</v>
      </c>
      <c r="R8" s="28" t="s">
        <v>13</v>
      </c>
      <c r="S8" s="26">
        <f>AVERAGEIF(S14:S23,"&lt;&gt;0")</f>
        <v>1.5150000000000001</v>
      </c>
      <c r="T8" s="26">
        <f>AVERAGEIF(T14:T22,"&lt;&gt;0")</f>
        <v>1.4114857142857142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2153.1100478468898</v>
      </c>
      <c r="F9" s="29">
        <f>3600/F8</f>
        <v>1686.9728209934397</v>
      </c>
      <c r="H9" s="4" t="s">
        <v>23</v>
      </c>
      <c r="I9" s="128">
        <f t="shared" si="1"/>
        <v>0</v>
      </c>
      <c r="K9" s="28" t="s">
        <v>1</v>
      </c>
      <c r="L9" s="25">
        <f>3600/L8</f>
        <v>1897.5903614457829</v>
      </c>
      <c r="M9" s="29">
        <f>3600/M8</f>
        <v>1693.5483870967741</v>
      </c>
      <c r="O9" s="4" t="s">
        <v>23</v>
      </c>
      <c r="P9" s="128">
        <f t="shared" si="2"/>
        <v>0</v>
      </c>
      <c r="R9" s="28" t="s">
        <v>1</v>
      </c>
      <c r="S9" s="25">
        <f>3600/S8</f>
        <v>2376.2376237623762</v>
      </c>
      <c r="T9" s="29">
        <f>3600/T8</f>
        <v>2550.5040281769971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3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3" t="s">
        <v>9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4">
        <v>5</v>
      </c>
      <c r="B13" s="4" t="s">
        <v>4</v>
      </c>
      <c r="C13" s="5">
        <f>VLOOKUP(B13,Log!$B$2:$C$8,2,)</f>
        <v>1</v>
      </c>
      <c r="D13" s="5">
        <v>5.32</v>
      </c>
      <c r="E13" s="32">
        <v>0</v>
      </c>
      <c r="F13" s="5">
        <v>0</v>
      </c>
      <c r="H13" s="109">
        <v>35</v>
      </c>
      <c r="I13" s="110" t="s">
        <v>5</v>
      </c>
      <c r="J13" s="112">
        <f>VLOOKUP(I13,Log!$B$2:$C$8,2,)</f>
        <v>0.38</v>
      </c>
      <c r="K13" s="112">
        <v>8.32</v>
      </c>
      <c r="L13" s="114">
        <v>0</v>
      </c>
      <c r="M13" s="112">
        <v>0</v>
      </c>
      <c r="N13" s="13"/>
      <c r="O13" s="109">
        <v>22</v>
      </c>
      <c r="P13" s="110" t="s">
        <v>6</v>
      </c>
      <c r="Q13" s="112">
        <f>VLOOKUP(P13,Log!$B$2:$C$8,2,)</f>
        <v>0.45</v>
      </c>
      <c r="R13" s="112">
        <v>7.72</v>
      </c>
      <c r="S13" s="114">
        <v>0</v>
      </c>
      <c r="T13" s="112">
        <v>0</v>
      </c>
    </row>
    <row r="14" spans="1:20" x14ac:dyDescent="0.25">
      <c r="A14" s="14">
        <v>2</v>
      </c>
      <c r="B14" s="4" t="s">
        <v>4</v>
      </c>
      <c r="C14" s="5">
        <f>VLOOKUP(B14,Log!$B$2:$C$8,2,)</f>
        <v>1</v>
      </c>
      <c r="D14" s="5">
        <v>7.64</v>
      </c>
      <c r="E14" s="32">
        <f>IF(OR(AND(B14="Motorbike",D14-D13&lt;Log!$C$13),AND(B14&lt;&gt;"Motorbike",D14-D13&lt;Log!$C$12)),0,D14-D13)</f>
        <v>2.3199999999999994</v>
      </c>
      <c r="F14" s="32">
        <f>IF(E15&lt;&gt;0,C14*E14,IF(E16=0,(C14+C15+C16)*E14,(C14+C15)*E14))</f>
        <v>4.6399999999999988</v>
      </c>
      <c r="H14" s="111">
        <v>14</v>
      </c>
      <c r="I14" s="155" t="s">
        <v>18</v>
      </c>
      <c r="J14" s="112">
        <f>VLOOKUP(I14,Log!$B$2:$C$8,2,)</f>
        <v>1.02</v>
      </c>
      <c r="K14" s="112">
        <v>8.32</v>
      </c>
      <c r="L14" s="114">
        <f>IF(OR(AND(I14="Motorbike",K14-K13&lt;Log!$C$13),AND(I14&lt;&gt;"Motorbike",K14-K13&lt;Log!$C$12)),0,K14-K13)</f>
        <v>0</v>
      </c>
      <c r="M14" s="112">
        <f>IF(L15&lt;&gt;0,J14*L14,IF(L16=0,(J14+J15+J16)*L14,(J14+J15)*L14))</f>
        <v>0</v>
      </c>
      <c r="N14" s="13"/>
      <c r="O14" s="71">
        <v>9</v>
      </c>
      <c r="P14" s="60" t="s">
        <v>6</v>
      </c>
      <c r="Q14" s="5">
        <f>VLOOKUP(P14,Log!$B$2:$C$8,2,)</f>
        <v>0.45</v>
      </c>
      <c r="R14" s="5">
        <v>9.84</v>
      </c>
      <c r="S14" s="32">
        <f>IF(OR(AND(P14="Motorbike",R14-R13&lt;Log!$C$13),AND(P14&lt;&gt;"Motorbike",R14-R13&lt;Log!$C$12)),0,R14-R13)</f>
        <v>2.12</v>
      </c>
      <c r="T14" s="104">
        <f>IF(S15&lt;&gt;0,Q14*S14,IF(S16=0,(Q14+Q15+Q16)*S14,(Q14+Q15)*S14))</f>
        <v>0.95400000000000007</v>
      </c>
    </row>
    <row r="15" spans="1:20" ht="15.75" thickBot="1" x14ac:dyDescent="0.3">
      <c r="A15" s="49">
        <v>3</v>
      </c>
      <c r="B15" s="4" t="s">
        <v>4</v>
      </c>
      <c r="C15" s="5">
        <f>VLOOKUP(B15,Log!$B$2:$C$8,2,)</f>
        <v>1</v>
      </c>
      <c r="D15" s="5">
        <v>8</v>
      </c>
      <c r="E15" s="32">
        <f>IF(OR(AND(B15="Motorbike",D15-D14&lt;Log!$C$13),AND(B15&lt;&gt;"Motorbike",D15-D14&lt;Log!$C$12)),0,D15-D14)</f>
        <v>0</v>
      </c>
      <c r="F15" s="32">
        <f t="shared" ref="F15:F43" si="3">IF(E16&lt;&gt;0,C15*E15,IF(E17=0,(C15+C16+C17)*E15,(C15+C16)*E15))</f>
        <v>0</v>
      </c>
      <c r="H15" s="71">
        <v>8</v>
      </c>
      <c r="I15" s="60" t="s">
        <v>4</v>
      </c>
      <c r="J15" s="5">
        <f>VLOOKUP(I15,Log!$B$2:$C$8,2,)</f>
        <v>1</v>
      </c>
      <c r="K15" s="5">
        <v>10.44</v>
      </c>
      <c r="L15" s="32">
        <f>IF(OR(AND(I15="Motorbike",K15-K14&lt;Log!$C$13),AND(I15&lt;&gt;"Motorbike",K15-K14&lt;Log!$C$12)),0,K15-K14)</f>
        <v>2.1199999999999992</v>
      </c>
      <c r="M15" s="104">
        <f t="shared" ref="M15:M31" si="4">IF(L16&lt;&gt;0,J15*L15,IF(L17=0,(J15+J16+J17)*L15,(J15+J16)*L15))</f>
        <v>2.1199999999999992</v>
      </c>
      <c r="N15" s="13"/>
      <c r="O15" s="71">
        <v>46</v>
      </c>
      <c r="P15" s="54" t="s">
        <v>4</v>
      </c>
      <c r="Q15" s="5">
        <f>VLOOKUP(P15,Log!$B$2:$C$8,2,)</f>
        <v>1</v>
      </c>
      <c r="R15" s="5">
        <v>11.04</v>
      </c>
      <c r="S15" s="32">
        <f>IF(OR(AND(P15="Motorbike",R15-R14&lt;Log!$C$13),AND(P15&lt;&gt;"Motorbike",R15-R14&lt;Log!$C$12)),0,R15-R14)</f>
        <v>1.1999999999999993</v>
      </c>
      <c r="T15" s="104">
        <f t="shared" ref="T15:T32" si="5">IF(S16&lt;&gt;0,Q15*S15,IF(S17=0,(Q15+Q16+Q17)*S15,(Q15+Q16)*S15))</f>
        <v>1.1999999999999993</v>
      </c>
    </row>
    <row r="16" spans="1:20" x14ac:dyDescent="0.25">
      <c r="A16" s="57">
        <v>14</v>
      </c>
      <c r="B16" s="146" t="s">
        <v>18</v>
      </c>
      <c r="C16" s="5">
        <f>VLOOKUP(B16,Log!$B$2:$C$8,2,)</f>
        <v>1.02</v>
      </c>
      <c r="D16" s="40">
        <v>10.199999999999999</v>
      </c>
      <c r="E16" s="32">
        <f>IF(OR(AND(B16="Motorbike",D16-D15&lt;Log!$C$13),AND(B16&lt;&gt;"Motorbike",D16-D15&lt;Log!$C$12)),0,IF(E15&lt;&gt;0,D16-D15,IF(E14=0,D16-D13,D16-D14)))</f>
        <v>2.5599999999999996</v>
      </c>
      <c r="F16" s="32">
        <f t="shared" si="3"/>
        <v>2.6111999999999997</v>
      </c>
      <c r="H16" s="71">
        <v>71</v>
      </c>
      <c r="I16" s="54" t="s">
        <v>4</v>
      </c>
      <c r="J16" s="5">
        <f>VLOOKUP(I16,Log!$B$2:$C$8,2,)</f>
        <v>1</v>
      </c>
      <c r="K16" s="5">
        <v>12.4</v>
      </c>
      <c r="L16" s="32">
        <f>IF(OR(AND(I16="Motorbike",K16-K15&lt;Log!$C$13),AND(I16&lt;&gt;"Motorbike",K16-K15&lt;Log!$C$12)),0,IF(L15&lt;&gt;0,K16-K15,IF(L14=0,K16-K13,K16-K14)))</f>
        <v>1.9600000000000009</v>
      </c>
      <c r="M16" s="104">
        <f t="shared" si="4"/>
        <v>1.9600000000000009</v>
      </c>
      <c r="N16" s="13"/>
      <c r="O16" s="58">
        <v>56</v>
      </c>
      <c r="P16" s="54" t="s">
        <v>6</v>
      </c>
      <c r="Q16" s="5">
        <f>VLOOKUP(P16,Log!$B$2:$C$8,2,)</f>
        <v>0.45</v>
      </c>
      <c r="R16" s="5">
        <v>12.72</v>
      </c>
      <c r="S16" s="32">
        <f>IF(OR(AND(P16="Motorbike",R16-R15&lt;Log!$C$13),AND(P16&lt;&gt;"Motorbike",R16-R15&lt;Log!$C$12)),0,IF(S15&lt;&gt;0,R16-R15,IF(S14=0,R16-R13,R16-R14)))</f>
        <v>1.6800000000000015</v>
      </c>
      <c r="T16" s="104">
        <f t="shared" si="5"/>
        <v>0.75600000000000067</v>
      </c>
    </row>
    <row r="17" spans="1:23" x14ac:dyDescent="0.25">
      <c r="A17" s="58">
        <v>64</v>
      </c>
      <c r="B17" s="54" t="s">
        <v>4</v>
      </c>
      <c r="C17" s="5">
        <f>VLOOKUP(B17,Log!$B$2:$C$8,2,)</f>
        <v>1</v>
      </c>
      <c r="D17" s="40">
        <v>11.2</v>
      </c>
      <c r="E17" s="32">
        <f>IF(OR(AND(B17="Motorbike",D17-D16&lt;Log!$C$13),AND(B17&lt;&gt;"Motorbike",D17-D16&lt;Log!$C$12)),0,IF(E16&lt;&gt;0,D17-D16,IF(E15=0,D17-D14,D17-D15)))</f>
        <v>1</v>
      </c>
      <c r="F17" s="104">
        <f t="shared" si="3"/>
        <v>1</v>
      </c>
      <c r="H17" s="71">
        <v>62</v>
      </c>
      <c r="I17" s="54" t="s">
        <v>4</v>
      </c>
      <c r="J17" s="5">
        <f>VLOOKUP(I17,Log!$B$2:$C$8,2,)</f>
        <v>1</v>
      </c>
      <c r="K17" s="5">
        <v>13.64</v>
      </c>
      <c r="L17" s="32">
        <f>IF(OR(AND(I17="Motorbike",K17-K16&lt;Log!$C$13),AND(I17&lt;&gt;"Motorbike",K17-K16&lt;Log!$C$12)),0,IF(L16&lt;&gt;0,K17-K16,IF(L15=0,K17-K14,K17-K15)))</f>
        <v>1.2400000000000002</v>
      </c>
      <c r="M17" s="104">
        <f t="shared" si="4"/>
        <v>1.2400000000000002</v>
      </c>
      <c r="N17" s="13"/>
      <c r="O17" s="58">
        <v>73</v>
      </c>
      <c r="P17" s="54" t="s">
        <v>5</v>
      </c>
      <c r="Q17" s="5">
        <f>VLOOKUP(P17,Log!$B$2:$C$8,2,)</f>
        <v>0.38</v>
      </c>
      <c r="R17" s="5">
        <v>13.4</v>
      </c>
      <c r="S17" s="32">
        <f>IF(OR(AND(P17="Motorbike",R17-R16&lt;Log!$C$13),AND(P17&lt;&gt;"Motorbike",R17-R16&lt;Log!$C$12)),0,IF(S16&lt;&gt;0,R17-R16,IF(S15=0,R17-R14,R17-R15)))</f>
        <v>0.67999999999999972</v>
      </c>
      <c r="T17" s="104">
        <f t="shared" si="5"/>
        <v>0.25839999999999991</v>
      </c>
    </row>
    <row r="18" spans="1:23" x14ac:dyDescent="0.25">
      <c r="A18" s="58">
        <v>69</v>
      </c>
      <c r="B18" s="54" t="s">
        <v>4</v>
      </c>
      <c r="C18" s="5">
        <f>VLOOKUP(B18,Log!$B$2:$C$8,2,)</f>
        <v>1</v>
      </c>
      <c r="D18" s="40">
        <v>15</v>
      </c>
      <c r="E18" s="32">
        <f>IF(OR(AND(B18="Motorbike",D18-D17&lt;Log!$C$13),AND(B18&lt;&gt;"Motorbike",D18-D17&lt;Log!$C$12)),0,IF(E17&lt;&gt;0,D18-D17,IF(E16=0,D18-D15,D18-D16)))</f>
        <v>3.8000000000000007</v>
      </c>
      <c r="F18" s="104">
        <f t="shared" si="3"/>
        <v>3.8000000000000007</v>
      </c>
      <c r="H18" s="71">
        <v>10</v>
      </c>
      <c r="I18" s="54" t="s">
        <v>4</v>
      </c>
      <c r="J18" s="5">
        <f>VLOOKUP(I18,Log!$B$2:$C$8,2,)</f>
        <v>1</v>
      </c>
      <c r="K18" s="5">
        <v>15</v>
      </c>
      <c r="L18" s="32">
        <f>IF(OR(AND(I18="Motorbike",K18-K17&lt;Log!$C$13),AND(I18&lt;&gt;"Motorbike",K18-K17&lt;Log!$C$12)),0,IF(L17&lt;&gt;0,K18-K17,IF(L16=0,K18-K15,K18-K16)))</f>
        <v>1.3599999999999994</v>
      </c>
      <c r="M18" s="104">
        <f t="shared" si="4"/>
        <v>1.3599999999999994</v>
      </c>
      <c r="N18" s="13"/>
      <c r="O18" s="58">
        <v>10</v>
      </c>
      <c r="P18" s="54" t="s">
        <v>4</v>
      </c>
      <c r="Q18" s="5">
        <f>VLOOKUP(P18,Log!$B$2:$C$8,2,)</f>
        <v>1</v>
      </c>
      <c r="R18" s="5">
        <v>15.24</v>
      </c>
      <c r="S18" s="32">
        <f>IF(OR(AND(P18="Motorbike",R18-R17&lt;Log!$C$13),AND(P18&lt;&gt;"Motorbike",R18-R17&lt;Log!$C$12)),0,IF(S17&lt;&gt;0,R18-R17,IF(S16=0,R18-R15,R18-R16)))</f>
        <v>1.8399999999999999</v>
      </c>
      <c r="T18" s="104">
        <f t="shared" si="5"/>
        <v>2.6679999999999997</v>
      </c>
    </row>
    <row r="19" spans="1:23" x14ac:dyDescent="0.25">
      <c r="A19" s="58">
        <v>91</v>
      </c>
      <c r="B19" s="54" t="s">
        <v>5</v>
      </c>
      <c r="C19" s="5">
        <f>VLOOKUP(B19,Log!$B$2:$C$8,2,)</f>
        <v>0.38</v>
      </c>
      <c r="D19" s="5">
        <v>15.92</v>
      </c>
      <c r="E19" s="32">
        <f>IF(OR(AND(B19="Motorbike",D19-D18&lt;Log!$C$13),AND(B19&lt;&gt;"Motorbike",D19-D18&lt;Log!$C$12)),0,IF(E18&lt;&gt;0,D19-D18,IF(E17=0,D19-D16,D19-D17)))</f>
        <v>0.91999999999999993</v>
      </c>
      <c r="F19" s="104">
        <f t="shared" si="3"/>
        <v>1.2695999999999998</v>
      </c>
      <c r="H19" s="71">
        <v>61</v>
      </c>
      <c r="I19" s="54" t="s">
        <v>4</v>
      </c>
      <c r="J19" s="5">
        <f>VLOOKUP(I19,Log!$B$2:$C$8,2,)</f>
        <v>1</v>
      </c>
      <c r="K19" s="5">
        <v>16.600000000000001</v>
      </c>
      <c r="L19" s="32">
        <f>IF(OR(AND(I19="Motorbike",K19-K18&lt;Log!$C$13),AND(I19&lt;&gt;"Motorbike",K19-K18&lt;Log!$C$12)),0,IF(L18&lt;&gt;0,K19-K18,IF(L17=0,K19-K16,K19-K17)))</f>
        <v>1.6000000000000014</v>
      </c>
      <c r="M19" s="104">
        <f t="shared" si="4"/>
        <v>3.2000000000000028</v>
      </c>
      <c r="N19" s="13"/>
      <c r="O19" s="58">
        <v>84</v>
      </c>
      <c r="P19" s="54" t="s">
        <v>6</v>
      </c>
      <c r="Q19" s="5">
        <f>VLOOKUP(P19,Log!$B$2:$C$8,2,)</f>
        <v>0.45</v>
      </c>
      <c r="R19" s="5">
        <v>16</v>
      </c>
      <c r="S19" s="32">
        <f>IF(OR(AND(P19="Motorbike",R19-R18&lt;Log!$C$13),AND(P19&lt;&gt;"Motorbike",R19-R18&lt;Log!$C$12)),0,IF(S18&lt;&gt;0,R19-R18,IF(S17=0,R19-R16,R19-R17)))</f>
        <v>0</v>
      </c>
      <c r="T19" s="104">
        <f t="shared" si="5"/>
        <v>0</v>
      </c>
    </row>
    <row r="20" spans="1:23" x14ac:dyDescent="0.25">
      <c r="A20" s="58">
        <v>90</v>
      </c>
      <c r="B20" s="54" t="s">
        <v>4</v>
      </c>
      <c r="C20" s="5">
        <f>VLOOKUP(B20,Log!$B$2:$C$8,2,)</f>
        <v>1</v>
      </c>
      <c r="D20" s="5">
        <v>16.52</v>
      </c>
      <c r="E20" s="32">
        <f>IF(OR(AND(B20="Motorbike",D20-D19&lt;Log!$C$13),AND(B20&lt;&gt;"Motorbike",D20-D19&lt;Log!$C$12)),0,IF(E19&lt;&gt;0,D20-D19,IF(E18=0,D20-D17,D20-D18)))</f>
        <v>0</v>
      </c>
      <c r="F20" s="104">
        <f t="shared" si="3"/>
        <v>0</v>
      </c>
      <c r="H20" s="71">
        <v>82</v>
      </c>
      <c r="I20" s="54" t="s">
        <v>4</v>
      </c>
      <c r="J20" s="5">
        <f>VLOOKUP(I20,Log!$B$2:$C$8,2,)</f>
        <v>1</v>
      </c>
      <c r="K20" s="5">
        <v>16.64</v>
      </c>
      <c r="L20" s="32">
        <f>IF(OR(AND(I20="Motorbike",K20-K19&lt;Log!$C$13),AND(I20&lt;&gt;"Motorbike",K20-K19&lt;Log!$C$12)),0,IF(L19&lt;&gt;0,K20-K19,IF(L18=0,K20-K17,K20-K18)))</f>
        <v>0</v>
      </c>
      <c r="M20" s="104">
        <f t="shared" si="4"/>
        <v>0</v>
      </c>
      <c r="N20" s="13"/>
      <c r="O20" s="58">
        <v>82</v>
      </c>
      <c r="P20" s="54" t="s">
        <v>4</v>
      </c>
      <c r="Q20" s="5">
        <f>VLOOKUP(P20,Log!$B$2:$C$8,2,)</f>
        <v>1</v>
      </c>
      <c r="R20" s="5">
        <v>17.04</v>
      </c>
      <c r="S20" s="32">
        <f>IF(OR(AND(P20="Motorbike",R20-R19&lt;Log!$C$13),AND(P20&lt;&gt;"Motorbike",R20-R19&lt;Log!$C$12)),0,IF(S19&lt;&gt;0,R20-R19,IF(S18=0,R20-R17,R20-R18)))</f>
        <v>1.7999999999999989</v>
      </c>
      <c r="T20" s="104">
        <f t="shared" si="5"/>
        <v>2.4839999999999982</v>
      </c>
    </row>
    <row r="21" spans="1:23" x14ac:dyDescent="0.25">
      <c r="A21" s="58">
        <v>94</v>
      </c>
      <c r="B21" s="54" t="s">
        <v>4</v>
      </c>
      <c r="C21" s="5">
        <f>VLOOKUP(B21,Log!$B$2:$C$8,2,)</f>
        <v>1</v>
      </c>
      <c r="D21" s="5">
        <v>18.52</v>
      </c>
      <c r="E21" s="32">
        <f>IF(OR(AND(B21="Motorbike",D21-D20&lt;Log!$C$13),AND(B21&lt;&gt;"Motorbike",D21-D20&lt;Log!$C$12)),0,IF(E20&lt;&gt;0,D21-D20,IF(E19=0,D21-D18,D21-D19)))</f>
        <v>2.5999999999999996</v>
      </c>
      <c r="F21" s="104">
        <f t="shared" si="3"/>
        <v>2.5999999999999996</v>
      </c>
      <c r="H21" s="71">
        <v>92</v>
      </c>
      <c r="I21" s="54" t="s">
        <v>4</v>
      </c>
      <c r="J21" s="5">
        <f>VLOOKUP(I21,Log!$B$2:$C$8,2,)</f>
        <v>1</v>
      </c>
      <c r="K21" s="5">
        <v>18.72</v>
      </c>
      <c r="L21" s="32">
        <f>IF(OR(AND(I21="Motorbike",K21-K20&lt;Log!$C$13),AND(I21&lt;&gt;"Motorbike",K21-K20&lt;Log!$C$12)),0,IF(L20&lt;&gt;0,K21-K20,IF(L19=0,K21-K18,K21-K19)))</f>
        <v>2.1199999999999974</v>
      </c>
      <c r="M21" s="104">
        <f t="shared" si="4"/>
        <v>2.1199999999999974</v>
      </c>
      <c r="N21" s="13"/>
      <c r="O21" s="58">
        <v>108</v>
      </c>
      <c r="P21" s="54" t="s">
        <v>5</v>
      </c>
      <c r="Q21" s="5">
        <f>VLOOKUP(P21,Log!$B$2:$C$8,2,)</f>
        <v>0.38</v>
      </c>
      <c r="R21" s="5">
        <v>17.12</v>
      </c>
      <c r="S21" s="32">
        <f>IF(OR(AND(P21="Motorbike",R21-R20&lt;Log!$C$13),AND(P21&lt;&gt;"Motorbike",R21-R20&lt;Log!$C$12)),0,IF(S20&lt;&gt;0,R21-R20,IF(S19=0,R21-R18,R21-R19)))</f>
        <v>0</v>
      </c>
      <c r="T21" s="104">
        <f t="shared" si="5"/>
        <v>0</v>
      </c>
    </row>
    <row r="22" spans="1:23" ht="15.75" thickBot="1" x14ac:dyDescent="0.3">
      <c r="A22" s="58">
        <v>99</v>
      </c>
      <c r="B22" s="54" t="s">
        <v>4</v>
      </c>
      <c r="C22" s="5">
        <f>VLOOKUP(B22,Log!$B$2:$C$8,2,)</f>
        <v>1</v>
      </c>
      <c r="D22" s="5">
        <v>20.440000000000001</v>
      </c>
      <c r="E22" s="32">
        <f>IF(OR(AND(B22="Motorbike",D22-D21&lt;Log!$C$13),AND(B22&lt;&gt;"Motorbike",D22-D21&lt;Log!$C$12)),0,IF(E21&lt;&gt;0,D22-D21,IF(E20=0,D22-D19,D22-D20)))</f>
        <v>1.9200000000000017</v>
      </c>
      <c r="F22" s="104">
        <f t="shared" si="3"/>
        <v>1.9200000000000017</v>
      </c>
      <c r="H22" s="64">
        <v>109</v>
      </c>
      <c r="I22" s="54" t="s">
        <v>4</v>
      </c>
      <c r="J22" s="5">
        <f>VLOOKUP(I22,Log!$B$2:$C$8,2,)</f>
        <v>1</v>
      </c>
      <c r="K22" s="5">
        <v>21.6</v>
      </c>
      <c r="L22" s="32">
        <f>IF(OR(AND(I22="Motorbike",K22-K21&lt;Log!$C$13),AND(I22&lt;&gt;"Motorbike",K22-K21&lt;Log!$C$12)),0,IF(L21&lt;&gt;0,K22-K21,IF(L20=0,K22-K19,K22-K20)))</f>
        <v>2.8800000000000026</v>
      </c>
      <c r="M22" s="104">
        <f t="shared" si="4"/>
        <v>2.8800000000000026</v>
      </c>
      <c r="N22" s="13"/>
      <c r="O22" s="58">
        <v>104</v>
      </c>
      <c r="P22" s="60" t="s">
        <v>4</v>
      </c>
      <c r="Q22" s="5">
        <f>VLOOKUP(P22,Log!$B$2:$C$8,2,)</f>
        <v>1</v>
      </c>
      <c r="R22" s="5">
        <v>18.600000000000001</v>
      </c>
      <c r="S22" s="32">
        <f>IF(OR(AND(P22="Motorbike",R22-R21&lt;Log!$C$13),AND(P22&lt;&gt;"Motorbike",R22-R21&lt;Log!$C$12)),0,IF(S21&lt;&gt;0,R22-R21,IF(S20=0,R22-R19,R22-R20)))</f>
        <v>1.5600000000000023</v>
      </c>
      <c r="T22" s="104">
        <f t="shared" si="5"/>
        <v>1.5600000000000023</v>
      </c>
    </row>
    <row r="23" spans="1:23" ht="15.75" thickBot="1" x14ac:dyDescent="0.3">
      <c r="A23" s="58">
        <v>134</v>
      </c>
      <c r="B23" s="54" t="s">
        <v>6</v>
      </c>
      <c r="C23" s="5">
        <f>VLOOKUP(B23,Log!$B$2:$C$8,2,)</f>
        <v>0.45</v>
      </c>
      <c r="D23" s="5">
        <v>21.84</v>
      </c>
      <c r="E23" s="32">
        <f>IF(OR(AND(B23="Motorbike",D23-D22&lt;Log!$C$13),AND(B23&lt;&gt;"Motorbike",D23-D22&lt;Log!$C$12)),0,IF(E22&lt;&gt;0,D23-D22,IF(E21=0,D23-D20,D23-D21)))</f>
        <v>1.3999999999999986</v>
      </c>
      <c r="F23" s="104">
        <f t="shared" si="3"/>
        <v>2.029999999999998</v>
      </c>
      <c r="H23" s="63">
        <v>136</v>
      </c>
      <c r="I23" s="54" t="s">
        <v>4</v>
      </c>
      <c r="J23" s="5">
        <f>VLOOKUP(I23,Log!$B$2:$C$8,2,)</f>
        <v>1</v>
      </c>
      <c r="K23" s="5">
        <v>25.92</v>
      </c>
      <c r="L23" s="32">
        <f>IF(OR(AND(I23="Motorbike",K23-K22&lt;Log!$C$13),AND(I23&lt;&gt;"Motorbike",K23-K22&lt;Log!$C$12)),0,IF(L22&lt;&gt;0,K23-K22,IF(L21=0,K23-K20,K23-K21)))</f>
        <v>4.32</v>
      </c>
      <c r="M23" s="32">
        <f t="shared" si="4"/>
        <v>6.2640000000000002</v>
      </c>
      <c r="N23" s="13"/>
      <c r="O23" s="59">
        <v>120</v>
      </c>
      <c r="P23" s="146" t="s">
        <v>18</v>
      </c>
      <c r="Q23" s="5">
        <f>VLOOKUP(P23,Log!$B$2:$C$8,2,)</f>
        <v>1.02</v>
      </c>
      <c r="R23" s="5">
        <v>19.84</v>
      </c>
      <c r="S23" s="32">
        <f>IF(OR(AND(P23="Motorbike",R23-R22&lt;Log!$C$13),AND(P23&lt;&gt;"Motorbike",R23-R22&lt;Log!$C$12)),0,IF(S22&lt;&gt;0,R23-R22,IF(S21=0,R23-R20,R23-R21)))</f>
        <v>1.2399999999999984</v>
      </c>
      <c r="T23" s="32">
        <f t="shared" si="5"/>
        <v>1.2647999999999984</v>
      </c>
    </row>
    <row r="24" spans="1:23" x14ac:dyDescent="0.25">
      <c r="A24" s="58">
        <v>112</v>
      </c>
      <c r="B24" s="54" t="s">
        <v>4</v>
      </c>
      <c r="C24" s="5">
        <f>VLOOKUP(B24,Log!$B$2:$C$8,2,)</f>
        <v>1</v>
      </c>
      <c r="D24" s="5">
        <v>22.32</v>
      </c>
      <c r="E24" s="32">
        <f>IF(OR(AND(B24="Motorbike",D24-D23&lt;Log!$C$13),AND(B24&lt;&gt;"Motorbike",D24-D23&lt;Log!$C$12)),0,IF(E23&lt;&gt;0,D24-D23,IF(E22=0,D24-D21,D24-D22)))</f>
        <v>0</v>
      </c>
      <c r="F24" s="104">
        <f t="shared" si="3"/>
        <v>0</v>
      </c>
      <c r="H24" s="71">
        <v>150</v>
      </c>
      <c r="I24" s="54" t="s">
        <v>6</v>
      </c>
      <c r="J24" s="5">
        <f>VLOOKUP(I24,Log!$B$2:$C$8,2,)</f>
        <v>0.45</v>
      </c>
      <c r="K24" s="5">
        <v>26</v>
      </c>
      <c r="L24" s="32">
        <f>IF(OR(AND(I24="Motorbike",K24-K23&lt;Log!$C$13),AND(I24&lt;&gt;"Motorbike",K24-K23&lt;Log!$C$12)),0,IF(L23&lt;&gt;0,K24-K23,IF(L22=0,K24-K21,K24-K22)))</f>
        <v>0</v>
      </c>
      <c r="M24" s="32">
        <f t="shared" si="4"/>
        <v>0</v>
      </c>
      <c r="N24" s="13"/>
      <c r="O24" s="56">
        <v>113</v>
      </c>
      <c r="P24" s="4" t="s">
        <v>4</v>
      </c>
      <c r="Q24" s="5">
        <f>VLOOKUP(P24,Log!$B$2:$C$8,2,)</f>
        <v>1</v>
      </c>
      <c r="R24" s="5">
        <v>25.4</v>
      </c>
      <c r="S24" s="32">
        <f>IF(OR(AND(P24="Motorbike",R24-R23&lt;Log!$C$13),AND(P24&lt;&gt;"Motorbike",R24-R23&lt;Log!$C$12)),0,IF(S23&lt;&gt;0,R24-R23,IF(S22=0,R24-R21,R24-R22)))</f>
        <v>5.5599999999999987</v>
      </c>
      <c r="T24" s="32">
        <f t="shared" si="5"/>
        <v>5.5599999999999987</v>
      </c>
    </row>
    <row r="25" spans="1:23" x14ac:dyDescent="0.25">
      <c r="A25" s="58">
        <v>143</v>
      </c>
      <c r="B25" s="54" t="s">
        <v>5</v>
      </c>
      <c r="C25" s="5">
        <f>VLOOKUP(B25,Log!$B$2:$C$8,2,)</f>
        <v>0.38</v>
      </c>
      <c r="D25" s="5">
        <v>23.52</v>
      </c>
      <c r="E25" s="32">
        <f>IF(OR(AND(B25="Motorbike",D25-D24&lt;Log!$C$13),AND(B25&lt;&gt;"Motorbike",D25-D24&lt;Log!$C$12)),0,IF(E24&lt;&gt;0,D25-D24,IF(E23=0,D25-D22,D25-D23)))</f>
        <v>1.6799999999999997</v>
      </c>
      <c r="F25" s="104">
        <f t="shared" si="3"/>
        <v>2.3183999999999996</v>
      </c>
      <c r="H25" s="71">
        <v>177</v>
      </c>
      <c r="I25" s="54" t="s">
        <v>5</v>
      </c>
      <c r="J25" s="5">
        <f>VLOOKUP(I25,Log!$B$2:$C$8,2,)</f>
        <v>0.38</v>
      </c>
      <c r="K25" s="5">
        <v>27.24</v>
      </c>
      <c r="L25" s="32">
        <f>IF(OR(AND(I25="Motorbike",K25-K24&lt;Log!$C$13),AND(I25&lt;&gt;"Motorbike",K25-K24&lt;Log!$C$12)),0,IF(L24&lt;&gt;0,K25-K24,IF(L23=0,K25-K22,K25-K23)))</f>
        <v>1.3199999999999967</v>
      </c>
      <c r="M25" s="32">
        <f t="shared" si="4"/>
        <v>1.8215999999999954</v>
      </c>
      <c r="N25" s="13"/>
      <c r="O25" s="4">
        <v>166</v>
      </c>
      <c r="P25" s="4" t="s">
        <v>6</v>
      </c>
      <c r="Q25" s="5">
        <f>VLOOKUP(P25,Log!$B$2:$C$8,2,)</f>
        <v>0.45</v>
      </c>
      <c r="R25" s="5">
        <v>27</v>
      </c>
      <c r="S25" s="32">
        <f>IF(OR(AND(P25="Motorbike",R25-R24&lt;Log!$C$13),AND(P25&lt;&gt;"Motorbike",R25-R24&lt;Log!$C$12)),0,IF(S24&lt;&gt;0,R25-R24,IF(S23=0,R25-R22,R25-R23)))</f>
        <v>1.6000000000000014</v>
      </c>
      <c r="T25" s="32">
        <f t="shared" si="5"/>
        <v>1.3280000000000014</v>
      </c>
    </row>
    <row r="26" spans="1:23" x14ac:dyDescent="0.25">
      <c r="A26" s="58">
        <v>130</v>
      </c>
      <c r="B26" s="54" t="s">
        <v>4</v>
      </c>
      <c r="C26" s="5">
        <f>VLOOKUP(B26,Log!$B$2:$C$8,2,)</f>
        <v>1</v>
      </c>
      <c r="D26" s="5">
        <v>24.12</v>
      </c>
      <c r="E26" s="32">
        <f>IF(OR(AND(B26="Motorbike",D26-D25&lt;Log!$C$13),AND(B26&lt;&gt;"Motorbike",D26-D25&lt;Log!$C$12)),0,IF(E25&lt;&gt;0,D26-D25,IF(E24=0,D26-D23,D26-D24)))</f>
        <v>0</v>
      </c>
      <c r="F26" s="104">
        <f t="shared" si="3"/>
        <v>0</v>
      </c>
      <c r="H26" s="71">
        <v>148</v>
      </c>
      <c r="I26" s="54" t="s">
        <v>4</v>
      </c>
      <c r="J26" s="5">
        <f>VLOOKUP(I26,Log!$B$2:$C$8,2,)</f>
        <v>1</v>
      </c>
      <c r="K26" s="5">
        <v>28.2</v>
      </c>
      <c r="L26" s="32">
        <f>IF(OR(AND(I26="Motorbike",K26-K25&lt;Log!$C$13),AND(I26&lt;&gt;"Motorbike",K26-K25&lt;Log!$C$12)),0,IF(L25&lt;&gt;0,K26-K25,IF(L24=0,K26-K23,K26-K24)))</f>
        <v>0</v>
      </c>
      <c r="M26" s="32">
        <f t="shared" si="4"/>
        <v>0</v>
      </c>
      <c r="N26" s="13"/>
      <c r="O26" s="4">
        <v>177</v>
      </c>
      <c r="P26" s="4" t="s">
        <v>5</v>
      </c>
      <c r="Q26" s="5">
        <f>VLOOKUP(P26,Log!$B$2:$C$8,2,)</f>
        <v>0.38</v>
      </c>
      <c r="R26" s="5">
        <v>27.44</v>
      </c>
      <c r="S26" s="32">
        <f>IF(OR(AND(P26="Motorbike",R26-R25&lt;Log!$C$13),AND(P26&lt;&gt;"Motorbike",R26-R25&lt;Log!$C$12)),0,IF(S25&lt;&gt;0,R26-R25,IF(S24=0,R26-R23,R26-R24)))</f>
        <v>0</v>
      </c>
      <c r="T26" s="32">
        <f t="shared" si="5"/>
        <v>0</v>
      </c>
    </row>
    <row r="27" spans="1:23" ht="15.75" thickBot="1" x14ac:dyDescent="0.3">
      <c r="A27" s="58">
        <v>138</v>
      </c>
      <c r="B27" s="146" t="s">
        <v>18</v>
      </c>
      <c r="C27" s="5">
        <f>VLOOKUP(B27,Log!$B$2:$C$8,2,)</f>
        <v>1.02</v>
      </c>
      <c r="D27" s="39">
        <v>25.52</v>
      </c>
      <c r="E27" s="32">
        <f>IF(OR(AND(B27="Motorbike",D27-D26&lt;Log!$C$13),AND(B27&lt;&gt;"Motorbike",D27-D26&lt;Log!$C$12)),0,IF(E26&lt;&gt;0,D27-D26,IF(E25=0,D27-D24,D27-D25)))</f>
        <v>2</v>
      </c>
      <c r="F27" s="32">
        <f t="shared" si="3"/>
        <v>2.8</v>
      </c>
      <c r="H27" s="64">
        <v>161</v>
      </c>
      <c r="I27" s="54" t="s">
        <v>4</v>
      </c>
      <c r="J27" s="5">
        <f>VLOOKUP(I27,Log!$B$2:$C$8,2,)</f>
        <v>1</v>
      </c>
      <c r="K27" s="5">
        <v>30</v>
      </c>
      <c r="L27" s="32">
        <f>IF(OR(AND(I27="Motorbike",K27-K26&lt;Log!$C$13),AND(I27&lt;&gt;"Motorbike",K27-K26&lt;Log!$C$12)),0,IF(L26&lt;&gt;0,K27-K26,IF(L25=0,K27-K24,K27-K25)))</f>
        <v>2.7600000000000016</v>
      </c>
      <c r="M27" s="32">
        <f t="shared" si="4"/>
        <v>2.7600000000000016</v>
      </c>
      <c r="N27" s="13"/>
      <c r="O27" s="4">
        <v>133</v>
      </c>
      <c r="P27" s="4" t="s">
        <v>4</v>
      </c>
      <c r="Q27" s="5">
        <f>VLOOKUP(P27,Log!$B$2:$C$8,2,)</f>
        <v>1</v>
      </c>
      <c r="R27" s="5">
        <v>28.6</v>
      </c>
      <c r="S27" s="32">
        <f>IF(OR(AND(P27="Motorbike",R27-R26&lt;Log!$C$13),AND(P27&lt;&gt;"Motorbike",R27-R26&lt;Log!$C$12)),0,IF(S26&lt;&gt;0,R27-R26,IF(S25=0,R27-R24,R27-R25)))</f>
        <v>1.6000000000000014</v>
      </c>
      <c r="T27" s="32">
        <f t="shared" si="5"/>
        <v>1.6000000000000014</v>
      </c>
    </row>
    <row r="28" spans="1:23" x14ac:dyDescent="0.25">
      <c r="A28" s="58">
        <v>147</v>
      </c>
      <c r="B28" s="60" t="s">
        <v>5</v>
      </c>
      <c r="C28" s="5">
        <f>VLOOKUP(B28,Log!$B$2:$C$8,2,)</f>
        <v>0.38</v>
      </c>
      <c r="D28" s="39">
        <v>25.72</v>
      </c>
      <c r="E28" s="32">
        <f>IF(OR(AND(B28="Motorbike",D28-D27&lt;Log!$C$13),AND(B28&lt;&gt;"Motorbike",D28-D27&lt;Log!$C$12)),0,IF(E27&lt;&gt;0,D28-D27,IF(E26=0,D28-D25,D28-D26)))</f>
        <v>0</v>
      </c>
      <c r="F28" s="32">
        <f t="shared" si="3"/>
        <v>0</v>
      </c>
      <c r="H28" s="62">
        <v>214</v>
      </c>
      <c r="I28" s="4" t="s">
        <v>4</v>
      </c>
      <c r="J28" s="5">
        <f>VLOOKUP(I28,Log!$B$2:$C$8,2,)</f>
        <v>1</v>
      </c>
      <c r="K28" s="5">
        <v>37.64</v>
      </c>
      <c r="L28" s="32">
        <f>IF(OR(AND(I28="Motorbike",K28-K27&lt;Log!$C$13),AND(I28&lt;&gt;"Motorbike",K28-K27&lt;Log!$C$12)),0,IF(L27&lt;&gt;0,K28-K27,IF(L26=0,K28-K25,K28-K26)))</f>
        <v>7.6400000000000006</v>
      </c>
      <c r="M28" s="32">
        <f t="shared" si="4"/>
        <v>7.6400000000000006</v>
      </c>
      <c r="N28" s="13"/>
      <c r="O28" s="4">
        <v>198</v>
      </c>
      <c r="P28" s="4" t="s">
        <v>5</v>
      </c>
      <c r="Q28" s="5">
        <f>VLOOKUP(P28,Log!$B$2:$C$8,2,)</f>
        <v>0.38</v>
      </c>
      <c r="R28" s="5">
        <v>30.64</v>
      </c>
      <c r="S28" s="32">
        <f>IF(OR(AND(P28="Motorbike",R28-R27&lt;Log!$C$13),AND(P28&lt;&gt;"Motorbike",R28-R27&lt;Log!$C$12)),0,IF(S27&lt;&gt;0,R28-R27,IF(S26=0,R28-R25,R28-R26)))</f>
        <v>2.0399999999999991</v>
      </c>
      <c r="T28" s="32">
        <f t="shared" si="5"/>
        <v>0.77519999999999967</v>
      </c>
    </row>
    <row r="29" spans="1:23" x14ac:dyDescent="0.25">
      <c r="A29" s="58">
        <v>180</v>
      </c>
      <c r="B29" s="54" t="s">
        <v>6</v>
      </c>
      <c r="C29" s="5">
        <f>VLOOKUP(B29,Log!$B$2:$C$8,2,)</f>
        <v>0.45</v>
      </c>
      <c r="D29" s="39">
        <v>27.2</v>
      </c>
      <c r="E29" s="32">
        <f>IF(OR(AND(B29="Motorbike",D29-D28&lt;Log!$C$13),AND(B29&lt;&gt;"Motorbike",D29-D28&lt;Log!$C$12)),0,IF(E28&lt;&gt;0,D29-D28,IF(E27=0,D29-D26,D29-D27)))</f>
        <v>1.6799999999999997</v>
      </c>
      <c r="F29" s="32">
        <f t="shared" si="3"/>
        <v>0.75599999999999989</v>
      </c>
      <c r="H29" s="14">
        <v>216</v>
      </c>
      <c r="I29" s="4" t="s">
        <v>4</v>
      </c>
      <c r="J29" s="5">
        <f>VLOOKUP(I29,Log!$B$2:$C$8,2,)</f>
        <v>1</v>
      </c>
      <c r="K29" s="5">
        <v>41.84</v>
      </c>
      <c r="L29" s="32">
        <f>IF(OR(AND(I29="Motorbike",K29-K28&lt;Log!$C$13),AND(I29&lt;&gt;"Motorbike",K29-K28&lt;Log!$C$12)),0,IF(L28&lt;&gt;0,K29-K28,IF(L27=0,K29-K26,K29-K27)))</f>
        <v>4.2000000000000028</v>
      </c>
      <c r="M29" s="32">
        <f t="shared" si="4"/>
        <v>4.2000000000000028</v>
      </c>
      <c r="N29" s="13"/>
      <c r="O29" s="4">
        <v>244</v>
      </c>
      <c r="P29" s="4" t="s">
        <v>4</v>
      </c>
      <c r="Q29" s="5">
        <f>VLOOKUP(P29,Log!$B$2:$C$8,2,)</f>
        <v>1</v>
      </c>
      <c r="R29" s="5">
        <v>35.24</v>
      </c>
      <c r="S29" s="32">
        <f>IF(OR(AND(P29="Motorbike",R29-R28&lt;Log!$C$13),AND(P29&lt;&gt;"Motorbike",R29-R28&lt;Log!$C$12)),0,IF(S28&lt;&gt;0,R29-R28,IF(S27=0,R29-R26,R29-R27)))</f>
        <v>4.6000000000000014</v>
      </c>
      <c r="T29" s="32">
        <f t="shared" si="5"/>
        <v>4.6000000000000014</v>
      </c>
      <c r="W29" s="11"/>
    </row>
    <row r="30" spans="1:23" x14ac:dyDescent="0.25">
      <c r="A30" s="58">
        <v>156</v>
      </c>
      <c r="B30" s="54" t="s">
        <v>6</v>
      </c>
      <c r="C30" s="5">
        <f>VLOOKUP(B30,Log!$B$2:$C$8,2,)</f>
        <v>0.45</v>
      </c>
      <c r="D30" s="39">
        <v>28.44</v>
      </c>
      <c r="E30" s="32">
        <f>IF(OR(AND(B30="Motorbike",D30-D29&lt;Log!$C$13),AND(B30&lt;&gt;"Motorbike",D30-D29&lt;Log!$C$12)),0,IF(E29&lt;&gt;0,D30-D29,IF(E28=0,D30-D27,D30-D28)))</f>
        <v>1.240000000000002</v>
      </c>
      <c r="F30" s="32">
        <f t="shared" si="3"/>
        <v>1.0292000000000017</v>
      </c>
      <c r="H30" s="14">
        <v>258</v>
      </c>
      <c r="I30" s="4" t="s">
        <v>4</v>
      </c>
      <c r="J30" s="5">
        <f>VLOOKUP(I30,Log!$B$2:$C$8,2,)</f>
        <v>1</v>
      </c>
      <c r="K30" s="5">
        <v>43.12</v>
      </c>
      <c r="L30" s="32">
        <f>IF(OR(AND(I30="Motorbike",K30-K29&lt;Log!$C$13),AND(I30&lt;&gt;"Motorbike",K30-K29&lt;Log!$C$12)),0,IF(L29&lt;&gt;0,K30-K29,IF(L28=0,K30-K27,K30-K28)))</f>
        <v>1.279999999999994</v>
      </c>
      <c r="M30" s="32">
        <f t="shared" si="4"/>
        <v>1.279999999999994</v>
      </c>
      <c r="N30" s="13"/>
      <c r="O30" s="4">
        <v>261</v>
      </c>
      <c r="P30" s="4" t="s">
        <v>4</v>
      </c>
      <c r="Q30" s="5">
        <f>VLOOKUP(P30,Log!$B$2:$C$8,2,)</f>
        <v>1</v>
      </c>
      <c r="R30" s="5">
        <v>39.92</v>
      </c>
      <c r="S30" s="32">
        <f>IF(OR(AND(P30="Motorbike",R30-R29&lt;Log!$C$13),AND(P30&lt;&gt;"Motorbike",R30-R29&lt;Log!$C$12)),0,IF(S29&lt;&gt;0,R30-R29,IF(S28=0,R30-R27,R30-R28)))</f>
        <v>4.68</v>
      </c>
      <c r="T30" s="32">
        <f t="shared" si="5"/>
        <v>4.68</v>
      </c>
      <c r="W30" s="11"/>
    </row>
    <row r="31" spans="1:23" x14ac:dyDescent="0.25">
      <c r="A31" s="58">
        <v>196</v>
      </c>
      <c r="B31" s="54" t="s">
        <v>5</v>
      </c>
      <c r="C31" s="5">
        <f>VLOOKUP(B31,Log!$B$2:$C$8,2,)</f>
        <v>0.38</v>
      </c>
      <c r="D31" s="39">
        <v>28.44</v>
      </c>
      <c r="E31" s="32">
        <f>IF(OR(AND(B31="Motorbike",D31-D30&lt;Log!$C$13),AND(B31&lt;&gt;"Motorbike",D31-D30&lt;Log!$C$12)),0,IF(E30&lt;&gt;0,D31-D30,IF(E29=0,D31-D28,D31-D29)))</f>
        <v>0</v>
      </c>
      <c r="F31" s="32">
        <f t="shared" si="3"/>
        <v>0</v>
      </c>
      <c r="H31" s="4">
        <v>260</v>
      </c>
      <c r="I31" s="4" t="s">
        <v>4</v>
      </c>
      <c r="J31" s="5">
        <f>VLOOKUP(I31,Log!$B$2:$C$8,2,)</f>
        <v>1</v>
      </c>
      <c r="K31" s="5">
        <v>45.12</v>
      </c>
      <c r="L31" s="32">
        <f>IF(OR(AND(I31="Motorbike",K31-K30&lt;Log!$C$13),AND(I31&lt;&gt;"Motorbike",K31-K30&lt;Log!$C$12)),0,IF(L30&lt;&gt;0,K31-K30,IF(L29=0,K31-K28,K31-K29)))</f>
        <v>2</v>
      </c>
      <c r="M31" s="32">
        <f t="shared" si="4"/>
        <v>2</v>
      </c>
      <c r="N31" s="13"/>
      <c r="O31" s="4">
        <v>216</v>
      </c>
      <c r="P31" s="4" t="s">
        <v>4</v>
      </c>
      <c r="Q31" s="5">
        <f>VLOOKUP(P31,Log!$B$2:$C$8,2,)</f>
        <v>1</v>
      </c>
      <c r="R31" s="5">
        <v>42.04</v>
      </c>
      <c r="S31" s="32">
        <f>IF(OR(AND(P31="Motorbike",R31-R30&lt;Log!$C$13),AND(P31&lt;&gt;"Motorbike",R31-R30&lt;Log!$C$12)),0,IF(S30&lt;&gt;0,R31-R30,IF(S29=0,R31-R28,R31-R29)))</f>
        <v>2.1199999999999974</v>
      </c>
      <c r="T31" s="32">
        <f t="shared" si="5"/>
        <v>2.1199999999999974</v>
      </c>
      <c r="W31" s="11"/>
    </row>
    <row r="32" spans="1:23" ht="15.75" thickBot="1" x14ac:dyDescent="0.3">
      <c r="A32" s="58">
        <v>169</v>
      </c>
      <c r="B32" s="54" t="s">
        <v>17</v>
      </c>
      <c r="C32" s="5">
        <f>VLOOKUP(B32,Log!$B$2:$C$8,2,)</f>
        <v>1.56</v>
      </c>
      <c r="D32" s="39">
        <v>30.64</v>
      </c>
      <c r="E32" s="105">
        <f>IF(OR(AND(B32="Motorbike",D32-D31&lt;Log!$C$13),AND(B32&lt;&gt;"Motorbike",D32-D31&lt;Log!$C$12)),0,IF(E31&lt;&gt;0,D32-D31,IF(E30=0,D32-D29,D32-D30)))</f>
        <v>2.1999999999999993</v>
      </c>
      <c r="F32" s="32">
        <f t="shared" si="3"/>
        <v>3.4319999999999991</v>
      </c>
      <c r="H32" s="13"/>
      <c r="I32" s="13"/>
      <c r="J32" s="13"/>
      <c r="K32" s="13"/>
      <c r="L32" s="13"/>
      <c r="M32" s="13"/>
      <c r="N32" s="13"/>
      <c r="O32" s="4">
        <v>292</v>
      </c>
      <c r="P32" s="4" t="s">
        <v>5</v>
      </c>
      <c r="Q32" s="5">
        <f>VLOOKUP(P32,Log!$B$2:$C$8,2,)</f>
        <v>0.38</v>
      </c>
      <c r="R32" s="5">
        <v>44.8</v>
      </c>
      <c r="S32" s="32">
        <f>IF(OR(AND(P32="Motorbike",R32-R31&lt;Log!$C$13),AND(P32&lt;&gt;"Motorbike",R32-R31&lt;Log!$C$12)),0,IF(S31&lt;&gt;0,R32-R31,IF(S30=0,R32-R29,R32-R30)))</f>
        <v>2.759999999999998</v>
      </c>
      <c r="T32" s="32">
        <f t="shared" si="5"/>
        <v>1.0487999999999993</v>
      </c>
      <c r="W32" s="11"/>
    </row>
    <row r="33" spans="1:23" ht="15.75" thickBot="1" x14ac:dyDescent="0.3">
      <c r="A33" s="58">
        <v>204</v>
      </c>
      <c r="B33" s="54" t="s">
        <v>5</v>
      </c>
      <c r="C33" s="5">
        <f>VLOOKUP(B33,Log!$B$2:$C$8,2,)</f>
        <v>0.38</v>
      </c>
      <c r="D33" s="108">
        <v>30.8</v>
      </c>
      <c r="E33" s="106">
        <f>D33-D32</f>
        <v>0.16000000000000014</v>
      </c>
      <c r="F33" s="32">
        <f t="shared" si="3"/>
        <v>6.0800000000000055E-2</v>
      </c>
      <c r="H33" s="13"/>
      <c r="I33" s="13"/>
      <c r="J33" s="13"/>
      <c r="K33" s="13"/>
      <c r="L33" s="13"/>
      <c r="M33" s="13"/>
      <c r="N33" s="13"/>
      <c r="W33" s="11"/>
    </row>
    <row r="34" spans="1:23" x14ac:dyDescent="0.25">
      <c r="A34" s="58">
        <v>208</v>
      </c>
      <c r="B34" s="54" t="s">
        <v>5</v>
      </c>
      <c r="C34" s="5">
        <f>VLOOKUP(B34,Log!$B$2:$C$8,2,)</f>
        <v>0.38</v>
      </c>
      <c r="D34" s="39">
        <v>31.32</v>
      </c>
      <c r="E34" s="103">
        <f>IF(OR(AND(B34="Motorbike",D34-D33&lt;Log!$C$13),AND(B34&lt;&gt;"Motorbike",D34-D33&lt;Log!$C$12)),0,IF(E33&lt;&gt;0,D34-D33,IF(E32=0,D34-D31,D34-D32)))</f>
        <v>0.51999999999999957</v>
      </c>
      <c r="F34" s="32">
        <f t="shared" si="3"/>
        <v>0.19759999999999983</v>
      </c>
      <c r="H34" s="13"/>
      <c r="I34" s="13"/>
      <c r="J34" s="13"/>
      <c r="K34" s="13"/>
      <c r="L34" s="13"/>
      <c r="M34" s="13"/>
      <c r="N34" s="13"/>
      <c r="W34" s="11"/>
    </row>
    <row r="35" spans="1:23" x14ac:dyDescent="0.25">
      <c r="A35" s="58">
        <v>226</v>
      </c>
      <c r="B35" s="54" t="s">
        <v>4</v>
      </c>
      <c r="C35" s="5">
        <f>VLOOKUP(B35,Log!$B$2:$C$8,2,)</f>
        <v>1</v>
      </c>
      <c r="D35" s="39">
        <v>32.72</v>
      </c>
      <c r="E35" s="32">
        <f>IF(OR(AND(B35="Motorbike",D35-D34&lt;Log!$C$13),AND(B35&lt;&gt;"Motorbike",D35-D34&lt;Log!$C$12)),0,IF(E34&lt;&gt;0,D35-D34,IF(E33=0,D35-D32,D35-D33)))</f>
        <v>1.3999999999999986</v>
      </c>
      <c r="F35" s="32">
        <f t="shared" si="3"/>
        <v>2.8279999999999972</v>
      </c>
      <c r="W35" s="11"/>
    </row>
    <row r="36" spans="1:23" ht="15.75" thickBot="1" x14ac:dyDescent="0.3">
      <c r="A36" s="59">
        <v>170</v>
      </c>
      <c r="B36" s="146" t="s">
        <v>18</v>
      </c>
      <c r="C36" s="5">
        <f>VLOOKUP(B36,Log!$B$2:$C$8,2,)</f>
        <v>1.02</v>
      </c>
      <c r="D36" s="39">
        <v>33.6</v>
      </c>
      <c r="E36" s="32">
        <f>IF(OR(AND(B36="Motorbike",D36-D35&lt;Log!$C$13),AND(B36&lt;&gt;"Motorbike",D36-D35&lt;Log!$C$12)),0,IF(E35&lt;&gt;0,D36-D35,IF(E34=0,D36-D33,D36-D34)))</f>
        <v>0</v>
      </c>
      <c r="F36" s="32">
        <f t="shared" si="3"/>
        <v>0</v>
      </c>
      <c r="W36" s="11"/>
    </row>
    <row r="37" spans="1:23" x14ac:dyDescent="0.25">
      <c r="A37" s="56">
        <v>237</v>
      </c>
      <c r="B37" s="4" t="s">
        <v>4</v>
      </c>
      <c r="C37" s="5">
        <f>VLOOKUP(B37,Log!$B$2:$C$8,2,)</f>
        <v>1</v>
      </c>
      <c r="D37" s="39">
        <v>35.4</v>
      </c>
      <c r="E37" s="32">
        <f>IF(OR(AND(B37="Motorbike",D37-D36&lt;Log!$C$13),AND(B37&lt;&gt;"Motorbike",D37-D36&lt;Log!$C$12)),0,IF(E36&lt;&gt;0,D37-D36,IF(E35=0,D37-D34,D37-D35)))</f>
        <v>2.6799999999999997</v>
      </c>
      <c r="F37" s="32">
        <f t="shared" si="3"/>
        <v>3.6983999999999995</v>
      </c>
      <c r="W37" s="11"/>
    </row>
    <row r="38" spans="1:23" x14ac:dyDescent="0.25">
      <c r="A38" s="4">
        <v>250</v>
      </c>
      <c r="B38" s="4" t="s">
        <v>5</v>
      </c>
      <c r="C38" s="5">
        <f>VLOOKUP(B38,Log!$B$2:$C$8,2,)</f>
        <v>0.38</v>
      </c>
      <c r="D38" s="39">
        <v>35.520000000000003</v>
      </c>
      <c r="E38" s="32">
        <f>IF(OR(AND(B38="Motorbike",D38-D37&lt;Log!$C$13),AND(B38&lt;&gt;"Motorbike",D38-D37&lt;Log!$C$12)),0,IF(E37&lt;&gt;0,D38-D37,IF(E36=0,D38-D35,D38-D36)))</f>
        <v>0</v>
      </c>
      <c r="F38" s="32">
        <f t="shared" si="3"/>
        <v>0</v>
      </c>
      <c r="W38" s="11"/>
    </row>
    <row r="39" spans="1:23" x14ac:dyDescent="0.25">
      <c r="A39" s="4">
        <v>218</v>
      </c>
      <c r="B39" s="4" t="s">
        <v>4</v>
      </c>
      <c r="C39" s="5">
        <f>VLOOKUP(B39,Log!$B$2:$C$8,2,)</f>
        <v>1</v>
      </c>
      <c r="D39" s="39">
        <v>37.32</v>
      </c>
      <c r="E39" s="32">
        <f>IF(OR(AND(B39="Motorbike",D39-D38&lt;Log!$C$13),AND(B39&lt;&gt;"Motorbike",D39-D38&lt;Log!$C$12)),0,IF(E38&lt;&gt;0,D39-D38,IF(E37=0,D39-D36,D39-D37)))</f>
        <v>1.9200000000000017</v>
      </c>
      <c r="F39" s="32">
        <f t="shared" si="3"/>
        <v>1.9200000000000017</v>
      </c>
      <c r="W39" s="11"/>
    </row>
    <row r="40" spans="1:23" x14ac:dyDescent="0.25">
      <c r="A40" s="4">
        <v>255</v>
      </c>
      <c r="B40" s="4" t="s">
        <v>5</v>
      </c>
      <c r="C40" s="5">
        <f>VLOOKUP(B40,Log!$B$2:$C$8,2,)</f>
        <v>0.38</v>
      </c>
      <c r="D40" s="39">
        <v>38.6</v>
      </c>
      <c r="E40" s="32">
        <f>IF(OR(AND(B40="Motorbike",D40-D39&lt;Log!$C$13),AND(B40&lt;&gt;"Motorbike",D40-D39&lt;Log!$C$12)),0,IF(E39&lt;&gt;0,D40-D39,IF(E38=0,D40-D37,D40-D38)))</f>
        <v>1.2800000000000011</v>
      </c>
      <c r="F40" s="32">
        <f t="shared" si="3"/>
        <v>0.48640000000000044</v>
      </c>
      <c r="W40" s="11"/>
    </row>
    <row r="41" spans="1:23" x14ac:dyDescent="0.25">
      <c r="A41" s="4">
        <v>285</v>
      </c>
      <c r="B41" s="4" t="s">
        <v>5</v>
      </c>
      <c r="C41" s="5">
        <f>VLOOKUP(B41,Log!$B$2:$C$8,2,)</f>
        <v>0.38</v>
      </c>
      <c r="D41" s="39">
        <v>39.64</v>
      </c>
      <c r="E41" s="32">
        <f>IF(OR(AND(B41="Motorbike",D41-D40&lt;Log!$C$13),AND(B41&lt;&gt;"Motorbike",D41-D40&lt;Log!$C$12)),0,IF(E40&lt;&gt;0,D41-D40,IF(E39=0,D41-D38,D41-D39)))</f>
        <v>1.0399999999999991</v>
      </c>
      <c r="F41" s="32">
        <f t="shared" si="3"/>
        <v>0.39519999999999966</v>
      </c>
      <c r="N41" s="42"/>
      <c r="W41" s="11"/>
    </row>
    <row r="42" spans="1:23" x14ac:dyDescent="0.25">
      <c r="A42" s="4">
        <v>236</v>
      </c>
      <c r="B42" s="4" t="s">
        <v>4</v>
      </c>
      <c r="C42" s="5">
        <f>VLOOKUP(B42,Log!$B$2:$C$8,2,)</f>
        <v>1</v>
      </c>
      <c r="D42" s="39">
        <v>40.92</v>
      </c>
      <c r="E42" s="32">
        <f>IF(OR(AND(B42="Motorbike",D42-D41&lt;Log!$C$13),AND(B42&lt;&gt;"Motorbike",D42-D41&lt;Log!$C$12)),0,IF(E41&lt;&gt;0,D42-D41,IF(E40=0,D42-D39,D42-D40)))</f>
        <v>1.2800000000000011</v>
      </c>
      <c r="F42" s="32">
        <f t="shared" si="3"/>
        <v>1.2800000000000011</v>
      </c>
      <c r="W42" s="11"/>
    </row>
    <row r="43" spans="1:23" x14ac:dyDescent="0.25">
      <c r="A43" s="4">
        <v>246</v>
      </c>
      <c r="B43" s="4" t="s">
        <v>4</v>
      </c>
      <c r="C43" s="5">
        <f>VLOOKUP(B43,Log!$B$2:$C$8,2,)</f>
        <v>1</v>
      </c>
      <c r="D43" s="39">
        <v>42.44</v>
      </c>
      <c r="E43" s="32">
        <f>IF(OR(AND(B43="Motorbike",D43-D42&lt;Log!$C$13),AND(B43&lt;&gt;"Motorbike",D43-D42&lt;Log!$C$12)),0,IF(E42&lt;&gt;0,D43-D42,IF(E41=0,D43-D40,D43-D41)))</f>
        <v>1.519999999999996</v>
      </c>
      <c r="F43" s="32">
        <f t="shared" si="3"/>
        <v>1.519999999999996</v>
      </c>
      <c r="S43" s="122"/>
      <c r="T43" s="122"/>
      <c r="W43" s="11"/>
    </row>
    <row r="44" spans="1:23" x14ac:dyDescent="0.25">
      <c r="S44" s="123"/>
      <c r="T44" s="123"/>
      <c r="W44" s="11"/>
    </row>
  </sheetData>
  <mergeCells count="4">
    <mergeCell ref="C1:D1"/>
    <mergeCell ref="A11:F11"/>
    <mergeCell ref="H11:M11"/>
    <mergeCell ref="O11:T11"/>
  </mergeCells>
  <conditionalFormatting sqref="E13">
    <cfRule type="cellIs" dxfId="78" priority="34" operator="greaterThan">
      <formula>4</formula>
    </cfRule>
  </conditionalFormatting>
  <conditionalFormatting sqref="E14:E43">
    <cfRule type="cellIs" dxfId="77" priority="16" operator="greaterThanOrEqual">
      <formula>4</formula>
    </cfRule>
  </conditionalFormatting>
  <conditionalFormatting sqref="F14:F43">
    <cfRule type="cellIs" dxfId="76" priority="18" operator="greaterThan">
      <formula>4</formula>
    </cfRule>
  </conditionalFormatting>
  <conditionalFormatting sqref="L13">
    <cfRule type="cellIs" dxfId="75" priority="36" operator="greaterThan">
      <formula>4</formula>
    </cfRule>
  </conditionalFormatting>
  <conditionalFormatting sqref="L14:L31">
    <cfRule type="cellIs" dxfId="74" priority="9" operator="greaterThanOrEqual">
      <formula>4</formula>
    </cfRule>
  </conditionalFormatting>
  <conditionalFormatting sqref="M15:M31">
    <cfRule type="cellIs" dxfId="73" priority="11" operator="greaterThan">
      <formula>4</formula>
    </cfRule>
  </conditionalFormatting>
  <conditionalFormatting sqref="S13">
    <cfRule type="cellIs" dxfId="72" priority="32" operator="greaterThan">
      <formula>4</formula>
    </cfRule>
  </conditionalFormatting>
  <conditionalFormatting sqref="S14:S32">
    <cfRule type="cellIs" dxfId="71" priority="2" operator="greaterThanOrEqual">
      <formula>4</formula>
    </cfRule>
  </conditionalFormatting>
  <conditionalFormatting sqref="T14:T32">
    <cfRule type="cellIs" dxfId="70" priority="4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2795B0F7-C1D9-4444-990C-F99B808A8937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E14:E43 L14:L31 S14:S32</xm:sqref>
        </x14:conditionalFormatting>
        <x14:conditionalFormatting xmlns:xm="http://schemas.microsoft.com/office/excel/2006/main">
          <x14:cfRule type="expression" priority="15" id="{A091B314-6404-4430-B771-0233373C428F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E15:E43 L14:L31 S14:S32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F6111-4504-4992-9B3D-979962F4D1D7}">
  <sheetPr codeName="Sheet11"/>
  <dimension ref="A1:W71"/>
  <sheetViews>
    <sheetView topLeftCell="A34" zoomScaleNormal="100" workbookViewId="0">
      <selection activeCell="D14" sqref="D14:D40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1" ht="15.75" x14ac:dyDescent="0.25">
      <c r="C1" s="164" t="s">
        <v>25</v>
      </c>
      <c r="D1" s="164"/>
      <c r="E1" s="33" t="s">
        <v>61</v>
      </c>
      <c r="F1" s="33"/>
      <c r="G1" s="33"/>
      <c r="H1" s="33"/>
      <c r="I1" s="33"/>
      <c r="J1" s="33"/>
    </row>
    <row r="2" spans="1:21" x14ac:dyDescent="0.25">
      <c r="S2" s="126"/>
      <c r="T2" s="126"/>
    </row>
    <row r="3" spans="1:21" x14ac:dyDescent="0.25">
      <c r="A3" s="4" t="s">
        <v>4</v>
      </c>
      <c r="B3" s="128">
        <f>100*COUNTIF($B$15:$B$34,A3)/COUNTA($B$15:$B$34)</f>
        <v>65</v>
      </c>
      <c r="H3" s="4" t="s">
        <v>4</v>
      </c>
      <c r="I3" s="128">
        <f>100*COUNTIF($I$21:$I$35,H3)/COUNTA($I$21:$I$35)</f>
        <v>73.333333333333329</v>
      </c>
      <c r="L3" s="42"/>
      <c r="M3" s="42"/>
      <c r="O3" s="4" t="s">
        <v>4</v>
      </c>
      <c r="P3" s="128">
        <f>100*COUNTIF($P$13:$P$34,O3)/COUNTA($P$13:$P$34)</f>
        <v>50</v>
      </c>
      <c r="S3" s="122"/>
      <c r="T3" s="122"/>
    </row>
    <row r="4" spans="1:21" x14ac:dyDescent="0.25">
      <c r="A4" s="4" t="s">
        <v>6</v>
      </c>
      <c r="B4" s="128">
        <f t="shared" ref="B4:B8" si="0">100*COUNTIF($B$15:$B$34,A4)/COUNTA($B$15:$B$34)</f>
        <v>5</v>
      </c>
      <c r="H4" s="4" t="s">
        <v>6</v>
      </c>
      <c r="I4" s="128">
        <f t="shared" ref="I4:I8" si="1">100*COUNTIF($I$21:$I$35,H4)/COUNTA($I$21:$I$35)</f>
        <v>20</v>
      </c>
      <c r="L4" s="124"/>
      <c r="M4" s="124"/>
      <c r="O4" s="4" t="s">
        <v>6</v>
      </c>
      <c r="P4" s="128">
        <f t="shared" ref="P4:P8" si="2">100*COUNTIF($P$13:$P$34,O4)/COUNTA($P$13:$P$34)</f>
        <v>27.272727272727273</v>
      </c>
      <c r="S4" s="123"/>
      <c r="T4" s="123"/>
    </row>
    <row r="5" spans="1:21" x14ac:dyDescent="0.25">
      <c r="A5" s="4" t="s">
        <v>5</v>
      </c>
      <c r="B5" s="128">
        <f t="shared" si="0"/>
        <v>30</v>
      </c>
      <c r="E5" s="27" t="s">
        <v>22</v>
      </c>
      <c r="F5" s="27" t="s">
        <v>21</v>
      </c>
      <c r="H5" s="4" t="s">
        <v>5</v>
      </c>
      <c r="I5" s="128">
        <f t="shared" si="1"/>
        <v>6.666666666666667</v>
      </c>
      <c r="L5" s="27" t="s">
        <v>22</v>
      </c>
      <c r="M5" s="27" t="s">
        <v>21</v>
      </c>
      <c r="O5" s="4" t="s">
        <v>5</v>
      </c>
      <c r="P5" s="128">
        <f t="shared" si="2"/>
        <v>22.727272727272727</v>
      </c>
      <c r="S5" s="27" t="s">
        <v>22</v>
      </c>
      <c r="T5" s="27" t="s">
        <v>21</v>
      </c>
    </row>
    <row r="6" spans="1:21" x14ac:dyDescent="0.25">
      <c r="A6" s="4" t="s">
        <v>18</v>
      </c>
      <c r="B6" s="128">
        <f t="shared" si="0"/>
        <v>0</v>
      </c>
      <c r="D6" s="28" t="s">
        <v>66</v>
      </c>
      <c r="E6" s="24">
        <f>COUNTA(B13:B40)*3600/D40</f>
        <v>2307.6923076923076</v>
      </c>
      <c r="F6" s="24">
        <f>SUM(C13:C40)*3600/D40</f>
        <v>1912.0879120879122</v>
      </c>
      <c r="H6" s="4" t="s">
        <v>18</v>
      </c>
      <c r="I6" s="128">
        <f t="shared" si="1"/>
        <v>0</v>
      </c>
      <c r="K6" s="28" t="s">
        <v>66</v>
      </c>
      <c r="L6" s="24">
        <f>COUNTA(I13:I35)*3600/K35</f>
        <v>2221.0300429184549</v>
      </c>
      <c r="M6" s="24">
        <f>SUM(J13:J35)*3600/K35</f>
        <v>1824.141630901287</v>
      </c>
      <c r="O6" s="4" t="s">
        <v>18</v>
      </c>
      <c r="P6" s="128">
        <f t="shared" si="2"/>
        <v>0</v>
      </c>
      <c r="R6" s="28" t="s">
        <v>66</v>
      </c>
      <c r="S6" s="24">
        <f>COUNTA(P13:P35)*3600/R35</f>
        <v>2233.009708737864</v>
      </c>
      <c r="T6" s="24">
        <f>SUM(Q13:Q35)*3600/R35</f>
        <v>1611.6504854368934</v>
      </c>
      <c r="U6" s="124"/>
    </row>
    <row r="7" spans="1:21" x14ac:dyDescent="0.25">
      <c r="A7" s="4" t="s">
        <v>7</v>
      </c>
      <c r="B7" s="128">
        <f t="shared" si="0"/>
        <v>0</v>
      </c>
      <c r="D7" s="28" t="s">
        <v>20</v>
      </c>
      <c r="E7" s="23">
        <f>SUM(E21:E26)</f>
        <v>7.9599999999999991</v>
      </c>
      <c r="F7" s="23">
        <f>SUM(F21:F26)</f>
        <v>6.3779999999999983</v>
      </c>
      <c r="H7" s="4" t="s">
        <v>7</v>
      </c>
      <c r="I7" s="128">
        <f t="shared" si="1"/>
        <v>0</v>
      </c>
      <c r="K7" s="28" t="s">
        <v>20</v>
      </c>
      <c r="L7" s="23">
        <f>SUM(L14:L37)</f>
        <v>35.400000000000006</v>
      </c>
      <c r="M7" s="23">
        <f>SUM(M14:M37)</f>
        <v>31.798800000000004</v>
      </c>
      <c r="O7" s="4" t="s">
        <v>7</v>
      </c>
      <c r="P7" s="128">
        <f t="shared" si="2"/>
        <v>0</v>
      </c>
      <c r="R7" s="28" t="s">
        <v>12</v>
      </c>
      <c r="S7" s="23">
        <f>SUM(S14:S36)</f>
        <v>33.479999999999997</v>
      </c>
      <c r="T7" s="23">
        <f>SUM(T14:T36)</f>
        <v>31.215599999999995</v>
      </c>
    </row>
    <row r="8" spans="1:21" ht="15.75" thickBot="1" x14ac:dyDescent="0.3">
      <c r="A8" s="4" t="s">
        <v>23</v>
      </c>
      <c r="B8" s="128">
        <f t="shared" si="0"/>
        <v>0</v>
      </c>
      <c r="D8" s="28" t="s">
        <v>13</v>
      </c>
      <c r="E8" s="26">
        <f>AVERAGEIF(E14:E40,"&lt;&gt;0")</f>
        <v>1.82</v>
      </c>
      <c r="F8" s="26">
        <f>AVERAGEIF(F15:F34,"&lt;&gt;0")</f>
        <v>1.539711111111111</v>
      </c>
      <c r="H8" s="4" t="s">
        <v>23</v>
      </c>
      <c r="I8" s="128">
        <f t="shared" si="1"/>
        <v>0</v>
      </c>
      <c r="K8" s="28" t="s">
        <v>13</v>
      </c>
      <c r="L8" s="26">
        <f>AVERAGEIF(L14:L35,"&lt;&gt;0")</f>
        <v>1.7700000000000002</v>
      </c>
      <c r="M8" s="26">
        <f>AVERAGEIF(M21:M35,"&lt;&gt;0")</f>
        <v>1.5738571428571428</v>
      </c>
      <c r="O8" s="4" t="s">
        <v>23</v>
      </c>
      <c r="P8" s="128">
        <f t="shared" si="2"/>
        <v>0</v>
      </c>
      <c r="R8" s="28" t="s">
        <v>13</v>
      </c>
      <c r="S8" s="26">
        <f>AVERAGEIF(S14:S36,"&lt;&gt;0")</f>
        <v>1.9694117647058822</v>
      </c>
      <c r="T8" s="26">
        <f>AVERAGEIF(T13:T34,"&lt;&gt;0")</f>
        <v>1.7259749999999996</v>
      </c>
    </row>
    <row r="9" spans="1:21" ht="15.75" thickBot="1" x14ac:dyDescent="0.3">
      <c r="D9" s="28" t="s">
        <v>1</v>
      </c>
      <c r="E9" s="25">
        <f>3600/E8</f>
        <v>1978.0219780219779</v>
      </c>
      <c r="F9" s="29">
        <f>3600/F8</f>
        <v>2338.1009424567378</v>
      </c>
      <c r="K9" s="28" t="s">
        <v>1</v>
      </c>
      <c r="L9" s="25">
        <f>3600/L8</f>
        <v>2033.8983050847455</v>
      </c>
      <c r="M9" s="29">
        <f>3600/M8</f>
        <v>2287.3740582735772</v>
      </c>
      <c r="R9" s="28" t="s">
        <v>1</v>
      </c>
      <c r="S9" s="25">
        <f>3600/S8</f>
        <v>1827.9569892473119</v>
      </c>
      <c r="T9" s="29">
        <f>3600/T8</f>
        <v>2085.777603962978</v>
      </c>
    </row>
    <row r="11" spans="1:21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1" ht="56.25" customHeight="1" thickBot="1" x14ac:dyDescent="0.3">
      <c r="A12" s="55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3" t="s">
        <v>9</v>
      </c>
      <c r="Q12" s="3" t="s">
        <v>3</v>
      </c>
      <c r="R12" s="3" t="s">
        <v>2</v>
      </c>
      <c r="S12" s="6" t="s">
        <v>14</v>
      </c>
      <c r="T12" s="77" t="s">
        <v>11</v>
      </c>
    </row>
    <row r="13" spans="1:21" ht="15.75" thickBot="1" x14ac:dyDescent="0.3">
      <c r="A13" s="113">
        <v>2</v>
      </c>
      <c r="B13" s="110" t="s">
        <v>4</v>
      </c>
      <c r="C13" s="112">
        <f>VLOOKUP(B13,Log!$B$2:$C$8,2,)</f>
        <v>1</v>
      </c>
      <c r="D13" s="112">
        <v>0</v>
      </c>
      <c r="E13" s="114">
        <v>0</v>
      </c>
      <c r="F13" s="135">
        <v>0</v>
      </c>
      <c r="H13" s="109">
        <v>9</v>
      </c>
      <c r="I13" s="110" t="s">
        <v>5</v>
      </c>
      <c r="J13" s="112">
        <f>VLOOKUP(I13,Log!$B$2:$C$8,2,)</f>
        <v>0.38</v>
      </c>
      <c r="K13" s="113">
        <v>1.48</v>
      </c>
      <c r="L13" s="114">
        <v>0</v>
      </c>
      <c r="M13" s="114">
        <v>0</v>
      </c>
      <c r="N13" s="13"/>
      <c r="O13" s="109">
        <v>8</v>
      </c>
      <c r="P13" s="110" t="s">
        <v>6</v>
      </c>
      <c r="Q13" s="112">
        <f>VLOOKUP(P13,Log!$B$2:$C$8,2,)</f>
        <v>0.45</v>
      </c>
      <c r="R13" s="113">
        <v>3.6</v>
      </c>
      <c r="S13" s="138">
        <v>0</v>
      </c>
      <c r="T13" s="139">
        <v>0</v>
      </c>
    </row>
    <row r="14" spans="1:21" x14ac:dyDescent="0.25">
      <c r="A14" s="115">
        <v>3</v>
      </c>
      <c r="B14" s="110" t="s">
        <v>4</v>
      </c>
      <c r="C14" s="112">
        <f>VLOOKUP(B14,Log!$B$2:$C$8,2,)</f>
        <v>1</v>
      </c>
      <c r="D14" s="112">
        <v>2.8</v>
      </c>
      <c r="E14" s="138">
        <f>IF(OR(AND(B14="Motorbike",D14-D13&lt;Log!$C$13),AND(B14&lt;&gt;"Motorbike",D14-D13&lt;Log!$C$12)),0,D14-D13)</f>
        <v>2.8</v>
      </c>
      <c r="F14" s="151">
        <f>IF(E15&lt;&gt;0,C14*E14,IF(E16=0,(C14+C15+C16)*E14,(C14+C15)*E14))</f>
        <v>2.8</v>
      </c>
      <c r="H14" s="111">
        <v>17</v>
      </c>
      <c r="I14" s="110" t="s">
        <v>5</v>
      </c>
      <c r="J14" s="112">
        <f>VLOOKUP(I14,Log!$B$2:$C$8,2,)</f>
        <v>0.38</v>
      </c>
      <c r="K14" s="113">
        <v>1.88</v>
      </c>
      <c r="L14" s="114">
        <f>IF(OR(AND(I14="Motorbike",K14-K13&lt;Log!$C$13),AND(I14&lt;&gt;"Motorbike",K14-K13&lt;Log!$C$12)),0,K14-K13)</f>
        <v>0</v>
      </c>
      <c r="M14" s="114">
        <f>IF(L15&lt;&gt;0,J14*L14,IF(L16=0,(J14+J15+J16)*L14,(J14+J15)*L14))</f>
        <v>0</v>
      </c>
      <c r="N14" s="13"/>
      <c r="O14" s="71">
        <v>56</v>
      </c>
      <c r="P14" s="60" t="s">
        <v>5</v>
      </c>
      <c r="Q14" s="5">
        <f>VLOOKUP(P14,Log!$B$2:$C$8,2,)</f>
        <v>0.38</v>
      </c>
      <c r="R14" s="4">
        <v>4.5999999999999996</v>
      </c>
      <c r="S14" s="132">
        <f>IF(OR(AND(P14="Motorbike",R14-R13&lt;Log!$C$13),AND(P14&lt;&gt;"Motorbike",R14-R13&lt;Log!$C$12)),0,R14-R13)</f>
        <v>0.99999999999999956</v>
      </c>
      <c r="T14" s="133">
        <f t="shared" ref="T14:T34" si="3">IF(S15&lt;&gt;0,Q14*S14,IF(S16=0,(Q14+Q15+Q16)*S14,(Q14+Q15)*S14))</f>
        <v>0.37999999999999984</v>
      </c>
    </row>
    <row r="15" spans="1:21" x14ac:dyDescent="0.25">
      <c r="A15" s="71">
        <v>10</v>
      </c>
      <c r="B15" s="60" t="s">
        <v>4</v>
      </c>
      <c r="C15" s="5">
        <f>VLOOKUP(B15,Log!$B$2:$C$8,2,)</f>
        <v>1</v>
      </c>
      <c r="D15" s="4">
        <v>5.92</v>
      </c>
      <c r="E15" s="132">
        <f>IF(OR(AND(B15="Motorbike",D15-D14&lt;Log!$C$13),AND(B15&lt;&gt;"Motorbike",D15-D14&lt;Log!$C$12)),0,D15-D14)</f>
        <v>3.12</v>
      </c>
      <c r="F15" s="133">
        <f t="shared" ref="F15:F40" si="4">IF(E16&lt;&gt;0,C15*E15,IF(E17=0,(C15+C16+C17)*E15,(C15+C16)*E15))</f>
        <v>3.12</v>
      </c>
      <c r="H15" s="111">
        <v>3</v>
      </c>
      <c r="I15" s="110" t="s">
        <v>4</v>
      </c>
      <c r="J15" s="112">
        <f>VLOOKUP(I15,Log!$B$2:$C$8,2,)</f>
        <v>1</v>
      </c>
      <c r="K15" s="113">
        <v>2.92</v>
      </c>
      <c r="L15" s="114">
        <f>IF(OR(AND(I15="Motorbike",K15-K14&lt;Log!$C$13),AND(I15&lt;&gt;"Motorbike",K15-K14&lt;Log!$C$12)),0,K15-K14)</f>
        <v>1.04</v>
      </c>
      <c r="M15" s="114">
        <f t="shared" ref="M15:M35" si="5">IF(L16&lt;&gt;0,J15*L15,IF(L17=0,(J15+J16+J17)*L15,(J15+J16)*L15))</f>
        <v>1.04</v>
      </c>
      <c r="N15" s="13"/>
      <c r="O15" s="58">
        <v>38</v>
      </c>
      <c r="P15" s="54" t="s">
        <v>5</v>
      </c>
      <c r="Q15" s="5">
        <f>VLOOKUP(P15,Log!$B$2:$C$8,2,)</f>
        <v>0.38</v>
      </c>
      <c r="R15" s="4">
        <v>5.4</v>
      </c>
      <c r="S15" s="132">
        <f>IF(OR(AND(P15="Motorbike",R15-R14&lt;Log!$C$13),AND(P15&lt;&gt;"Motorbike",R15-R14&lt;Log!$C$12)),0,R15-R14)</f>
        <v>0.80000000000000071</v>
      </c>
      <c r="T15" s="133">
        <f t="shared" si="3"/>
        <v>1.104000000000001</v>
      </c>
    </row>
    <row r="16" spans="1:21" x14ac:dyDescent="0.25">
      <c r="A16" s="58">
        <v>35</v>
      </c>
      <c r="B16" s="54" t="s">
        <v>4</v>
      </c>
      <c r="C16" s="5">
        <f>VLOOKUP(B16,Log!$B$2:$C$8,2,)</f>
        <v>1</v>
      </c>
      <c r="D16" s="5">
        <v>7.4</v>
      </c>
      <c r="E16" s="132">
        <f>IF(OR(AND(B16="Motorbike",D16-D15&lt;Log!$C$13),AND(B16&lt;&gt;"Motorbike",D16-D15&lt;Log!$C$12)),0,IF(E15&lt;&gt;0,D16-D15,IF(E14=0,D16-D13,D16-D14)))</f>
        <v>1.4800000000000004</v>
      </c>
      <c r="F16" s="133">
        <f t="shared" si="4"/>
        <v>1.4800000000000004</v>
      </c>
      <c r="H16" s="71">
        <v>21</v>
      </c>
      <c r="I16" s="60" t="s">
        <v>5</v>
      </c>
      <c r="J16" s="5">
        <f>VLOOKUP(I16,Log!$B$2:$C$8,2,)</f>
        <v>0.38</v>
      </c>
      <c r="K16" s="4">
        <v>4.08</v>
      </c>
      <c r="L16" s="32">
        <f>IF(OR(AND(I16="Motorbike",K16-K15&lt;Log!$C$13),AND(I16&lt;&gt;"Motorbike",K16-K15&lt;Log!$C$12)),0,IF(L15&lt;&gt;0,K16-K15,IF(L14=0,K16-K13,K16-K14)))</f>
        <v>1.1600000000000001</v>
      </c>
      <c r="M16" s="32">
        <f t="shared" si="5"/>
        <v>0.44080000000000008</v>
      </c>
      <c r="N16" s="13"/>
      <c r="O16" s="58">
        <v>7</v>
      </c>
      <c r="P16" s="54" t="s">
        <v>4</v>
      </c>
      <c r="Q16" s="5">
        <f>VLOOKUP(P16,Log!$B$2:$C$8,2,)</f>
        <v>1</v>
      </c>
      <c r="R16" s="4">
        <v>5.72</v>
      </c>
      <c r="S16" s="132">
        <f>IF(OR(AND(P16="Motorbike",R16-R15&lt;Log!$C$13),AND(P16&lt;&gt;"Motorbike",R16-R15&lt;Log!$C$12)),0,IF(S15&lt;&gt;0,R16-R15,IF(S14=0,R16-R13,R16-R14)))</f>
        <v>0</v>
      </c>
      <c r="T16" s="133">
        <f t="shared" si="3"/>
        <v>0</v>
      </c>
    </row>
    <row r="17" spans="1:20" x14ac:dyDescent="0.25">
      <c r="A17" s="58">
        <v>63</v>
      </c>
      <c r="B17" s="54" t="s">
        <v>4</v>
      </c>
      <c r="C17" s="5">
        <f>VLOOKUP(B17,Log!$B$2:$C$8,2,)</f>
        <v>1</v>
      </c>
      <c r="D17" s="5">
        <v>9.2799999999999994</v>
      </c>
      <c r="E17" s="132">
        <f>IF(OR(AND(B17="Motorbike",D17-D16&lt;Log!$C$13),AND(B17&lt;&gt;"Motorbike",D17-D16&lt;Log!$C$12)),0,IF(E16&lt;&gt;0,D17-D16,IF(E15=0,D17-D14,D17-D15)))</f>
        <v>1.879999999999999</v>
      </c>
      <c r="F17" s="133">
        <f t="shared" si="4"/>
        <v>1.879999999999999</v>
      </c>
      <c r="H17" s="71">
        <v>4</v>
      </c>
      <c r="I17" s="54" t="s">
        <v>4</v>
      </c>
      <c r="J17" s="5">
        <f>VLOOKUP(I17,Log!$B$2:$C$8,2,)</f>
        <v>1</v>
      </c>
      <c r="K17" s="4">
        <v>5.32</v>
      </c>
      <c r="L17" s="32">
        <f>IF(OR(AND(I17="Motorbike",K17-K16&lt;Log!$C$13),AND(I17&lt;&gt;"Motorbike",K17-K16&lt;Log!$C$12)),0,IF(L16&lt;&gt;0,K17-K16,IF(L15=0,K17-K14,K17-K15)))</f>
        <v>1.2400000000000002</v>
      </c>
      <c r="M17" s="32">
        <f t="shared" si="5"/>
        <v>1.2400000000000002</v>
      </c>
      <c r="N17" s="13"/>
      <c r="O17" s="58">
        <v>22</v>
      </c>
      <c r="P17" s="54" t="s">
        <v>4</v>
      </c>
      <c r="Q17" s="5">
        <f>VLOOKUP(P17,Log!$B$2:$C$8,2,)</f>
        <v>1</v>
      </c>
      <c r="R17" s="4">
        <v>7.52</v>
      </c>
      <c r="S17" s="132">
        <f>IF(OR(AND(P17="Motorbike",R17-R16&lt;Log!$C$13),AND(P17&lt;&gt;"Motorbike",R17-R16&lt;Log!$C$12)),0,IF(S16&lt;&gt;0,R17-R16,IF(S15=0,R17-R14,R17-R15)))</f>
        <v>2.1199999999999992</v>
      </c>
      <c r="T17" s="133">
        <f t="shared" si="3"/>
        <v>2.1199999999999992</v>
      </c>
    </row>
    <row r="18" spans="1:20" x14ac:dyDescent="0.25">
      <c r="A18" s="58">
        <v>81</v>
      </c>
      <c r="B18" s="54" t="s">
        <v>5</v>
      </c>
      <c r="C18" s="5">
        <f>VLOOKUP(B18,Log!$B$2:$C$8,2,)</f>
        <v>0.38</v>
      </c>
      <c r="D18" s="5">
        <v>10</v>
      </c>
      <c r="E18" s="132">
        <f>IF(OR(AND(B18="Motorbike",D18-D17&lt;Log!$C$13),AND(B18&lt;&gt;"Motorbike",D18-D17&lt;Log!$C$12)),0,IF(E17&lt;&gt;0,D18-D17,IF(E16=0,D18-D15,D18-D16)))</f>
        <v>0.72000000000000064</v>
      </c>
      <c r="F18" s="133">
        <f t="shared" si="4"/>
        <v>0.27360000000000023</v>
      </c>
      <c r="H18" s="71">
        <v>12</v>
      </c>
      <c r="I18" s="54" t="s">
        <v>4</v>
      </c>
      <c r="J18" s="5">
        <f>VLOOKUP(I18,Log!$B$2:$C$8,2,)</f>
        <v>1</v>
      </c>
      <c r="K18" s="4">
        <v>7.48</v>
      </c>
      <c r="L18" s="32">
        <f>IF(OR(AND(I18="Motorbike",K18-K17&lt;Log!$C$13),AND(I18&lt;&gt;"Motorbike",K18-K17&lt;Log!$C$12)),0,IF(L17&lt;&gt;0,K18-K17,IF(L16=0,K18-K15,K18-K16)))</f>
        <v>2.16</v>
      </c>
      <c r="M18" s="32">
        <f t="shared" si="5"/>
        <v>2.16</v>
      </c>
      <c r="N18" s="13"/>
      <c r="O18" s="58">
        <v>33</v>
      </c>
      <c r="P18" s="54" t="s">
        <v>4</v>
      </c>
      <c r="Q18" s="5">
        <f>VLOOKUP(P18,Log!$B$2:$C$8,2,)</f>
        <v>1</v>
      </c>
      <c r="R18" s="4">
        <v>8.6</v>
      </c>
      <c r="S18" s="132">
        <f>IF(OR(AND(P18="Motorbike",R18-R17&lt;Log!$C$13),AND(P18&lt;&gt;"Motorbike",R18-R17&lt;Log!$C$12)),0,IF(S17&lt;&gt;0,R18-R17,IF(S16=0,R18-R15,R18-R16)))</f>
        <v>1.08</v>
      </c>
      <c r="T18" s="133">
        <f t="shared" si="3"/>
        <v>1.08</v>
      </c>
    </row>
    <row r="19" spans="1:20" ht="15.75" thickBot="1" x14ac:dyDescent="0.3">
      <c r="A19" s="58">
        <v>93</v>
      </c>
      <c r="B19" s="54" t="s">
        <v>5</v>
      </c>
      <c r="C19" s="5">
        <f>VLOOKUP(B19,Log!$B$2:$C$8,2,)</f>
        <v>0.38</v>
      </c>
      <c r="D19" s="5">
        <v>11</v>
      </c>
      <c r="E19" s="132">
        <f>IF(OR(AND(B19="Motorbike",D19-D18&lt;Log!$C$13),AND(B19&lt;&gt;"Motorbike",D19-D18&lt;Log!$C$12)),0,IF(E18&lt;&gt;0,D19-D18,IF(E17=0,D19-D16,D19-D17)))</f>
        <v>1</v>
      </c>
      <c r="F19" s="133">
        <f t="shared" si="4"/>
        <v>0.38</v>
      </c>
      <c r="H19" s="71">
        <v>52</v>
      </c>
      <c r="I19" s="54" t="s">
        <v>4</v>
      </c>
      <c r="J19" s="5">
        <f>VLOOKUP(I19,Log!$B$2:$C$8,2,)</f>
        <v>1</v>
      </c>
      <c r="K19" s="4">
        <v>10.119999999999999</v>
      </c>
      <c r="L19" s="32">
        <f>IF(OR(AND(I19="Motorbike",K19-K18&lt;Log!$C$13),AND(I19&lt;&gt;"Motorbike",K19-K18&lt;Log!$C$12)),0,IF(L18&lt;&gt;0,K19-K18,IF(L17=0,K19-K16,K19-K17)))</f>
        <v>2.6399999999999988</v>
      </c>
      <c r="M19" s="105">
        <f t="shared" si="5"/>
        <v>2.6399999999999988</v>
      </c>
      <c r="N19" s="13"/>
      <c r="O19" s="58">
        <v>79</v>
      </c>
      <c r="P19" s="54" t="s">
        <v>5</v>
      </c>
      <c r="Q19" s="5">
        <f>VLOOKUP(P19,Log!$B$2:$C$8,2,)</f>
        <v>0.38</v>
      </c>
      <c r="R19" s="4">
        <v>9.1199999999999992</v>
      </c>
      <c r="S19" s="132">
        <f>IF(OR(AND(P19="Motorbike",R19-R18&lt;Log!$C$13),AND(P19&lt;&gt;"Motorbike",R19-R18&lt;Log!$C$12)),0,IF(S18&lt;&gt;0,R19-R18,IF(S17=0,R19-R16,R19-R17)))</f>
        <v>0.51999999999999957</v>
      </c>
      <c r="T19" s="133">
        <f t="shared" si="3"/>
        <v>0.39519999999999966</v>
      </c>
    </row>
    <row r="20" spans="1:20" x14ac:dyDescent="0.25">
      <c r="A20" s="58">
        <v>84</v>
      </c>
      <c r="B20" s="54" t="s">
        <v>5</v>
      </c>
      <c r="C20" s="5">
        <f>VLOOKUP(B20,Log!$B$2:$C$8,2,)</f>
        <v>0.38</v>
      </c>
      <c r="D20" s="5">
        <v>11.72</v>
      </c>
      <c r="E20" s="132">
        <f>IF(OR(AND(B20="Motorbike",D20-D19&lt;Log!$C$13),AND(B20&lt;&gt;"Motorbike",D20-D19&lt;Log!$C$12)),0,IF(E19&lt;&gt;0,D20-D19,IF(E18=0,D20-D17,D20-D18)))</f>
        <v>0.72000000000000064</v>
      </c>
      <c r="F20" s="133">
        <f t="shared" si="4"/>
        <v>0.54720000000000046</v>
      </c>
      <c r="H20" s="71">
        <v>85</v>
      </c>
      <c r="I20" s="146" t="s">
        <v>18</v>
      </c>
      <c r="J20" s="5">
        <f>VLOOKUP(I20,Log!$B$2:$C$8,2,)</f>
        <v>1.02</v>
      </c>
      <c r="K20" s="4">
        <v>12.32</v>
      </c>
      <c r="L20" s="132">
        <f>IF(OR(AND(I20="Motorbike",K20-K19&lt;Log!$C$13),AND(I20&lt;&gt;"Motorbike",K20-K19&lt;Log!$C$12)),0,IF(L19&lt;&gt;0,K20-K19,IF(L18=0,K20-K17,K20-K18)))</f>
        <v>2.2000000000000011</v>
      </c>
      <c r="M20" s="142">
        <f t="shared" si="5"/>
        <v>2.2440000000000011</v>
      </c>
      <c r="N20" s="13"/>
      <c r="O20" s="58">
        <v>78</v>
      </c>
      <c r="P20" s="54" t="s">
        <v>5</v>
      </c>
      <c r="Q20" s="5">
        <f>VLOOKUP(P20,Log!$B$2:$C$8,2,)</f>
        <v>0.38</v>
      </c>
      <c r="R20" s="4">
        <v>9.6</v>
      </c>
      <c r="S20" s="132">
        <f>IF(OR(AND(P20="Motorbike",R20-R19&lt;Log!$C$13),AND(P20&lt;&gt;"Motorbike",R20-R19&lt;Log!$C$12)),0,IF(S19&lt;&gt;0,R20-R19,IF(S18=0,R20-R17,R20-R18)))</f>
        <v>0</v>
      </c>
      <c r="T20" s="133">
        <f t="shared" si="3"/>
        <v>0</v>
      </c>
    </row>
    <row r="21" spans="1:20" x14ac:dyDescent="0.25">
      <c r="A21" s="58">
        <v>95</v>
      </c>
      <c r="B21" s="54" t="s">
        <v>5</v>
      </c>
      <c r="C21" s="5">
        <f>VLOOKUP(B21,Log!$B$2:$C$8,2,)</f>
        <v>0.38</v>
      </c>
      <c r="D21" s="5">
        <v>12.2</v>
      </c>
      <c r="E21" s="132">
        <f>IF(OR(AND(B21="Motorbike",D21-D20&lt;Log!$C$13),AND(B21&lt;&gt;"Motorbike",D21-D20&lt;Log!$C$12)),0,IF(E20&lt;&gt;0,D21-D20,IF(E19=0,D21-D18,D21-D19)))</f>
        <v>0</v>
      </c>
      <c r="F21" s="133">
        <f t="shared" si="4"/>
        <v>0</v>
      </c>
      <c r="H21" s="71">
        <v>97</v>
      </c>
      <c r="I21" s="54" t="s">
        <v>4</v>
      </c>
      <c r="J21" s="5">
        <f>VLOOKUP(I21,Log!$B$2:$C$8,2,)</f>
        <v>1</v>
      </c>
      <c r="K21" s="4">
        <v>15</v>
      </c>
      <c r="L21" s="132">
        <f>IF(OR(AND(I21="Motorbike",K21-K20&lt;Log!$C$13),AND(I21&lt;&gt;"Motorbike",K21-K20&lt;Log!$C$12)),0,IF(L20&lt;&gt;0,K21-K20,IF(L19=0,K21-K18,K21-K19)))</f>
        <v>2.6799999999999997</v>
      </c>
      <c r="M21" s="133">
        <f t="shared" si="5"/>
        <v>2.6799999999999997</v>
      </c>
      <c r="N21" s="13"/>
      <c r="O21" s="58">
        <v>60</v>
      </c>
      <c r="P21" s="54" t="s">
        <v>6</v>
      </c>
      <c r="Q21" s="5">
        <f>VLOOKUP(P21,Log!$B$2:$C$8,2,)</f>
        <v>0.45</v>
      </c>
      <c r="R21" s="4">
        <v>11.48</v>
      </c>
      <c r="S21" s="132">
        <f>IF(OR(AND(P21="Motorbike",R21-R20&lt;Log!$C$13),AND(P21&lt;&gt;"Motorbike",R21-R20&lt;Log!$C$12)),0,IF(S20&lt;&gt;0,R21-R20,IF(S19=0,R21-R18,R21-R19)))</f>
        <v>2.3600000000000012</v>
      </c>
      <c r="T21" s="133">
        <f t="shared" si="3"/>
        <v>1.0620000000000005</v>
      </c>
    </row>
    <row r="22" spans="1:20" x14ac:dyDescent="0.25">
      <c r="A22" s="58">
        <v>108</v>
      </c>
      <c r="B22" s="54" t="s">
        <v>4</v>
      </c>
      <c r="C22" s="5">
        <f>VLOOKUP(B22,Log!$B$2:$C$8,2,)</f>
        <v>1</v>
      </c>
      <c r="D22" s="5">
        <v>13.48</v>
      </c>
      <c r="E22" s="132">
        <f>IF(OR(AND(B22="Motorbike",D22-D21&lt;Log!$C$13),AND(B22&lt;&gt;"Motorbike",D22-D21&lt;Log!$C$12)),0,IF(E21&lt;&gt;0,D22-D21,IF(E20=0,D22-D19,D22-D20)))</f>
        <v>1.7599999999999998</v>
      </c>
      <c r="F22" s="133">
        <f t="shared" si="4"/>
        <v>1.7599999999999998</v>
      </c>
      <c r="H22" s="71">
        <v>106</v>
      </c>
      <c r="I22" s="54" t="s">
        <v>6</v>
      </c>
      <c r="J22" s="5">
        <f>VLOOKUP(I22,Log!$B$2:$C$8,2,)</f>
        <v>0.45</v>
      </c>
      <c r="K22" s="4">
        <v>16.48</v>
      </c>
      <c r="L22" s="132">
        <f>IF(OR(AND(I22="Motorbike",K22-K21&lt;Log!$C$13),AND(I22&lt;&gt;"Motorbike",K22-K21&lt;Log!$C$12)),0,IF(L21&lt;&gt;0,K22-K21,IF(L20=0,K22-K19,K22-K20)))</f>
        <v>1.4800000000000004</v>
      </c>
      <c r="M22" s="133">
        <f t="shared" si="5"/>
        <v>0.66600000000000026</v>
      </c>
      <c r="N22" s="13"/>
      <c r="O22" s="58">
        <v>50</v>
      </c>
      <c r="P22" s="60" t="s">
        <v>4</v>
      </c>
      <c r="Q22" s="5">
        <f>VLOOKUP(P22,Log!$B$2:$C$8,2,)</f>
        <v>1</v>
      </c>
      <c r="R22" s="4">
        <v>12.68</v>
      </c>
      <c r="S22" s="132">
        <f>IF(OR(AND(P22="Motorbike",R22-R21&lt;Log!$C$13),AND(P22&lt;&gt;"Motorbike",R22-R21&lt;Log!$C$12)),0,IF(S21&lt;&gt;0,R22-R21,IF(S20=0,R22-R19,R22-R20)))</f>
        <v>1.1999999999999993</v>
      </c>
      <c r="T22" s="133">
        <f t="shared" si="3"/>
        <v>1.1999999999999993</v>
      </c>
    </row>
    <row r="23" spans="1:20" x14ac:dyDescent="0.25">
      <c r="A23" s="58">
        <v>101</v>
      </c>
      <c r="B23" s="54" t="s">
        <v>5</v>
      </c>
      <c r="C23" s="5">
        <f>VLOOKUP(B23,Log!$B$2:$C$8,2,)</f>
        <v>0.38</v>
      </c>
      <c r="D23" s="5">
        <v>14.08</v>
      </c>
      <c r="E23" s="132">
        <f>IF(OR(AND(B23="Motorbike",D23-D22&lt;Log!$C$13),AND(B23&lt;&gt;"Motorbike",D23-D22&lt;Log!$C$12)),0,IF(E22&lt;&gt;0,D23-D22,IF(E21=0,D23-D20,D23-D21)))</f>
        <v>0.59999999999999964</v>
      </c>
      <c r="F23" s="133">
        <f t="shared" si="4"/>
        <v>0.22799999999999987</v>
      </c>
      <c r="H23" s="71">
        <v>126</v>
      </c>
      <c r="I23" s="54" t="s">
        <v>4</v>
      </c>
      <c r="J23" s="5">
        <f>VLOOKUP(I23,Log!$B$2:$C$8,2,)</f>
        <v>1</v>
      </c>
      <c r="K23" s="4">
        <v>18.12</v>
      </c>
      <c r="L23" s="132">
        <f>IF(OR(AND(I23="Motorbike",K23-K22&lt;Log!$C$13),AND(I23&lt;&gt;"Motorbike",K23-K22&lt;Log!$C$12)),0,IF(L22&lt;&gt;0,K23-K22,IF(L21=0,K23-K20,K23-K21)))</f>
        <v>1.6400000000000006</v>
      </c>
      <c r="M23" s="133">
        <f t="shared" si="5"/>
        <v>1.6400000000000006</v>
      </c>
      <c r="N23" s="13"/>
      <c r="O23" s="58">
        <v>80</v>
      </c>
      <c r="P23" s="54" t="s">
        <v>4</v>
      </c>
      <c r="Q23" s="5">
        <f>VLOOKUP(P23,Log!$B$2:$C$8,2,)</f>
        <v>1</v>
      </c>
      <c r="R23" s="4">
        <v>14.72</v>
      </c>
      <c r="S23" s="132">
        <f>IF(OR(AND(P23="Motorbike",R23-R22&lt;Log!$C$13),AND(P23&lt;&gt;"Motorbike",R23-R22&lt;Log!$C$12)),0,IF(S22&lt;&gt;0,R23-R22,IF(S21=0,R23-R20,R23-R21)))</f>
        <v>2.0400000000000009</v>
      </c>
      <c r="T23" s="133">
        <f t="shared" si="3"/>
        <v>2.0400000000000009</v>
      </c>
    </row>
    <row r="24" spans="1:20" x14ac:dyDescent="0.25">
      <c r="A24" s="58">
        <v>114</v>
      </c>
      <c r="B24" s="54" t="s">
        <v>6</v>
      </c>
      <c r="C24" s="5">
        <f>VLOOKUP(B24,Log!$B$2:$C$8,2,)</f>
        <v>0.45</v>
      </c>
      <c r="D24" s="5">
        <v>16.28</v>
      </c>
      <c r="E24" s="132">
        <f>IF(OR(AND(B24="Motorbike",D24-D23&lt;Log!$C$13),AND(B24&lt;&gt;"Motorbike",D24-D23&lt;Log!$C$12)),0,IF(E23&lt;&gt;0,D24-D23,IF(E22=0,D24-D21,D24-D22)))</f>
        <v>2.2000000000000011</v>
      </c>
      <c r="F24" s="133">
        <f t="shared" si="4"/>
        <v>0.99000000000000055</v>
      </c>
      <c r="H24" s="71">
        <v>120</v>
      </c>
      <c r="I24" s="54" t="s">
        <v>4</v>
      </c>
      <c r="J24" s="5">
        <f>VLOOKUP(I24,Log!$B$2:$C$8,2,)</f>
        <v>1</v>
      </c>
      <c r="K24" s="4">
        <v>19.8</v>
      </c>
      <c r="L24" s="132">
        <f>IF(OR(AND(I24="Motorbike",K24-K23&lt;Log!$C$13),AND(I24&lt;&gt;"Motorbike",K24-K23&lt;Log!$C$12)),0,IF(L23&lt;&gt;0,K24-K23,IF(L22=0,K24-K21,K24-K22)))</f>
        <v>1.6799999999999997</v>
      </c>
      <c r="M24" s="133">
        <f t="shared" si="5"/>
        <v>1.6799999999999997</v>
      </c>
      <c r="N24" s="13"/>
      <c r="O24" s="100">
        <v>100</v>
      </c>
      <c r="P24" s="81" t="s">
        <v>6</v>
      </c>
      <c r="Q24" s="5">
        <f>VLOOKUP(P24,Log!$B$2:$C$8,2,)</f>
        <v>0.45</v>
      </c>
      <c r="R24" s="4">
        <v>16.2</v>
      </c>
      <c r="S24" s="132">
        <f>IF(OR(AND(P24="Motorbike",R24-R23&lt;Log!$C$13),AND(P24&lt;&gt;"Motorbike",R24-R23&lt;Log!$C$12)),0,IF(S23&lt;&gt;0,R24-R23,IF(S22=0,R24-R21,R24-R22)))</f>
        <v>1.4799999999999986</v>
      </c>
      <c r="T24" s="133">
        <f t="shared" si="3"/>
        <v>1.8943999999999983</v>
      </c>
    </row>
    <row r="25" spans="1:20" x14ac:dyDescent="0.25">
      <c r="A25" s="58">
        <v>126</v>
      </c>
      <c r="B25" s="54" t="s">
        <v>4</v>
      </c>
      <c r="C25" s="5">
        <f>VLOOKUP(B25,Log!$B$2:$C$8,2,)</f>
        <v>1</v>
      </c>
      <c r="D25" s="5">
        <v>17.88</v>
      </c>
      <c r="E25" s="132">
        <f>IF(OR(AND(B25="Motorbike",D25-D24&lt;Log!$C$13),AND(B25&lt;&gt;"Motorbike",D25-D24&lt;Log!$C$12)),0,IF(E24&lt;&gt;0,D25-D24,IF(E23=0,D25-D22,D25-D23)))</f>
        <v>1.5999999999999979</v>
      </c>
      <c r="F25" s="133">
        <f t="shared" si="4"/>
        <v>1.5999999999999979</v>
      </c>
      <c r="H25" s="71">
        <v>153</v>
      </c>
      <c r="I25" s="54" t="s">
        <v>6</v>
      </c>
      <c r="J25" s="5">
        <f>VLOOKUP(I25,Log!$B$2:$C$8,2,)</f>
        <v>0.45</v>
      </c>
      <c r="K25" s="4">
        <v>21.48</v>
      </c>
      <c r="L25" s="132">
        <f>IF(OR(AND(I25="Motorbike",K25-K24&lt;Log!$C$13),AND(I25&lt;&gt;"Motorbike",K25-K24&lt;Log!$C$12)),0,IF(L24&lt;&gt;0,K25-K24,IF(L23=0,K25-K22,K25-K23)))</f>
        <v>1.6799999999999997</v>
      </c>
      <c r="M25" s="133">
        <f t="shared" si="5"/>
        <v>0.75599999999999989</v>
      </c>
      <c r="N25" s="13"/>
      <c r="O25" s="58">
        <v>115</v>
      </c>
      <c r="P25" s="54" t="s">
        <v>6</v>
      </c>
      <c r="Q25" s="5">
        <f>VLOOKUP(P25,Log!$B$2:$C$8,2,)</f>
        <v>0.45</v>
      </c>
      <c r="R25" s="41">
        <v>16.8</v>
      </c>
      <c r="S25" s="132">
        <f>IF(OR(AND(P25="Motorbike",R25-R24&lt;Log!$C$13),AND(P25&lt;&gt;"Motorbike",R25-R24&lt;Log!$C$12)),0,IF(S24&lt;&gt;0,R25-R24,IF(S23=0,R25-R22,R25-R23)))</f>
        <v>0</v>
      </c>
      <c r="T25" s="133">
        <f t="shared" si="3"/>
        <v>0</v>
      </c>
    </row>
    <row r="26" spans="1:20" x14ac:dyDescent="0.25">
      <c r="A26" s="58">
        <v>105</v>
      </c>
      <c r="B26" s="54" t="s">
        <v>4</v>
      </c>
      <c r="C26" s="5">
        <f>VLOOKUP(B26,Log!$B$2:$C$8,2,)</f>
        <v>1</v>
      </c>
      <c r="D26" s="5">
        <v>19.68</v>
      </c>
      <c r="E26" s="132">
        <f>IF(OR(AND(B26="Motorbike",D26-D25&lt;Log!$C$13),AND(B26&lt;&gt;"Motorbike",D26-D25&lt;Log!$C$12)),0,IF(E25&lt;&gt;0,D26-D25,IF(E24=0,D26-D23,D26-D24)))</f>
        <v>1.8000000000000007</v>
      </c>
      <c r="F26" s="133">
        <f t="shared" si="4"/>
        <v>1.8000000000000007</v>
      </c>
      <c r="H26" s="71">
        <v>142</v>
      </c>
      <c r="I26" s="54" t="s">
        <v>4</v>
      </c>
      <c r="J26" s="5">
        <f>VLOOKUP(I26,Log!$B$2:$C$8,2,)</f>
        <v>1</v>
      </c>
      <c r="K26" s="4">
        <v>22.48</v>
      </c>
      <c r="L26" s="132">
        <f>IF(OR(AND(I26="Motorbike",K26-K25&lt;Log!$C$13),AND(I26&lt;&gt;"Motorbike",K26-K25&lt;Log!$C$12)),0,IF(L25&lt;&gt;0,K26-K25,IF(L24=0,K26-K23,K26-K24)))</f>
        <v>1</v>
      </c>
      <c r="M26" s="133">
        <f t="shared" si="5"/>
        <v>1</v>
      </c>
      <c r="N26" s="13"/>
      <c r="O26" s="58">
        <v>145</v>
      </c>
      <c r="P26" s="54" t="s">
        <v>5</v>
      </c>
      <c r="Q26" s="5">
        <f>VLOOKUP(P26,Log!$B$2:$C$8,2,)</f>
        <v>0.38</v>
      </c>
      <c r="R26" s="4">
        <v>17.2</v>
      </c>
      <c r="S26" s="132">
        <f>IF(OR(AND(OR(P26="Motorbike",P26="CNG",),R26-R25&lt;Log!$C$13),AND(OR(P26&lt;&gt;"Motorbike",P26&lt;&gt;"CNG"),R26-R25&lt;Log!$C$12)),0,IF(S25&lt;&gt;0,R26-R25,IF(S24=0,R26-R23,R26-R24)))</f>
        <v>0</v>
      </c>
      <c r="T26" s="133">
        <f t="shared" si="3"/>
        <v>0</v>
      </c>
    </row>
    <row r="27" spans="1:20" x14ac:dyDescent="0.25">
      <c r="A27" s="58">
        <v>136</v>
      </c>
      <c r="B27" s="54" t="s">
        <v>4</v>
      </c>
      <c r="C27" s="5">
        <f>VLOOKUP(B27,Log!$B$2:$C$8,2,)</f>
        <v>1</v>
      </c>
      <c r="D27" s="5">
        <v>22.28</v>
      </c>
      <c r="E27" s="132">
        <f>IF(OR(AND(B27="Motorbike",D27-D26&lt;Log!$C$13),AND(B27&lt;&gt;"Motorbike",D27-D26&lt;Log!$C$12)),0,IF(E26&lt;&gt;0,D27-D26,IF(E25=0,D27-D24,D27-D25)))</f>
        <v>2.6000000000000014</v>
      </c>
      <c r="F27" s="133">
        <f t="shared" si="4"/>
        <v>2.6000000000000014</v>
      </c>
      <c r="H27" s="71">
        <v>157</v>
      </c>
      <c r="I27" s="54" t="s">
        <v>6</v>
      </c>
      <c r="J27" s="5">
        <f>VLOOKUP(I27,Log!$B$2:$C$8,2,)</f>
        <v>0.45</v>
      </c>
      <c r="K27" s="4">
        <v>25.92</v>
      </c>
      <c r="L27" s="132">
        <f>IF(OR(AND(I27="Motorbike",K27-K26&lt;Log!$C$13),AND(I27&lt;&gt;"Motorbike",K27-K26&lt;Log!$C$12)),0,IF(L26&lt;&gt;0,K27-K26,IF(L25=0,K27-K24,K27-K25)))</f>
        <v>3.4400000000000013</v>
      </c>
      <c r="M27" s="133">
        <f t="shared" si="5"/>
        <v>1.5480000000000007</v>
      </c>
      <c r="N27" s="13"/>
      <c r="O27" s="58">
        <v>117</v>
      </c>
      <c r="P27" s="54" t="s">
        <v>4</v>
      </c>
      <c r="Q27" s="5">
        <f>VLOOKUP(P27,Log!$B$2:$C$8,2,)</f>
        <v>1</v>
      </c>
      <c r="R27" s="4">
        <v>18.600000000000001</v>
      </c>
      <c r="S27" s="132">
        <f>IF(OR(AND(OR(P27="Motorbike",P27="CNG",),R27-R26&lt;Log!$C$13),AND(OR(P27&lt;&gt;"Motorbike",P27&lt;&gt;"CNG"),R27-R26&lt;Log!$C$12)),0,IF(S26&lt;&gt;0,R27-R26,IF(S25=0,R27-R24,R27-R25)))</f>
        <v>2.4000000000000021</v>
      </c>
      <c r="T27" s="133">
        <f t="shared" si="3"/>
        <v>2.4000000000000021</v>
      </c>
    </row>
    <row r="28" spans="1:20" x14ac:dyDescent="0.25">
      <c r="A28" s="58">
        <v>159</v>
      </c>
      <c r="B28" s="54" t="s">
        <v>4</v>
      </c>
      <c r="C28" s="5">
        <f>VLOOKUP(B28,Log!$B$2:$C$8,2,)</f>
        <v>1</v>
      </c>
      <c r="D28" s="5">
        <v>23.68</v>
      </c>
      <c r="E28" s="132">
        <f>IF(OR(AND(B28="Motorbike",D28-D27&lt;Log!$C$13),AND(B28&lt;&gt;"Motorbike",D28-D27&lt;Log!$C$12)),0,IF(E27&lt;&gt;0,D28-D27,IF(E26=0,D28-D25,D28-D26)))</f>
        <v>1.3999999999999986</v>
      </c>
      <c r="F28" s="133">
        <f t="shared" si="4"/>
        <v>1.3999999999999986</v>
      </c>
      <c r="H28" s="71">
        <v>162</v>
      </c>
      <c r="I28" s="54" t="s">
        <v>4</v>
      </c>
      <c r="J28" s="5">
        <f>VLOOKUP(I28,Log!$B$2:$C$8,2,)</f>
        <v>1</v>
      </c>
      <c r="K28" s="4">
        <v>27.12</v>
      </c>
      <c r="L28" s="132">
        <f>IF(OR(AND(I28="Motorbike",K28-K27&lt;Log!$C$13),AND(I28&lt;&gt;"Motorbike",K28-K27&lt;Log!$C$12)),0,IF(L27&lt;&gt;0,K28-K27,IF(L26=0,K28-K25,K28-K26)))</f>
        <v>1.1999999999999993</v>
      </c>
      <c r="M28" s="133">
        <f t="shared" si="5"/>
        <v>1.1999999999999993</v>
      </c>
      <c r="N28" s="13"/>
      <c r="O28" s="58">
        <v>127</v>
      </c>
      <c r="P28" s="54" t="s">
        <v>4</v>
      </c>
      <c r="Q28" s="5">
        <f>VLOOKUP(P28,Log!$B$2:$C$8,2,)</f>
        <v>1</v>
      </c>
      <c r="R28" s="4">
        <v>20.399999999999999</v>
      </c>
      <c r="S28" s="132">
        <f>IF(OR(AND(OR(P28="Motorbike",P28="CNG",),R28-R27&lt;Log!$C$13),AND(OR(P28&lt;&gt;"Motorbike",P28&lt;&gt;"CNG"),R28-R27&lt;Log!$C$12)),0,IF(S27&lt;&gt;0,R28-R27,IF(S26=0,R28-R25,R28-R26)))</f>
        <v>1.7999999999999972</v>
      </c>
      <c r="T28" s="133">
        <f t="shared" si="3"/>
        <v>1.7999999999999972</v>
      </c>
    </row>
    <row r="29" spans="1:20" x14ac:dyDescent="0.25">
      <c r="A29" s="58">
        <v>171</v>
      </c>
      <c r="B29" s="54" t="s">
        <v>4</v>
      </c>
      <c r="C29" s="5">
        <f>VLOOKUP(B29,Log!$B$2:$C$8,2,)</f>
        <v>1</v>
      </c>
      <c r="D29" s="5">
        <v>25.32</v>
      </c>
      <c r="E29" s="132">
        <f>IF(OR(AND(B29="Motorbike",D29-D28&lt;Log!$C$13),AND(B29&lt;&gt;"Motorbike",D29-D28&lt;Log!$C$12)),0,IF(E28&lt;&gt;0,D29-D28,IF(E27=0,D29-D26,D29-D27)))</f>
        <v>1.6400000000000006</v>
      </c>
      <c r="F29" s="133">
        <f t="shared" si="4"/>
        <v>1.6400000000000006</v>
      </c>
      <c r="H29" s="71">
        <v>189</v>
      </c>
      <c r="I29" s="54" t="s">
        <v>4</v>
      </c>
      <c r="J29" s="5">
        <f>VLOOKUP(I29,Log!$B$2:$C$8,2,)</f>
        <v>1</v>
      </c>
      <c r="K29" s="4">
        <v>29.8</v>
      </c>
      <c r="L29" s="132">
        <f>IF(OR(AND(I29="Motorbike",K29-K28&lt;Log!$C$13),AND(I29&lt;&gt;"Motorbike",K29-K28&lt;Log!$C$12)),0,IF(L28&lt;&gt;0,K29-K28,IF(L27=0,K29-K26,K29-K27)))</f>
        <v>2.6799999999999997</v>
      </c>
      <c r="M29" s="133">
        <f t="shared" si="5"/>
        <v>2.6799999999999997</v>
      </c>
      <c r="N29" s="13"/>
      <c r="O29" s="58">
        <v>156</v>
      </c>
      <c r="P29" s="54" t="s">
        <v>4</v>
      </c>
      <c r="Q29" s="5">
        <f>VLOOKUP(P29,Log!$B$2:$C$8,2,)</f>
        <v>1</v>
      </c>
      <c r="R29" s="4">
        <v>24.08</v>
      </c>
      <c r="S29" s="132">
        <f>IF(OR(AND(OR(P29="Motorbike",P29="CNG",),R29-R28&lt;Log!$C$13),AND(OR(P29&lt;&gt;"Motorbike",P29&lt;&gt;"CNG"),R29-R28&lt;Log!$C$12)),0,IF(S28&lt;&gt;0,R29-R28,IF(S27=0,R29-R26,R29-R27)))</f>
        <v>3.6799999999999997</v>
      </c>
      <c r="T29" s="133">
        <f t="shared" si="3"/>
        <v>3.6799999999999997</v>
      </c>
    </row>
    <row r="30" spans="1:20" x14ac:dyDescent="0.25">
      <c r="A30" s="58">
        <v>166</v>
      </c>
      <c r="B30" s="54" t="s">
        <v>4</v>
      </c>
      <c r="C30" s="5">
        <f>VLOOKUP(B30,Log!$B$2:$C$8,2,)</f>
        <v>1</v>
      </c>
      <c r="D30" s="5">
        <v>26.48</v>
      </c>
      <c r="E30" s="132">
        <f>IF(OR(AND(B30="Motorbike",D30-D29&lt;Log!$C$13),AND(B30&lt;&gt;"Motorbike",D30-D29&lt;Log!$C$12)),0,IF(E29&lt;&gt;0,D30-D29,IF(E28=0,D30-D27,D30-D28)))</f>
        <v>1.1600000000000001</v>
      </c>
      <c r="F30" s="133">
        <f t="shared" si="4"/>
        <v>1.1600000000000001</v>
      </c>
      <c r="H30" s="71">
        <v>177</v>
      </c>
      <c r="I30" s="54" t="s">
        <v>4</v>
      </c>
      <c r="J30" s="5">
        <f>VLOOKUP(I30,Log!$B$2:$C$8,2,)</f>
        <v>1</v>
      </c>
      <c r="K30" s="4">
        <v>31.4</v>
      </c>
      <c r="L30" s="132">
        <f>IF(OR(AND(I30="Motorbike",K30-K29&lt;Log!$C$13),AND(I30&lt;&gt;"Motorbike",K30-K29&lt;Log!$C$12)),0,IF(L29&lt;&gt;0,K30-K29,IF(L28=0,K30-K27,K30-K28)))</f>
        <v>1.5999999999999979</v>
      </c>
      <c r="M30" s="133">
        <f t="shared" si="5"/>
        <v>1.5999999999999979</v>
      </c>
      <c r="N30" s="13"/>
      <c r="O30" s="58">
        <v>148</v>
      </c>
      <c r="P30" s="54" t="s">
        <v>4</v>
      </c>
      <c r="Q30" s="5">
        <f>VLOOKUP(P30,Log!$B$2:$C$8,2,)</f>
        <v>1</v>
      </c>
      <c r="R30" s="4">
        <v>27.88</v>
      </c>
      <c r="S30" s="132">
        <f>IF(OR(AND(OR(P30="Motorbike",P30="CNG",),R30-R29&lt;Log!$C$13),AND(OR(P30&lt;&gt;"Motorbike",P30&lt;&gt;"CNG"),R30-R29&lt;Log!$C$12)),0,IF(S29&lt;&gt;0,R30-R29,IF(S28=0,R30-R27,R30-R28)))</f>
        <v>3.8000000000000007</v>
      </c>
      <c r="T30" s="133">
        <f t="shared" si="3"/>
        <v>3.8000000000000007</v>
      </c>
    </row>
    <row r="31" spans="1:20" x14ac:dyDescent="0.25">
      <c r="A31" s="58">
        <v>180</v>
      </c>
      <c r="B31" s="54" t="s">
        <v>5</v>
      </c>
      <c r="C31" s="5">
        <f>VLOOKUP(B31,Log!$B$2:$C$8,2,)</f>
        <v>0.38</v>
      </c>
      <c r="D31" s="5">
        <v>27.68</v>
      </c>
      <c r="E31" s="132">
        <f>IF(OR(AND(B31="Motorbike",D31-D30&lt;Log!$C$13),AND(B31&lt;&gt;"Motorbike",D31-D30&lt;Log!$C$12)),0,IF(E30&lt;&gt;0,D31-D30,IF(E29=0,D31-D28,D31-D29)))</f>
        <v>1.1999999999999993</v>
      </c>
      <c r="F31" s="133">
        <f t="shared" si="4"/>
        <v>1.6559999999999988</v>
      </c>
      <c r="H31" s="98">
        <v>197</v>
      </c>
      <c r="I31" s="54" t="s">
        <v>4</v>
      </c>
      <c r="J31" s="5">
        <f>VLOOKUP(I31,Log!$B$2:$C$8,2,)</f>
        <v>1</v>
      </c>
      <c r="K31" s="4">
        <v>33</v>
      </c>
      <c r="L31" s="132">
        <f>IF(OR(AND(I31="Motorbike",K31-K30&lt;Log!$C$13),AND(I31&lt;&gt;"Motorbike",K31-K30&lt;Log!$C$12)),0,IF(L30&lt;&gt;0,K31-K30,IF(L29=0,K31-K28,K31-K29)))</f>
        <v>1.6000000000000014</v>
      </c>
      <c r="M31" s="133">
        <f t="shared" si="5"/>
        <v>1.6000000000000014</v>
      </c>
      <c r="N31" s="13"/>
      <c r="O31" s="58">
        <v>220</v>
      </c>
      <c r="P31" s="54" t="s">
        <v>6</v>
      </c>
      <c r="Q31" s="5">
        <f>VLOOKUP(P31,Log!$B$2:$C$8,2,)</f>
        <v>0.45</v>
      </c>
      <c r="R31" s="4">
        <v>30.8</v>
      </c>
      <c r="S31" s="132">
        <f>IF(OR(AND(OR(P31="Motorbike",P31="CNG",),R31-R30&lt;Log!$C$13),AND(OR(P31&lt;&gt;"Motorbike",P31&lt;&gt;"CNG"),R31-R30&lt;Log!$C$12)),0,IF(S30&lt;&gt;0,R31-R30,IF(S29=0,R31-R28,R31-R29)))</f>
        <v>2.9200000000000017</v>
      </c>
      <c r="T31" s="133">
        <f t="shared" si="3"/>
        <v>1.3140000000000007</v>
      </c>
    </row>
    <row r="32" spans="1:20" x14ac:dyDescent="0.25">
      <c r="A32" s="58">
        <v>183</v>
      </c>
      <c r="B32" s="54" t="s">
        <v>4</v>
      </c>
      <c r="C32" s="5">
        <f>VLOOKUP(B32,Log!$B$2:$C$8,2,)</f>
        <v>1</v>
      </c>
      <c r="D32" s="5">
        <v>28.6</v>
      </c>
      <c r="E32" s="132">
        <f>IF(OR(AND(B32="Motorbike",D32-D31&lt;Log!$C$13),AND(B32&lt;&gt;"Motorbike",D32-D31&lt;Log!$C$12)),0,IF(E31&lt;&gt;0,D32-D31,IF(E30=0,D32-D29,D32-D30)))</f>
        <v>0</v>
      </c>
      <c r="F32" s="133">
        <f t="shared" si="4"/>
        <v>0</v>
      </c>
      <c r="H32" s="79">
        <v>203</v>
      </c>
      <c r="I32" s="78" t="s">
        <v>4</v>
      </c>
      <c r="J32" s="5">
        <f>VLOOKUP(I32,Log!$B$2:$C$8,2,)</f>
        <v>1</v>
      </c>
      <c r="K32" s="4">
        <v>34.200000000000003</v>
      </c>
      <c r="L32" s="132">
        <f>IF(OR(AND(I32="Motorbike",K32-K31&lt;Log!$C$13),AND(I32&lt;&gt;"Motorbike",K32-K31&lt;Log!$C$12)),0,IF(L31&lt;&gt;0,K32-K31,IF(L30=0,K32-K29,K32-K30)))</f>
        <v>1.2000000000000028</v>
      </c>
      <c r="M32" s="133">
        <f t="shared" si="5"/>
        <v>2.4000000000000057</v>
      </c>
      <c r="N32" s="13"/>
      <c r="O32" s="58">
        <v>192</v>
      </c>
      <c r="P32" s="54" t="s">
        <v>4</v>
      </c>
      <c r="Q32" s="5">
        <f>VLOOKUP(P32,Log!$B$2:$C$8,2,)</f>
        <v>1</v>
      </c>
      <c r="R32" s="4">
        <v>32</v>
      </c>
      <c r="S32" s="132">
        <f>IF(OR(AND(OR(P32="Motorbike",P32="CNG",),R32-R31&lt;Log!$C$13),AND(OR(P32&lt;&gt;"Motorbike",P32&lt;&gt;"CNG"),R32-R31&lt;Log!$C$12)),0,IF(S31&lt;&gt;0,R32-R31,IF(S30=0,R32-R29,R32-R30)))</f>
        <v>1.1999999999999993</v>
      </c>
      <c r="T32" s="133">
        <f t="shared" si="3"/>
        <v>1.1999999999999993</v>
      </c>
    </row>
    <row r="33" spans="1:23" x14ac:dyDescent="0.25">
      <c r="A33" s="58">
        <v>199</v>
      </c>
      <c r="B33" s="54" t="s">
        <v>4</v>
      </c>
      <c r="C33" s="5">
        <f>VLOOKUP(B33,Log!$B$2:$C$8,2,)</f>
        <v>1</v>
      </c>
      <c r="D33" s="5">
        <v>31.52</v>
      </c>
      <c r="E33" s="132">
        <f>IF(OR(AND(B33="Motorbike",D33-D32&lt;Log!$C$13),AND(B33&lt;&gt;"Motorbike",D33-D32&lt;Log!$C$12)),0,IF(E32&lt;&gt;0,D33-D32,IF(E31=0,D33-D30,D33-D31)))</f>
        <v>3.84</v>
      </c>
      <c r="F33" s="133">
        <f t="shared" si="4"/>
        <v>3.84</v>
      </c>
      <c r="H33" s="58">
        <v>212</v>
      </c>
      <c r="I33" s="54" t="s">
        <v>4</v>
      </c>
      <c r="J33" s="5">
        <f>VLOOKUP(I33,Log!$B$2:$C$8,2,)</f>
        <v>1</v>
      </c>
      <c r="K33" s="4">
        <v>35</v>
      </c>
      <c r="L33" s="132">
        <f>IF(OR(AND(I33="Motorbike",K33-K32&lt;Log!$C$13),AND(I33&lt;&gt;"Motorbike",K33-K32&lt;Log!$C$12)),0,IF(L32&lt;&gt;0,K33-K32,IF(L31=0,K33-K30,K33-K31)))</f>
        <v>0</v>
      </c>
      <c r="M33" s="133">
        <f t="shared" si="5"/>
        <v>0</v>
      </c>
      <c r="N33" s="13"/>
      <c r="O33" s="58">
        <v>197</v>
      </c>
      <c r="P33" s="54" t="s">
        <v>4</v>
      </c>
      <c r="Q33" s="5">
        <f>VLOOKUP(P33,Log!$B$2:$C$8,2,)</f>
        <v>1</v>
      </c>
      <c r="R33" s="4">
        <v>33.479999999999997</v>
      </c>
      <c r="S33" s="132">
        <f>IF(OR(AND(OR(P33="Motorbike",P33="CNG",),R33-R32&lt;Log!$C$13),AND(OR(P33&lt;&gt;"Motorbike",P33&lt;&gt;"CNG"),R33-R32&lt;Log!$C$12)),0,IF(S32&lt;&gt;0,R33-R32,IF(S31=0,R33-R30,R33-R31)))</f>
        <v>1.4799999999999969</v>
      </c>
      <c r="T33" s="133">
        <f t="shared" si="3"/>
        <v>2.1459999999999955</v>
      </c>
    </row>
    <row r="34" spans="1:23" ht="15.75" thickBot="1" x14ac:dyDescent="0.3">
      <c r="A34" s="58">
        <v>206</v>
      </c>
      <c r="B34" s="54" t="s">
        <v>4</v>
      </c>
      <c r="C34" s="5">
        <f>VLOOKUP(B34,Log!$B$2:$C$8,2,)</f>
        <v>1</v>
      </c>
      <c r="D34" s="5">
        <v>32.880000000000003</v>
      </c>
      <c r="E34" s="132">
        <f>IF(OR(AND(B34="Motorbike",D34-D33&lt;Log!$C$13),AND(B34&lt;&gt;"Motorbike",D34-D33&lt;Log!$C$12)),0,IF(E33&lt;&gt;0,D34-D33,IF(E32=0,D34-D31,D34-D32)))</f>
        <v>1.360000000000003</v>
      </c>
      <c r="F34" s="134">
        <f t="shared" si="4"/>
        <v>1.360000000000003</v>
      </c>
      <c r="H34" s="79">
        <v>233</v>
      </c>
      <c r="I34" s="78" t="s">
        <v>4</v>
      </c>
      <c r="J34" s="5">
        <f>VLOOKUP(I34,Log!$B$2:$C$8,2,)</f>
        <v>1</v>
      </c>
      <c r="K34" s="4">
        <v>36.479999999999997</v>
      </c>
      <c r="L34" s="132">
        <f>IF(OR(AND(I34="Motorbike",K34-K33&lt;Log!$C$13),AND(I34&lt;&gt;"Motorbike",K34-K33&lt;Log!$C$12)),0,IF(L33&lt;&gt;0,K34-K33,IF(L32=0,K34-K31,K34-K32)))</f>
        <v>2.279999999999994</v>
      </c>
      <c r="M34" s="133">
        <f t="shared" si="5"/>
        <v>2.279999999999994</v>
      </c>
      <c r="N34" s="13"/>
      <c r="O34" s="58">
        <v>215</v>
      </c>
      <c r="P34" s="54" t="s">
        <v>6</v>
      </c>
      <c r="Q34" s="5">
        <f>VLOOKUP(P34,Log!$B$2:$C$8,2,)</f>
        <v>0.45</v>
      </c>
      <c r="R34" s="4">
        <v>34.4</v>
      </c>
      <c r="S34" s="132">
        <f>IF(OR(AND(OR(P34="Motorbike",P34="CNG",),R34-R33&lt;Log!$C$13),AND(OR(P34&lt;&gt;"Motorbike",P34&lt;&gt;"CNG"),R34-R33&lt;Log!$C$12)),0,IF(S33&lt;&gt;0,R34-R33,IF(S32=0,R34-R31,R34-R32)))</f>
        <v>0</v>
      </c>
      <c r="T34" s="134">
        <f t="shared" si="3"/>
        <v>0</v>
      </c>
    </row>
    <row r="35" spans="1:23" ht="15.75" thickBot="1" x14ac:dyDescent="0.3">
      <c r="A35" s="58">
        <v>211</v>
      </c>
      <c r="B35" s="146" t="s">
        <v>18</v>
      </c>
      <c r="C35" s="5">
        <f>VLOOKUP(B35,Log!$B$2:$C$8,2,)</f>
        <v>1.02</v>
      </c>
      <c r="D35" s="5">
        <v>34.68</v>
      </c>
      <c r="E35" s="132">
        <f>IF(OR(AND(B35="Motorbike",D35-D34&lt;Log!$C$13),AND(B35&lt;&gt;"Motorbike",D35-D34&lt;Log!$C$12)),0,IF(E34&lt;&gt;0,D35-D34,IF(E33=0,D35-D32,D35-D33)))</f>
        <v>1.7999999999999972</v>
      </c>
      <c r="F35" s="103">
        <f t="shared" si="4"/>
        <v>1.8359999999999972</v>
      </c>
      <c r="H35" s="99">
        <v>242</v>
      </c>
      <c r="I35" s="78" t="s">
        <v>5</v>
      </c>
      <c r="J35" s="5">
        <f>VLOOKUP(I35,Log!$B$2:$C$8,2,)</f>
        <v>0.38</v>
      </c>
      <c r="K35" s="4">
        <v>37.28</v>
      </c>
      <c r="L35" s="132">
        <f>IF(OR(AND(I35="Motorbike",K35-K34&lt;Log!$C$13),AND(I35&lt;&gt;"Motorbike",K35-K34&lt;Log!$C$12)),0,IF(L34&lt;&gt;0,K35-K34,IF(L33=0,K35-K32,K35-K33)))</f>
        <v>0.80000000000000426</v>
      </c>
      <c r="M35" s="134">
        <f t="shared" si="5"/>
        <v>0.3040000000000016</v>
      </c>
      <c r="O35" s="59">
        <v>231</v>
      </c>
      <c r="P35" s="54" t="s">
        <v>4</v>
      </c>
      <c r="Q35" s="5">
        <f>VLOOKUP(P35,Log!$B$2:$C$8,2,)</f>
        <v>1</v>
      </c>
      <c r="R35" s="4">
        <v>37.08</v>
      </c>
      <c r="S35" s="132">
        <f>IF(OR(AND(OR(P35="Motorbike",P35="CNG",),R35-R34&lt;Log!$C$13),AND(OR(P35&lt;&gt;"Motorbike",P35&lt;&gt;"CNG"),R35-R34&lt;Log!$C$12)),0,IF(S34&lt;&gt;0,R35-R34,IF(S33=0,R35-R32,R35-R33)))</f>
        <v>3.6000000000000014</v>
      </c>
      <c r="T35" s="103">
        <f t="shared" ref="T35" si="6">IF(S36&lt;&gt;0,Q35*S35,IF(S37=0,(Q35+Q36+Q37)*S35,(Q35+Q36)*S35))</f>
        <v>3.6000000000000014</v>
      </c>
    </row>
    <row r="36" spans="1:23" x14ac:dyDescent="0.25">
      <c r="A36" s="58">
        <v>219</v>
      </c>
      <c r="B36" s="54" t="s">
        <v>4</v>
      </c>
      <c r="C36" s="5">
        <f>VLOOKUP(B36,Log!$B$2:$C$8,2,)</f>
        <v>1</v>
      </c>
      <c r="D36" s="5">
        <v>36.200000000000003</v>
      </c>
      <c r="E36" s="132">
        <f>IF(OR(AND(B36="Motorbike",D36-D35&lt;Log!$C$13),AND(B36&lt;&gt;"Motorbike",D36-D35&lt;Log!$C$12)),0,IF(E35&lt;&gt;0,D36-D35,IF(E34=0,D36-D33,D36-D34)))</f>
        <v>1.5200000000000031</v>
      </c>
      <c r="F36" s="32">
        <f t="shared" si="4"/>
        <v>1.5200000000000031</v>
      </c>
    </row>
    <row r="37" spans="1:23" x14ac:dyDescent="0.25">
      <c r="A37" s="58">
        <v>238</v>
      </c>
      <c r="B37" s="54" t="s">
        <v>4</v>
      </c>
      <c r="C37" s="5">
        <f>VLOOKUP(B37,Log!$B$2:$C$8,2,)</f>
        <v>1</v>
      </c>
      <c r="D37" s="5">
        <v>38.68</v>
      </c>
      <c r="E37" s="132">
        <f>IF(OR(AND(B37="Motorbike",D37-D36&lt;Log!$C$13),AND(B37&lt;&gt;"Motorbike",D37-D36&lt;Log!$C$12)),0,IF(E36&lt;&gt;0,D37-D36,IF(E35=0,D37-D34,D37-D35)))</f>
        <v>2.4799999999999969</v>
      </c>
      <c r="F37" s="32">
        <f t="shared" si="4"/>
        <v>2.4799999999999969</v>
      </c>
    </row>
    <row r="38" spans="1:23" x14ac:dyDescent="0.25">
      <c r="A38" s="58">
        <v>253</v>
      </c>
      <c r="B38" s="54" t="s">
        <v>6</v>
      </c>
      <c r="C38" s="5">
        <f>VLOOKUP(B38,Log!$B$2:$C$8,2,)</f>
        <v>0.45</v>
      </c>
      <c r="D38" s="5">
        <v>39.880000000000003</v>
      </c>
      <c r="E38" s="132">
        <f>IF(OR(AND(B38="Motorbike",D38-D37&lt;Log!$C$13),AND(B38&lt;&gt;"Motorbike",D38-D37&lt;Log!$C$12)),0,IF(E37&lt;&gt;0,D38-D37,IF(E36=0,D38-D35,D38-D36)))</f>
        <v>1.2000000000000028</v>
      </c>
      <c r="F38" s="32">
        <f t="shared" si="4"/>
        <v>1.740000000000004</v>
      </c>
    </row>
    <row r="39" spans="1:23" x14ac:dyDescent="0.25">
      <c r="A39" s="58">
        <v>257</v>
      </c>
      <c r="B39" s="54" t="s">
        <v>4</v>
      </c>
      <c r="C39" s="5">
        <f>VLOOKUP(B39,Log!$B$2:$C$8,2,)</f>
        <v>1</v>
      </c>
      <c r="D39" s="5">
        <v>40.32</v>
      </c>
      <c r="E39" s="132">
        <f>IF(OR(AND(B39="Motorbike",D39-D38&lt;Log!$C$13),AND(B39&lt;&gt;"Motorbike",D39-D38&lt;Log!$C$12)),0,IF(E38&lt;&gt;0,D39-D38,IF(E37=0,D39-D36,D39-D37)))</f>
        <v>0</v>
      </c>
      <c r="F39" s="32">
        <f t="shared" si="4"/>
        <v>0</v>
      </c>
      <c r="S39" s="122"/>
      <c r="T39" s="122"/>
      <c r="W39" s="11"/>
    </row>
    <row r="40" spans="1:23" ht="15.75" thickBot="1" x14ac:dyDescent="0.3">
      <c r="A40" s="59">
        <v>283</v>
      </c>
      <c r="B40" s="54" t="s">
        <v>4</v>
      </c>
      <c r="C40" s="5">
        <f>VLOOKUP(B40,Log!$B$2:$C$8,2,)</f>
        <v>1</v>
      </c>
      <c r="D40" s="5">
        <v>43.68</v>
      </c>
      <c r="E40" s="132">
        <f>IF(OR(AND(B40="Motorbike",D40-D39&lt;Log!$C$13),AND(B40&lt;&gt;"Motorbike",D40-D39&lt;Log!$C$12)),0,IF(E39&lt;&gt;0,D40-D39,IF(E38=0,D40-D37,D40-D38)))</f>
        <v>3.7999999999999972</v>
      </c>
      <c r="F40" s="32">
        <f t="shared" si="4"/>
        <v>3.7999999999999972</v>
      </c>
      <c r="S40" s="123"/>
      <c r="T40" s="123"/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60" spans="1:6" x14ac:dyDescent="0.25">
      <c r="A60" s="13" t="s">
        <v>62</v>
      </c>
      <c r="B60" s="13" t="s">
        <v>3</v>
      </c>
      <c r="C60" s="13" t="s">
        <v>62</v>
      </c>
      <c r="D60" s="13" t="s">
        <v>3</v>
      </c>
      <c r="E60" s="13" t="s">
        <v>62</v>
      </c>
      <c r="F60" s="13" t="s">
        <v>3</v>
      </c>
    </row>
    <row r="61" spans="1:6" x14ac:dyDescent="0.25">
      <c r="A61" s="13">
        <v>0</v>
      </c>
      <c r="B61" s="13">
        <v>0</v>
      </c>
      <c r="C61" s="13">
        <v>0</v>
      </c>
      <c r="D61" s="13">
        <v>0</v>
      </c>
      <c r="E61" s="13">
        <v>0</v>
      </c>
      <c r="F61" s="13">
        <v>0</v>
      </c>
    </row>
    <row r="62" spans="1:6" x14ac:dyDescent="0.25">
      <c r="A62" s="13">
        <v>5</v>
      </c>
      <c r="B62" s="13" cm="1">
        <f t="array" ref="B62">SUMPRODUCT(($D$13:$D$46&gt;=A61)*($D$13:$D$46&lt;=A62)*$C$13:$C$46)</f>
        <v>2</v>
      </c>
      <c r="C62" s="13">
        <v>5</v>
      </c>
      <c r="D62" s="13" cm="1">
        <f t="array" ref="D62">SUMPRODUCT(($K$13:$K$35&gt;=C61)*($K$13:$K$35&lt;=C62)*$J$13:$J$35)</f>
        <v>2.14</v>
      </c>
      <c r="E62" s="13">
        <v>5</v>
      </c>
      <c r="F62" s="13" cm="1">
        <f t="array" ref="F62">SUMPRODUCT(($R$13:$R$35&gt;=E61)*($R$13:$R$35&lt;=E62)*$Q$13:$Q$35)</f>
        <v>0.83000000000000007</v>
      </c>
    </row>
    <row r="63" spans="1:6" x14ac:dyDescent="0.25">
      <c r="A63" s="13">
        <v>10</v>
      </c>
      <c r="B63" s="13" cm="1">
        <f t="array" ref="B63">SUMPRODUCT(($D$13:$D$46&gt;=A62)*($D$13:$D$46&lt;=A63)*$C$13:$C$46)</f>
        <v>3.38</v>
      </c>
      <c r="C63" s="13">
        <v>10</v>
      </c>
      <c r="D63" s="13" cm="1">
        <f t="array" ref="D63">SUMPRODUCT(($K$13:$K$35&gt;=C62)*($K$13:$K$35&lt;=C63)*$J$13:$J$35)</f>
        <v>2</v>
      </c>
      <c r="E63" s="13">
        <v>10</v>
      </c>
      <c r="F63" s="13" cm="1">
        <f t="array" ref="F63">SUMPRODUCT(($R$13:$R$35&gt;=E62)*($R$13:$R$35&lt;=E63)*$Q$13:$Q$35)</f>
        <v>4.1399999999999997</v>
      </c>
    </row>
    <row r="64" spans="1:6" x14ac:dyDescent="0.25">
      <c r="A64" s="13">
        <v>15</v>
      </c>
      <c r="B64" s="13" cm="1">
        <f t="array" ref="B64">SUMPRODUCT(($D$13:$D$46&gt;=A63)*($D$13:$D$46&lt;=A64)*$C$13:$C$46)</f>
        <v>2.9</v>
      </c>
      <c r="C64" s="13">
        <v>15</v>
      </c>
      <c r="D64" s="13" cm="1">
        <f t="array" ref="D64">SUMPRODUCT(($K$13:$K$35&gt;=C63)*($K$13:$K$35&lt;=C64)*$J$13:$J$35)</f>
        <v>3.02</v>
      </c>
      <c r="E64" s="13">
        <v>15</v>
      </c>
      <c r="F64" s="13" cm="1">
        <f t="array" ref="F64">SUMPRODUCT(($R$13:$R$35&gt;=E63)*($R$13:$R$35&lt;=E64)*$Q$13:$Q$35)</f>
        <v>2.4500000000000002</v>
      </c>
    </row>
    <row r="65" spans="1:6" x14ac:dyDescent="0.25">
      <c r="A65" s="13">
        <v>20</v>
      </c>
      <c r="B65" s="13" cm="1">
        <f t="array" ref="B65">SUMPRODUCT(($D$13:$D$46&gt;=A64)*($D$13:$D$46&lt;=A65)*$C$13:$C$46)</f>
        <v>2.4500000000000002</v>
      </c>
      <c r="C65" s="13">
        <v>20</v>
      </c>
      <c r="D65" s="13" cm="1">
        <f t="array" ref="D65">SUMPRODUCT(($K$13:$K$35&gt;=C64)*($K$13:$K$35&lt;=C65)*$J$13:$J$35)</f>
        <v>3.45</v>
      </c>
      <c r="E65" s="13">
        <v>20</v>
      </c>
      <c r="F65" s="13" cm="1">
        <f t="array" ref="F65">SUMPRODUCT(($R$13:$R$35&gt;=E64)*($R$13:$R$35&lt;=E65)*$Q$13:$Q$35)</f>
        <v>2.2800000000000002</v>
      </c>
    </row>
    <row r="66" spans="1:6" x14ac:dyDescent="0.25">
      <c r="A66" s="13">
        <v>25</v>
      </c>
      <c r="B66" s="13" cm="1">
        <f t="array" ref="B66">SUMPRODUCT(($D$13:$D$46&gt;=A65)*($D$13:$D$46&lt;=A66)*$C$13:$C$46)</f>
        <v>2</v>
      </c>
      <c r="C66" s="13">
        <v>25</v>
      </c>
      <c r="D66" s="13" cm="1">
        <f t="array" ref="D66">SUMPRODUCT(($K$13:$K$35&gt;=C65)*($K$13:$K$35&lt;=C66)*$J$13:$J$35)</f>
        <v>1.45</v>
      </c>
      <c r="E66" s="13">
        <v>25</v>
      </c>
      <c r="F66" s="13" cm="1">
        <f t="array" ref="F66">SUMPRODUCT(($R$13:$R$35&gt;=E65)*($R$13:$R$35&lt;=E66)*$Q$13:$Q$35)</f>
        <v>2</v>
      </c>
    </row>
    <row r="67" spans="1:6" x14ac:dyDescent="0.25">
      <c r="A67" s="13">
        <v>30</v>
      </c>
      <c r="B67" s="13" cm="1">
        <f t="array" ref="B67">SUMPRODUCT(($D$13:$D$46&gt;=A66)*($D$13:$D$46&lt;=A67)*$C$13:$C$46)</f>
        <v>3.38</v>
      </c>
      <c r="C67" s="13">
        <v>30</v>
      </c>
      <c r="D67" s="13" cm="1">
        <f t="array" ref="D67">SUMPRODUCT(($K$13:$K$35&gt;=C66)*($K$13:$K$35&lt;=C67)*$J$13:$J$35)</f>
        <v>2.4500000000000002</v>
      </c>
      <c r="E67" s="13">
        <v>30</v>
      </c>
      <c r="F67" s="13" cm="1">
        <f t="array" ref="F67">SUMPRODUCT(($R$13:$R$35&gt;=E66)*($R$13:$R$35&lt;=E67)*$Q$13:$Q$35)</f>
        <v>1</v>
      </c>
    </row>
    <row r="68" spans="1:6" x14ac:dyDescent="0.25">
      <c r="A68" s="13">
        <v>35</v>
      </c>
      <c r="B68" s="13" cm="1">
        <f t="array" ref="B68">SUMPRODUCT(($D$13:$D$46&gt;=A67)*($D$13:$D$46&lt;=A68)*$C$13:$C$46)</f>
        <v>3.02</v>
      </c>
      <c r="C68" s="13">
        <v>35</v>
      </c>
      <c r="D68" s="13" cm="1">
        <f t="array" ref="D68">SUMPRODUCT(($K$13:$K$35&gt;=C67)*($K$13:$K$35&lt;=C68)*$J$13:$J$35)</f>
        <v>4</v>
      </c>
      <c r="E68" s="13">
        <v>35</v>
      </c>
      <c r="F68" s="13" cm="1">
        <f t="array" ref="F68">SUMPRODUCT(($R$13:$R$35&gt;=E67)*($R$13:$R$35&lt;=E68)*$Q$13:$Q$35)</f>
        <v>2.9000000000000004</v>
      </c>
    </row>
    <row r="69" spans="1:6" x14ac:dyDescent="0.25">
      <c r="A69" s="13">
        <v>40</v>
      </c>
      <c r="B69" s="13" cm="1">
        <f t="array" ref="B69">SUMPRODUCT(($D$13:$D$46&gt;=A68)*($D$13:$D$46&lt;=A69)*$C$13:$C$46)</f>
        <v>2.4500000000000002</v>
      </c>
      <c r="C69" s="13">
        <v>40</v>
      </c>
      <c r="D69" s="13" cm="1">
        <f t="array" ref="D69">SUMPRODUCT(($K$13:$K$35&gt;=C68)*($K$13:$K$35&lt;=C69)*$J$13:$J$35)</f>
        <v>2.38</v>
      </c>
      <c r="E69" s="13">
        <v>40</v>
      </c>
      <c r="F69" s="13" cm="1">
        <f t="array" ref="F69">SUMPRODUCT(($R$13:$R$35&gt;=E68)*($R$13:$R$35&lt;=E69)*$Q$13:$Q$35)</f>
        <v>1</v>
      </c>
    </row>
    <row r="70" spans="1:6" x14ac:dyDescent="0.25">
      <c r="A70" s="13">
        <v>45</v>
      </c>
      <c r="B70" s="13" cm="1">
        <f t="array" ref="B70">SUMPRODUCT(($D$13:$D$46&gt;=A69)*($D$13:$D$46&lt;=A70)*$C$13:$C$46)</f>
        <v>2</v>
      </c>
      <c r="C70" s="13">
        <v>45</v>
      </c>
      <c r="D70" s="13" cm="1">
        <f t="array" ref="D70">SUMPRODUCT(($K$13:$K$35&gt;=C69)*($K$13:$K$35&lt;=C70)*$J$13:$J$35)</f>
        <v>0</v>
      </c>
      <c r="E70" s="13">
        <v>45</v>
      </c>
      <c r="F70" s="13" cm="1">
        <f t="array" ref="F70">SUMPRODUCT(($R$13:$R$35&gt;=E69)*($R$13:$R$35&lt;=E70)*$Q$13:$Q$35)</f>
        <v>0</v>
      </c>
    </row>
    <row r="71" spans="1:6" x14ac:dyDescent="0.25">
      <c r="A71" s="13">
        <v>50</v>
      </c>
      <c r="B71" s="13" cm="1">
        <f t="array" ref="B71">SUMPRODUCT(($D$13:$D$46&gt;=A70)*($D$13:$D$46&lt;=A71)*$C$13:$C$46)</f>
        <v>0</v>
      </c>
      <c r="C71" s="13">
        <v>50</v>
      </c>
      <c r="D71" s="13" cm="1">
        <f t="array" ref="D71">SUMPRODUCT(($K$13:$K$35&gt;=C70)*($K$13:$K$35&lt;=C71)*$J$13:$J$35)</f>
        <v>0</v>
      </c>
      <c r="E71" s="13">
        <v>50</v>
      </c>
      <c r="F71" s="13" cm="1">
        <f t="array" ref="F71">SUMPRODUCT(($R$13:$R$35&gt;=E70)*($R$13:$R$35&lt;=E71)*$Q$13:$Q$35)</f>
        <v>0</v>
      </c>
    </row>
  </sheetData>
  <mergeCells count="4">
    <mergeCell ref="A11:F11"/>
    <mergeCell ref="H11:M11"/>
    <mergeCell ref="O11:T11"/>
    <mergeCell ref="C1:D1"/>
  </mergeCells>
  <conditionalFormatting sqref="E16:E40">
    <cfRule type="cellIs" dxfId="67" priority="18" operator="greaterThanOrEqual">
      <formula>4</formula>
    </cfRule>
  </conditionalFormatting>
  <conditionalFormatting sqref="E13:F13">
    <cfRule type="cellIs" dxfId="66" priority="46" operator="greaterThan">
      <formula>4</formula>
    </cfRule>
  </conditionalFormatting>
  <conditionalFormatting sqref="F14 F16:F34">
    <cfRule type="cellIs" dxfId="65" priority="7" operator="greaterThan">
      <formula>4</formula>
    </cfRule>
  </conditionalFormatting>
  <conditionalFormatting sqref="L14:L35">
    <cfRule type="cellIs" dxfId="64" priority="15" operator="greaterThanOrEqual">
      <formula>4</formula>
    </cfRule>
  </conditionalFormatting>
  <conditionalFormatting sqref="L13:M13">
    <cfRule type="cellIs" dxfId="63" priority="44" operator="greaterThan">
      <formula>4</formula>
    </cfRule>
  </conditionalFormatting>
  <conditionalFormatting sqref="M14:M35">
    <cfRule type="cellIs" dxfId="62" priority="24" operator="greaterThan">
      <formula>4</formula>
    </cfRule>
  </conditionalFormatting>
  <conditionalFormatting sqref="S14:S35">
    <cfRule type="cellIs" dxfId="61" priority="9" operator="greaterThanOrEqual">
      <formula>4</formula>
    </cfRule>
  </conditionalFormatting>
  <conditionalFormatting sqref="S13:T13">
    <cfRule type="cellIs" dxfId="60" priority="47" operator="greaterThan">
      <formula>4</formula>
    </cfRule>
  </conditionalFormatting>
  <conditionalFormatting sqref="T14:T34">
    <cfRule type="cellIs" dxfId="59" priority="20" operator="greaterThan">
      <formula>4</formula>
    </cfRule>
  </conditionalFormatting>
  <conditionalFormatting sqref="T35">
    <cfRule type="cellIs" dxfId="58" priority="6" operator="greaterThan">
      <formula>4</formula>
    </cfRule>
  </conditionalFormatting>
  <conditionalFormatting sqref="F35:F40">
    <cfRule type="cellIs" dxfId="57" priority="5" operator="greaterThan">
      <formula>4</formula>
    </cfRule>
  </conditionalFormatting>
  <conditionalFormatting sqref="E15">
    <cfRule type="cellIs" dxfId="56" priority="2" operator="greaterThanOrEqual">
      <formula>4</formula>
    </cfRule>
  </conditionalFormatting>
  <conditionalFormatting sqref="F15">
    <cfRule type="cellIs" dxfId="55" priority="4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F83C97EE-CB53-4224-BE7E-FC706F69A58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19" id="{B6C87F12-734D-41A8-B883-F3C9A04259E6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 E16:E40 S14:S35</xm:sqref>
        </x14:conditionalFormatting>
        <x14:conditionalFormatting xmlns:xm="http://schemas.microsoft.com/office/excel/2006/main">
          <x14:cfRule type="expression" priority="48" id="{8B356452-3C47-49A8-88C9-E147B231E380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L14:L35 E15</xm:sqref>
        </x14:conditionalFormatting>
        <x14:conditionalFormatting xmlns:xm="http://schemas.microsoft.com/office/excel/2006/main">
          <x14:cfRule type="expression" priority="16" id="{6152DD96-D8A7-4962-AED7-7ECA0B8E3EBE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L14:L35 E15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7B621-8E99-4648-8A55-2D1A4CE8AF88}">
  <sheetPr codeName="Sheet12"/>
  <dimension ref="A1:W71"/>
  <sheetViews>
    <sheetView topLeftCell="A27" workbookViewId="0">
      <selection activeCell="B4" sqref="B4:B9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48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15.84</v>
      </c>
      <c r="M2" s="17">
        <f>SUM(M20:M28)</f>
        <v>20.439999999999998</v>
      </c>
      <c r="R2" s="4" t="s">
        <v>12</v>
      </c>
      <c r="S2" s="8">
        <f>SUM(S25:S28)</f>
        <v>8.5999999999999979</v>
      </c>
      <c r="T2" s="8">
        <f>SUM(T25:T28)</f>
        <v>9.2839999999999989</v>
      </c>
    </row>
    <row r="3" spans="1:20" x14ac:dyDescent="0.25">
      <c r="K3" s="4" t="s">
        <v>13</v>
      </c>
      <c r="L3" s="18">
        <f>AVERAGE(L24:L26)</f>
        <v>1.5599999999999998</v>
      </c>
      <c r="M3" s="19">
        <f>AVERAGE(M22:M29)</f>
        <v>1.9790999999999999</v>
      </c>
      <c r="R3" s="4" t="s">
        <v>13</v>
      </c>
      <c r="S3" s="9">
        <f>AVERAGE(S25:S28)</f>
        <v>2.1499999999999995</v>
      </c>
      <c r="T3" s="9">
        <f>AVERAGE(T23:T32)</f>
        <v>1.5514399999999999</v>
      </c>
    </row>
    <row r="4" spans="1:20" x14ac:dyDescent="0.25">
      <c r="A4" s="4" t="s">
        <v>4</v>
      </c>
      <c r="B4" s="128">
        <f>100*COUNTIF($B$17:$B$35,A4)/COUNTA($B$17:$B$35)</f>
        <v>57.89473684210526</v>
      </c>
      <c r="H4" s="4" t="s">
        <v>4</v>
      </c>
      <c r="I4" s="128">
        <f>100*COUNTIF($I$13:$I$35,H4)/COUNTA($I$13:$I$35)</f>
        <v>77.777777777777771</v>
      </c>
      <c r="K4" s="4" t="s">
        <v>1</v>
      </c>
      <c r="L4" s="20">
        <f>3600/L3</f>
        <v>2307.6923076923081</v>
      </c>
      <c r="M4" s="21">
        <f>3600/M3</f>
        <v>1819.0086402910415</v>
      </c>
      <c r="O4" s="4" t="s">
        <v>4</v>
      </c>
      <c r="P4" s="128">
        <f>100*COUNTIF($P$13:$P$29,O4)/COUNTA($P$13:$P$29)</f>
        <v>35.294117647058826</v>
      </c>
      <c r="R4" s="4" t="s">
        <v>1</v>
      </c>
      <c r="S4" s="10">
        <f>3600/S3</f>
        <v>1674.4186046511632</v>
      </c>
      <c r="T4" s="10">
        <f>3600/T3</f>
        <v>2320.4248955808798</v>
      </c>
    </row>
    <row r="5" spans="1:20" x14ac:dyDescent="0.25">
      <c r="A5" s="4" t="s">
        <v>6</v>
      </c>
      <c r="B5" s="128">
        <f t="shared" ref="B5:B9" si="0">100*COUNTIF($B$17:$B$35,A5)/COUNTA($B$17:$B$35)</f>
        <v>15.789473684210526</v>
      </c>
      <c r="H5" s="4" t="s">
        <v>6</v>
      </c>
      <c r="I5" s="128">
        <f t="shared" ref="I5:I9" si="1">100*COUNTIF($I$13:$I$35,H5)/COUNTA($I$13:$I$35)</f>
        <v>5.5555555555555554</v>
      </c>
      <c r="O5" s="4" t="s">
        <v>6</v>
      </c>
      <c r="P5" s="128">
        <f t="shared" ref="P5:P9" si="2">100*COUNTIF($P$13:$P$29,O5)/COUNTA($P$13:$P$29)</f>
        <v>29.411764705882351</v>
      </c>
    </row>
    <row r="6" spans="1:20" x14ac:dyDescent="0.25">
      <c r="A6" s="4" t="s">
        <v>5</v>
      </c>
      <c r="B6" s="128">
        <f t="shared" si="0"/>
        <v>26.315789473684209</v>
      </c>
      <c r="E6" s="27" t="s">
        <v>22</v>
      </c>
      <c r="F6" s="27" t="s">
        <v>21</v>
      </c>
      <c r="H6" s="4" t="s">
        <v>5</v>
      </c>
      <c r="I6" s="128">
        <f t="shared" si="1"/>
        <v>11.111111111111111</v>
      </c>
      <c r="L6" s="27" t="s">
        <v>22</v>
      </c>
      <c r="M6" s="27" t="s">
        <v>21</v>
      </c>
      <c r="O6" s="4" t="s">
        <v>5</v>
      </c>
      <c r="P6" s="128">
        <f t="shared" si="2"/>
        <v>35.294117647058826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SUM(E21:E23)</f>
        <v>7</v>
      </c>
      <c r="F7" s="23">
        <f>SUM(F21:F23)</f>
        <v>7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33.519999999999996</v>
      </c>
      <c r="M7" s="23">
        <f>SUM(M14:M37)</f>
        <v>35.167200000000001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17.079999999999998</v>
      </c>
      <c r="T7" s="23">
        <f>SUM(T13:T23)</f>
        <v>11.995200000000001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AVERAGEIF(E20:E38,"&lt;&gt;0")</f>
        <v>1.8975</v>
      </c>
      <c r="F8" s="26">
        <f>AVERAGEIF(F18:F35,"&lt;&gt;0")</f>
        <v>1.8074933333333336</v>
      </c>
      <c r="H8" s="4" t="s">
        <v>7</v>
      </c>
      <c r="I8" s="128">
        <f t="shared" si="1"/>
        <v>5.5555555555555554</v>
      </c>
      <c r="K8" s="28" t="s">
        <v>13</v>
      </c>
      <c r="L8" s="26">
        <f>AVERAGEIF(L14:L20,"&lt;&gt;0")</f>
        <v>1.8666666666666665</v>
      </c>
      <c r="M8" s="26">
        <f>AVERAGEIF(M14:M20,"&lt;&gt;0")</f>
        <v>1.5357333333333332</v>
      </c>
      <c r="O8" s="4" t="s">
        <v>7</v>
      </c>
      <c r="P8" s="128">
        <f t="shared" si="2"/>
        <v>0</v>
      </c>
      <c r="R8" s="28" t="s">
        <v>13</v>
      </c>
      <c r="S8" s="26">
        <f>AVERAGEIF(S14:S21,"&lt;&gt;0")</f>
        <v>1.68</v>
      </c>
      <c r="T8" s="26">
        <f>AVERAGEIF(T23:T32,"&lt;&gt;0")</f>
        <v>1.9393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1897.2332015810277</v>
      </c>
      <c r="F9" s="29">
        <f>3600/F8</f>
        <v>1991.7085909030552</v>
      </c>
      <c r="H9" s="4" t="s">
        <v>23</v>
      </c>
      <c r="I9" s="128">
        <f t="shared" si="1"/>
        <v>0</v>
      </c>
      <c r="K9" s="28" t="s">
        <v>1</v>
      </c>
      <c r="L9" s="25">
        <f>3600/L8</f>
        <v>1928.5714285714287</v>
      </c>
      <c r="M9" s="29">
        <f>3600/M8</f>
        <v>2344.1569716964755</v>
      </c>
      <c r="O9" s="4" t="s">
        <v>23</v>
      </c>
      <c r="P9" s="128">
        <f t="shared" si="2"/>
        <v>0</v>
      </c>
      <c r="R9" s="28" t="s">
        <v>1</v>
      </c>
      <c r="S9" s="25">
        <f>3600/S8</f>
        <v>2142.8571428571431</v>
      </c>
      <c r="T9" s="29">
        <f>3600/T8</f>
        <v>1856.3399164647037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3" t="s">
        <v>8</v>
      </c>
      <c r="B12" s="3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3" t="s">
        <v>8</v>
      </c>
      <c r="I12" s="3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3" t="s">
        <v>9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13">
        <v>4</v>
      </c>
      <c r="B13" s="113" t="s">
        <v>4</v>
      </c>
      <c r="C13" s="112">
        <f>VLOOKUP(B13,Log!$B$2:$C$8,2,)</f>
        <v>1</v>
      </c>
      <c r="D13" s="112">
        <v>0.92</v>
      </c>
      <c r="E13" s="114">
        <v>0</v>
      </c>
      <c r="F13" s="114">
        <v>0</v>
      </c>
      <c r="H13" s="113">
        <v>6</v>
      </c>
      <c r="I13" s="113" t="s">
        <v>4</v>
      </c>
      <c r="J13" s="112">
        <f>VLOOKUP(I13,Log!$B$2:$C$8,2,)</f>
        <v>1</v>
      </c>
      <c r="K13" s="113">
        <v>0.48</v>
      </c>
      <c r="L13" s="114">
        <v>0</v>
      </c>
      <c r="M13" s="114">
        <v>0</v>
      </c>
      <c r="N13" s="13"/>
      <c r="O13" s="109">
        <v>3</v>
      </c>
      <c r="P13" s="110" t="s">
        <v>6</v>
      </c>
      <c r="Q13" s="112">
        <f>VLOOKUP(P13,Log!$B$2:$C$8,2,)</f>
        <v>0.45</v>
      </c>
      <c r="R13" s="113">
        <v>0.4</v>
      </c>
      <c r="S13" s="114">
        <v>0</v>
      </c>
      <c r="T13" s="114">
        <v>0</v>
      </c>
    </row>
    <row r="14" spans="1:20" x14ac:dyDescent="0.25">
      <c r="A14" s="4">
        <v>30</v>
      </c>
      <c r="B14" s="4" t="s">
        <v>5</v>
      </c>
      <c r="C14" s="5">
        <f>VLOOKUP(B14,Log!$B$2:$C$8,2,)</f>
        <v>0.38</v>
      </c>
      <c r="D14" s="5">
        <v>1.8</v>
      </c>
      <c r="E14" s="32">
        <f>IF(OR(AND(B14="Motorbike",D14-D13&lt;Log!$C$13),AND(B14&lt;&gt;"Motorbike",D14-D13&lt;Log!$C$12)),0,D14-D13)</f>
        <v>0.88</v>
      </c>
      <c r="F14" s="32">
        <f>IF(E15&lt;&gt;0,C14*E14,IF(E16=0,(C14+C15+C16)*E14,(C14+C15)*E14))</f>
        <v>0.33440000000000003</v>
      </c>
      <c r="H14" s="14">
        <v>2</v>
      </c>
      <c r="I14" s="14" t="s">
        <v>4</v>
      </c>
      <c r="J14" s="5">
        <f>VLOOKUP(I14,Log!$B$2:$C$8,2,)</f>
        <v>1</v>
      </c>
      <c r="K14" s="4">
        <v>2.12</v>
      </c>
      <c r="L14" s="32">
        <f>IF(OR(AND(I14="Motorbike",K14-K13&lt;Log!$C$13),AND(I14&lt;&gt;"Motorbike",K14-K13&lt;Log!$C$12)),0,K14-K13)</f>
        <v>1.6400000000000001</v>
      </c>
      <c r="M14" s="32">
        <f>IF(L15&lt;&gt;0,J14*L14,IF(L16=0,(J14+J15+J16)*L14,(J14+J15)*L14))</f>
        <v>1.6400000000000001</v>
      </c>
      <c r="N14" s="13"/>
      <c r="O14" s="71">
        <v>10</v>
      </c>
      <c r="P14" s="60" t="s">
        <v>6</v>
      </c>
      <c r="Q14" s="5">
        <f>VLOOKUP(P14,Log!$B$2:$C$8,2,)</f>
        <v>0.45</v>
      </c>
      <c r="R14" s="4">
        <v>1.48</v>
      </c>
      <c r="S14" s="32">
        <f>IF(OR(AND(P14="Motorbike",R14-R13&lt;Log!$C$13),AND(P14&lt;&gt;"Motorbike",R14-R13&lt;Log!$C$12)),0,R14-R13)</f>
        <v>1.08</v>
      </c>
      <c r="T14" s="32">
        <f>IF(S15&lt;&gt;0,Q14*S14,IF(S16=0,(Q14+Q15+Q16)*S14,(Q14+Q15)*S14))</f>
        <v>0.48600000000000004</v>
      </c>
    </row>
    <row r="15" spans="1:20" x14ac:dyDescent="0.25">
      <c r="A15" s="4">
        <v>22</v>
      </c>
      <c r="B15" s="4" t="s">
        <v>5</v>
      </c>
      <c r="C15" s="5">
        <f>VLOOKUP(B15,Log!$B$2:$C$8,2,)</f>
        <v>0.38</v>
      </c>
      <c r="D15" s="5">
        <v>3.12</v>
      </c>
      <c r="E15" s="32">
        <f>IF(OR(AND(B15="Motorbike",D15-D14&lt;Log!$C$13),AND(B15&lt;&gt;"Motorbike",D15-D14&lt;Log!$C$12)),0,D15-D14)</f>
        <v>1.32</v>
      </c>
      <c r="F15" s="32">
        <f t="shared" ref="F15:F38" si="3">IF(E16&lt;&gt;0,C15*E15,IF(E17=0,(C15+C16+C17)*E15,(C15+C16)*E15))</f>
        <v>0.50160000000000005</v>
      </c>
      <c r="H15" s="14">
        <v>12</v>
      </c>
      <c r="I15" s="14" t="s">
        <v>4</v>
      </c>
      <c r="J15" s="5">
        <f>VLOOKUP(I15,Log!$B$2:$C$8,2,)</f>
        <v>1</v>
      </c>
      <c r="K15" s="4">
        <v>4.4000000000000004</v>
      </c>
      <c r="L15" s="32">
        <f>IF(OR(AND(I15="Motorbike",K15-K14&lt;Log!$C$13),AND(I15&lt;&gt;"Motorbike",K15-K14&lt;Log!$C$12)),0,K15-K14)</f>
        <v>2.2800000000000002</v>
      </c>
      <c r="M15" s="32">
        <f t="shared" ref="M15:M30" si="4">IF(L16&lt;&gt;0,J15*L15,IF(L17=0,(J15+J16+J17)*L15,(J15+J16)*L15))</f>
        <v>2.2800000000000002</v>
      </c>
      <c r="N15" s="13"/>
      <c r="O15" s="71">
        <v>11</v>
      </c>
      <c r="P15" s="54" t="s">
        <v>6</v>
      </c>
      <c r="Q15" s="5">
        <f>VLOOKUP(P15,Log!$B$2:$C$8,2,)</f>
        <v>0.45</v>
      </c>
      <c r="R15" s="4">
        <v>2.92</v>
      </c>
      <c r="S15" s="32">
        <f>IF(OR(AND(P15="Motorbike",R15-R14&lt;Log!$C$13),AND(P15&lt;&gt;"Motorbike",R15-R14&lt;Log!$C$12)),0,R15-R14)</f>
        <v>1.44</v>
      </c>
      <c r="T15" s="32">
        <f t="shared" ref="T15:T32" si="5">IF(S16&lt;&gt;0,Q15*S15,IF(S17=0,(Q15+Q16+Q17)*S15,(Q15+Q16)*S15))</f>
        <v>0.64800000000000002</v>
      </c>
    </row>
    <row r="16" spans="1:20" ht="15.75" thickBot="1" x14ac:dyDescent="0.3">
      <c r="A16" s="49">
        <v>50</v>
      </c>
      <c r="B16" s="4" t="s">
        <v>5</v>
      </c>
      <c r="C16" s="5">
        <f>VLOOKUP(B16,Log!$B$2:$C$8,2,)</f>
        <v>0.38</v>
      </c>
      <c r="D16" s="5">
        <v>4.12</v>
      </c>
      <c r="E16" s="32">
        <f>IF(OR(AND(B16="Motorbike",D16-D15&lt;Log!$C$13),AND(B16&lt;&gt;"Motorbike",D16-D15&lt;Log!$C$12)),0,IF(E15&lt;&gt;0,D16-D15,IF(E14=0,D16-D13,D16-D14)))</f>
        <v>1</v>
      </c>
      <c r="F16" s="32">
        <f t="shared" si="3"/>
        <v>1.38</v>
      </c>
      <c r="H16" s="14">
        <v>51</v>
      </c>
      <c r="I16" s="14" t="s">
        <v>5</v>
      </c>
      <c r="J16" s="5">
        <f>VLOOKUP(I16,Log!$B$2:$C$8,2,)</f>
        <v>0.38</v>
      </c>
      <c r="K16" s="4">
        <v>6.68</v>
      </c>
      <c r="L16" s="32">
        <f>IF(OR(AND(I16="Motorbike",K16-K15&lt;Log!$C$13),AND(I16&lt;&gt;"Motorbike",K16-K15&lt;Log!$C$12)),0,IF(L15&lt;&gt;0,K16-K15,IF(L14=0,K16-K13,K16-K14)))</f>
        <v>2.2799999999999994</v>
      </c>
      <c r="M16" s="32">
        <f t="shared" si="4"/>
        <v>0.86639999999999973</v>
      </c>
      <c r="N16" s="13"/>
      <c r="O16" s="58">
        <v>41</v>
      </c>
      <c r="P16" s="54" t="s">
        <v>5</v>
      </c>
      <c r="Q16" s="5">
        <f>VLOOKUP(P16,Log!$B$2:$C$8,2,)</f>
        <v>0.38</v>
      </c>
      <c r="R16" s="4">
        <v>4.68</v>
      </c>
      <c r="S16" s="32">
        <f>IF(OR(AND(P16="Motorbike",R16-R15&lt;Log!$C$13),AND(P16&lt;&gt;"Motorbike",R16-R15&lt;Log!$C$12)),0,IF(S15&lt;&gt;0,R16-R15,IF(S14=0,R16-R13,R16-R14)))</f>
        <v>1.7599999999999998</v>
      </c>
      <c r="T16" s="32">
        <f t="shared" si="5"/>
        <v>1.4607999999999999</v>
      </c>
    </row>
    <row r="17" spans="1:23" x14ac:dyDescent="0.25">
      <c r="A17" s="57">
        <v>9</v>
      </c>
      <c r="B17" s="54" t="s">
        <v>4</v>
      </c>
      <c r="C17" s="5">
        <f>VLOOKUP(B17,Log!$B$2:$C$8,2,)</f>
        <v>1</v>
      </c>
      <c r="D17" s="5">
        <v>4.32</v>
      </c>
      <c r="E17" s="32">
        <f>IF(OR(AND(B17="Motorbike",D17-D16&lt;Log!$C$13),AND(B17&lt;&gt;"Motorbike",D17-D16&lt;Log!$C$12)),0,IF(E16&lt;&gt;0,D17-D16,IF(E15=0,D17-D14,D17-D15)))</f>
        <v>0</v>
      </c>
      <c r="F17" s="32">
        <f t="shared" si="3"/>
        <v>0</v>
      </c>
      <c r="H17" s="14">
        <v>63</v>
      </c>
      <c r="I17" s="4" t="s">
        <v>6</v>
      </c>
      <c r="J17" s="5">
        <f>VLOOKUP(I17,Log!$B$2:$C$8,2,)</f>
        <v>0.45</v>
      </c>
      <c r="K17" s="4">
        <v>8.8000000000000007</v>
      </c>
      <c r="L17" s="32">
        <f>IF(OR(AND(I17="Motorbike",K17-K16&lt;Log!$C$13),AND(I17&lt;&gt;"Motorbike",K17-K16&lt;Log!$C$12)),0,IF(L16&lt;&gt;0,K17-K16,IF(L15=0,K17-K14,K17-K15)))</f>
        <v>2.120000000000001</v>
      </c>
      <c r="M17" s="32">
        <f t="shared" si="4"/>
        <v>0.95400000000000051</v>
      </c>
      <c r="N17" s="13"/>
      <c r="O17" s="58">
        <v>16</v>
      </c>
      <c r="P17" s="54" t="s">
        <v>6</v>
      </c>
      <c r="Q17" s="5">
        <f>VLOOKUP(P17,Log!$B$2:$C$8,2,)</f>
        <v>0.45</v>
      </c>
      <c r="R17" s="4">
        <v>5.12</v>
      </c>
      <c r="S17" s="32">
        <f>IF(OR(AND(OR(P17="Motorbike",P17="CNG",P17="Bicycle",P17="NMV"),R17-R16&lt;Log!$C$13),AND(NOT(OR(P17="Motorbike",P17="CNG",P17="Bicycle",P17="NMV")),R17-R16&lt;Log!$C$12)),0,IF(S16&lt;&gt;0,R17-R16,IF(S15=0,R17-R14,R17-R15)))</f>
        <v>0</v>
      </c>
      <c r="T17" s="32">
        <f t="shared" si="5"/>
        <v>0</v>
      </c>
    </row>
    <row r="18" spans="1:23" x14ac:dyDescent="0.25">
      <c r="A18" s="58">
        <v>49</v>
      </c>
      <c r="B18" s="54" t="s">
        <v>5</v>
      </c>
      <c r="C18" s="5">
        <f>VLOOKUP(B18,Log!$B$2:$C$8,2,)</f>
        <v>0.38</v>
      </c>
      <c r="D18" s="5">
        <v>5.6</v>
      </c>
      <c r="E18" s="32">
        <f>IF(OR(AND(B18="Motorbike",D18-D17&lt;Log!$C$13),AND(B18&lt;&gt;"Motorbike",D18-D17&lt;Log!$C$12)),0,IF(E17&lt;&gt;0,D18-D17,IF(E16=0,D18-D15,D18-D16)))</f>
        <v>1.4799999999999995</v>
      </c>
      <c r="F18" s="104">
        <f t="shared" si="3"/>
        <v>0.56239999999999979</v>
      </c>
      <c r="H18" s="14">
        <v>42</v>
      </c>
      <c r="I18" s="4" t="s">
        <v>4</v>
      </c>
      <c r="J18" s="5">
        <f>VLOOKUP(I18,Log!$B$2:$C$8,2,)</f>
        <v>1</v>
      </c>
      <c r="K18" s="4">
        <v>9.8800000000000008</v>
      </c>
      <c r="L18" s="32">
        <f>IF(OR(AND(I18="Motorbike",K18-K17&lt;Log!$C$13),AND(I18&lt;&gt;"Motorbike",K18-K17&lt;Log!$C$12)),0,IF(L17&lt;&gt;0,K18-K17,IF(L16=0,K18-K15,K18-K16)))</f>
        <v>1.08</v>
      </c>
      <c r="M18" s="32">
        <f t="shared" si="4"/>
        <v>1.08</v>
      </c>
      <c r="N18" s="13"/>
      <c r="O18" s="58">
        <v>57</v>
      </c>
      <c r="P18" s="54" t="s">
        <v>5</v>
      </c>
      <c r="Q18" s="5">
        <f>VLOOKUP(P18,Log!$B$2:$C$8,2,)</f>
        <v>0.38</v>
      </c>
      <c r="R18" s="4">
        <v>6.48</v>
      </c>
      <c r="S18" s="32">
        <f>IF(OR(AND(OR(P18="Motorbike",P18="CNG",P18="Bicycle",P18="NMV"),R18-R17&lt;Log!$C$13),AND(NOT(OR(P18="Motorbike",P18="CNG",P18="Bicycle",P18="NMV")),R18-R17&lt;Log!$C$12)),0,IF(S17&lt;&gt;0,R18-R17,IF(S16=0,R18-R15,R18-R16)))</f>
        <v>1.8000000000000007</v>
      </c>
      <c r="T18" s="32">
        <f t="shared" si="5"/>
        <v>1.3680000000000005</v>
      </c>
    </row>
    <row r="19" spans="1:23" x14ac:dyDescent="0.25">
      <c r="A19" s="58">
        <v>13</v>
      </c>
      <c r="B19" s="54" t="s">
        <v>4</v>
      </c>
      <c r="C19" s="5">
        <f>VLOOKUP(B19,Log!$B$2:$C$8,2,)</f>
        <v>1</v>
      </c>
      <c r="D19" s="5">
        <v>7.32</v>
      </c>
      <c r="E19" s="32">
        <f>IF(OR(AND(B19="Motorbike",D19-D18&lt;Log!$C$13),AND(B19&lt;&gt;"Motorbike",D19-D18&lt;Log!$C$12)),0,IF(E18&lt;&gt;0,D19-D18,IF(E17=0,D19-D16,D19-D17)))</f>
        <v>1.7200000000000006</v>
      </c>
      <c r="F19" s="104">
        <f t="shared" si="3"/>
        <v>1.7200000000000006</v>
      </c>
      <c r="H19" s="14">
        <v>85</v>
      </c>
      <c r="I19" s="4" t="s">
        <v>7</v>
      </c>
      <c r="J19" s="5">
        <f>VLOOKUP(I19,Log!$B$2:$C$8,2,)</f>
        <v>0.33</v>
      </c>
      <c r="K19" s="4">
        <v>11.68</v>
      </c>
      <c r="L19" s="32">
        <f>IF(OR(AND(I19="Motorbike",K19-K18&lt;Log!$C$13),AND(I19&lt;&gt;"Motorbike",K19-K18&lt;Log!$C$12)),0,IF(L18&lt;&gt;0,K19-K18,IF(L17=0,K19-K16,K19-K17)))</f>
        <v>1.7999999999999989</v>
      </c>
      <c r="M19" s="32">
        <f t="shared" si="4"/>
        <v>2.3939999999999988</v>
      </c>
      <c r="N19" s="13"/>
      <c r="O19" s="58">
        <v>51</v>
      </c>
      <c r="P19" s="54" t="s">
        <v>5</v>
      </c>
      <c r="Q19" s="5">
        <f>VLOOKUP(P19,Log!$B$2:$C$8,2,)</f>
        <v>0.38</v>
      </c>
      <c r="R19" s="4">
        <v>6.68</v>
      </c>
      <c r="S19" s="32">
        <f>IF(OR(AND(OR(P19="Motorbike",P19="CNG",P19="Bicycle",P19="NMV"),R19-R18&lt;Log!$C$13),AND(NOT(OR(P19="Motorbike",P19="CNG",P19="Bicycle",P19="NMV")),R19-R18&lt;Log!$C$12)),0,IF(S18&lt;&gt;0,R19-R18,IF(S17=0,R19-R16,R19-R17)))</f>
        <v>0</v>
      </c>
      <c r="T19" s="32">
        <f t="shared" si="5"/>
        <v>0</v>
      </c>
    </row>
    <row r="20" spans="1:23" x14ac:dyDescent="0.25">
      <c r="A20" s="58">
        <v>32</v>
      </c>
      <c r="B20" s="54" t="s">
        <v>6</v>
      </c>
      <c r="C20" s="5">
        <f>VLOOKUP(B20,Log!$B$2:$C$8,2,)</f>
        <v>0.45</v>
      </c>
      <c r="D20" s="5">
        <v>8.08</v>
      </c>
      <c r="E20" s="32">
        <f>IF(OR(AND(OR(B20="Motorbike",B20="CNG",B20="Bicycle",B20="NMV"),D20-D19&lt;Log!$C$13),AND(NOT(OR(B20="Motorbike",B20="CNG",B20="Bicycle",B20="NMV")),D20-D19&lt;Log!$C$12)),0,IF(E19&lt;&gt;0,D20-D19,IF(E18=0,D20-D17,D20-D18)))</f>
        <v>0.75999999999999979</v>
      </c>
      <c r="F20" s="104">
        <f t="shared" si="3"/>
        <v>0.34199999999999992</v>
      </c>
      <c r="H20" s="14">
        <v>73</v>
      </c>
      <c r="I20" s="4" t="s">
        <v>4</v>
      </c>
      <c r="J20" s="5">
        <f>VLOOKUP(I20,Log!$B$2:$C$8,2,)</f>
        <v>1</v>
      </c>
      <c r="K20" s="4">
        <v>12.48</v>
      </c>
      <c r="L20" s="32">
        <f>IF(OR(AND(OR(I20="Motorbike",I20="CNG",I20="Bicycle",I20="NMV"),K20-K19&lt;Log!$C$13),AND(NOT(OR(I20="Motorbike",I20="CNG",I20="Bicycle",I20="NMV")),K20-K19&lt;Log!$C$12)),0,IF(L19&lt;&gt;0,K20-K19,IF(L18=0,K20-K17,K20-K18)))</f>
        <v>0</v>
      </c>
      <c r="M20" s="32">
        <f t="shared" si="4"/>
        <v>0</v>
      </c>
      <c r="N20" s="13"/>
      <c r="O20" s="58">
        <v>63</v>
      </c>
      <c r="P20" s="54" t="s">
        <v>6</v>
      </c>
      <c r="Q20" s="5">
        <f>VLOOKUP(P20,Log!$B$2:$C$8,2,)</f>
        <v>0.45</v>
      </c>
      <c r="R20" s="4">
        <v>9.08</v>
      </c>
      <c r="S20" s="32">
        <f>IF(OR(AND(OR(P20="Motorbike",P20="CNG",P20="Bicycle",P20="NMV"),R20-R19&lt;Log!$C$13),AND(NOT(OR(P20="Motorbike",P20="CNG",P20="Bicycle",P20="NMV")),R20-R19&lt;Log!$C$12)),0,IF(S19&lt;&gt;0,R20-R19,IF(S18=0,R20-R17,R20-R18)))</f>
        <v>2.5999999999999996</v>
      </c>
      <c r="T20" s="32">
        <f t="shared" si="5"/>
        <v>1.17</v>
      </c>
    </row>
    <row r="21" spans="1:23" ht="15.75" thickBot="1" x14ac:dyDescent="0.3">
      <c r="A21" s="58">
        <v>54</v>
      </c>
      <c r="B21" s="54" t="s">
        <v>4</v>
      </c>
      <c r="C21" s="5">
        <f>VLOOKUP(B21,Log!$B$2:$C$8,2,)</f>
        <v>1</v>
      </c>
      <c r="D21" s="5">
        <v>9.6</v>
      </c>
      <c r="E21" s="32">
        <f>IF(OR(AND(OR(B21="Motorbike",B21="CNG",B21="Bicycle",B21="NMV"),D21-D20&lt;Log!$C$13),AND(NOT(OR(B21="Motorbike",B21="CNG",B21="Bicycle",B21="NMV")),D21-D20&lt;Log!$C$12)),0,IF(E20&lt;&gt;0,D21-D20,IF(E19=0,D21-D18,D21-D19)))</f>
        <v>1.5199999999999996</v>
      </c>
      <c r="F21" s="104">
        <f t="shared" si="3"/>
        <v>1.5199999999999996</v>
      </c>
      <c r="H21" s="14">
        <v>81</v>
      </c>
      <c r="I21" s="4" t="s">
        <v>4</v>
      </c>
      <c r="J21" s="5">
        <f>VLOOKUP(I21,Log!$B$2:$C$8,2,)</f>
        <v>1</v>
      </c>
      <c r="K21" s="4">
        <v>16.88</v>
      </c>
      <c r="L21" s="32">
        <f>IF(OR(AND(OR(I21="Motorbike",I21="CNG",I21="Bicycle",I21="NMV"),K21-K20&lt;Log!$C$13),AND(NOT(OR(I21="Motorbike",I21="CNG",I21="Bicycle",I21="NMV")),K21-K20&lt;Log!$C$12)),0,IF(L20&lt;&gt;0,K21-K20,IF(L19=0,K21-K18,K21-K19)))</f>
        <v>5.1999999999999993</v>
      </c>
      <c r="M21" s="32">
        <f t="shared" si="4"/>
        <v>5.1999999999999993</v>
      </c>
      <c r="N21" s="13"/>
      <c r="O21" s="59">
        <v>46</v>
      </c>
      <c r="P21" s="54" t="s">
        <v>4</v>
      </c>
      <c r="Q21" s="5">
        <f>VLOOKUP(P21,Log!$B$2:$C$8,2,)</f>
        <v>1</v>
      </c>
      <c r="R21" s="4">
        <v>10.48</v>
      </c>
      <c r="S21" s="32">
        <f>IF(OR(AND(OR(P21="Motorbike",P21="CNG",P21="Bicycle",P21="NMV"),R21-R20&lt;Log!$C$13),AND(NOT(OR(P21="Motorbike",P21="CNG",P21="Bicycle",P21="NMV")),R21-R20&lt;Log!$C$12)),0,IF(S20&lt;&gt;0,R21-R20,IF(S19=0,R21-R18,R21-R19)))</f>
        <v>1.4000000000000004</v>
      </c>
      <c r="T21" s="32">
        <f t="shared" si="5"/>
        <v>1.4000000000000004</v>
      </c>
    </row>
    <row r="22" spans="1:23" ht="15.75" thickBot="1" x14ac:dyDescent="0.3">
      <c r="A22" s="58">
        <v>71</v>
      </c>
      <c r="B22" s="54" t="s">
        <v>4</v>
      </c>
      <c r="C22" s="5">
        <f>VLOOKUP(B22,Log!$B$2:$C$8,2,)</f>
        <v>1</v>
      </c>
      <c r="D22" s="5">
        <v>13.32</v>
      </c>
      <c r="E22" s="32">
        <f>IF(OR(AND(OR(B22="Motorbike",B22="CNG",B22="Bicycle",B22="NMV"),D22-D21&lt;Log!$C$13),AND(NOT(OR(B22="Motorbike",B22="CNG",B22="Bicycle",B22="NMV")),D22-D21&lt;Log!$C$12)),0,IF(E21&lt;&gt;0,D22-D21,IF(E20=0,D22-D19,D22-D20)))</f>
        <v>3.7200000000000006</v>
      </c>
      <c r="F22" s="104">
        <f t="shared" si="3"/>
        <v>3.7200000000000006</v>
      </c>
      <c r="H22" s="14">
        <v>100</v>
      </c>
      <c r="I22" s="4" t="s">
        <v>4</v>
      </c>
      <c r="J22" s="5">
        <f>VLOOKUP(I22,Log!$B$2:$C$8,2,)</f>
        <v>1</v>
      </c>
      <c r="K22" s="4">
        <v>18.48</v>
      </c>
      <c r="L22" s="32">
        <f>IF(OR(AND(OR(I22="Motorbike",I22="CNG",I22="Bicycle",I22="NMV"),K22-K21&lt;Log!$C$13),AND(NOT(OR(I22="Motorbike",I22="CNG",I22="Bicycle",I22="NMV")),K22-K21&lt;Log!$C$12)),0,IF(L21&lt;&gt;0,K22-K21,IF(L20=0,K22-K19,K22-K20)))</f>
        <v>1.6000000000000014</v>
      </c>
      <c r="M22" s="32">
        <f t="shared" si="4"/>
        <v>1.6000000000000014</v>
      </c>
      <c r="N22" s="13"/>
      <c r="O22" s="41">
        <v>70</v>
      </c>
      <c r="P22" s="4" t="s">
        <v>4</v>
      </c>
      <c r="Q22" s="5">
        <f>VLOOKUP(P22,Log!$B$2:$C$8,2,)</f>
        <v>1</v>
      </c>
      <c r="R22" s="4">
        <v>15</v>
      </c>
      <c r="S22" s="32">
        <f>IF(OR(AND(OR(P22="Motorbike",P22="CNG",P22="Bicycle",P22="NMV"),R22-R21&lt;Log!$C$13),AND(NOT(OR(P22="Motorbike",P22="CNG",P22="Bicycle",P22="NMV")),R22-R21&lt;Log!$C$12)),0,IF(S21&lt;&gt;0,R22-R21,IF(S20=0,R22-R19,R22-R20)))</f>
        <v>4.5199999999999996</v>
      </c>
      <c r="T22" s="32">
        <f t="shared" si="5"/>
        <v>4.5199999999999996</v>
      </c>
    </row>
    <row r="23" spans="1:23" x14ac:dyDescent="0.25">
      <c r="A23" s="58">
        <v>75</v>
      </c>
      <c r="B23" s="54" t="s">
        <v>4</v>
      </c>
      <c r="C23" s="5">
        <f>VLOOKUP(B23,Log!$B$2:$C$8,2,)</f>
        <v>1</v>
      </c>
      <c r="D23" s="5">
        <v>15.08</v>
      </c>
      <c r="E23" s="32">
        <f>IF(OR(AND(OR(B23="Motorbike",B23="CNG",B23="Bicycle",B23="NMV"),D23-D22&lt;Log!$C$13),AND(NOT(OR(B23="Motorbike",B23="CNG",B23="Bicycle",B23="NMV")),D23-D22&lt;Log!$C$12)),0,IF(E22&lt;&gt;0,D23-D22,IF(E21=0,D23-D20,D23-D21)))</f>
        <v>1.7599999999999998</v>
      </c>
      <c r="F23" s="104">
        <f t="shared" si="3"/>
        <v>1.7599999999999998</v>
      </c>
      <c r="H23" s="14">
        <v>121</v>
      </c>
      <c r="I23" s="4" t="s">
        <v>4</v>
      </c>
      <c r="J23" s="5">
        <f>VLOOKUP(I23,Log!$B$2:$C$8,2,)</f>
        <v>1</v>
      </c>
      <c r="K23" s="4">
        <v>21.4</v>
      </c>
      <c r="L23" s="32">
        <f>IF(OR(AND(OR(I23="Motorbike",I23="CNG",I23="Bicycle",I23="NMV"),K23-K22&lt;Log!$C$13),AND(NOT(OR(I23="Motorbike",I23="CNG",I23="Bicycle",I23="NMV")),K23-K22&lt;Log!$C$12)),0,IF(L22&lt;&gt;0,K23-K22,IF(L21=0,K23-K20,K23-K21)))</f>
        <v>2.9199999999999982</v>
      </c>
      <c r="M23" s="32">
        <f t="shared" si="4"/>
        <v>5.8399999999999963</v>
      </c>
      <c r="N23" s="13"/>
      <c r="O23" s="57">
        <v>107</v>
      </c>
      <c r="P23" s="60" t="s">
        <v>5</v>
      </c>
      <c r="Q23" s="5">
        <f>VLOOKUP(P23,Log!$B$2:$C$8,2,)</f>
        <v>0.38</v>
      </c>
      <c r="R23" s="4">
        <v>17.48</v>
      </c>
      <c r="S23" s="32">
        <f>IF(OR(AND(OR(P23="Motorbike",P23="CNG",P23="Bicycle",P23="NMV"),R23-R22&lt;Log!$C$13),AND(NOT(OR(P23="Motorbike",P23="CNG",P23="Bicycle",P23="NMV")),R23-R22&lt;Log!$C$12)),0,IF(S22&lt;&gt;0,R23-R22,IF(S21=0,R23-R20,R23-R21)))</f>
        <v>2.4800000000000004</v>
      </c>
      <c r="T23" s="32">
        <f t="shared" si="5"/>
        <v>0.94240000000000013</v>
      </c>
    </row>
    <row r="24" spans="1:23" x14ac:dyDescent="0.25">
      <c r="A24" s="58">
        <v>87</v>
      </c>
      <c r="B24" s="54" t="s">
        <v>4</v>
      </c>
      <c r="C24" s="5">
        <f>VLOOKUP(B24,Log!$B$2:$C$8,2,)</f>
        <v>1</v>
      </c>
      <c r="D24" s="5">
        <v>17.399999999999999</v>
      </c>
      <c r="E24" s="32">
        <f>IF(OR(AND(OR(B24="Motorbike",B24="CNG",B24="Bicycle",B24="NMV"),D24-D23&lt;Log!$C$13),AND(NOT(OR(B24="Motorbike",B24="CNG",B24="Bicycle",B24="NMV")),D24-D23&lt;Log!$C$12)),0,IF(E23&lt;&gt;0,D24-D23,IF(E22=0,D24-D21,D24-D22)))</f>
        <v>2.3199999999999985</v>
      </c>
      <c r="F24" s="104">
        <f t="shared" si="3"/>
        <v>2.3199999999999985</v>
      </c>
      <c r="H24" s="14">
        <v>119</v>
      </c>
      <c r="I24" s="4" t="s">
        <v>4</v>
      </c>
      <c r="J24" s="5">
        <f>VLOOKUP(I24,Log!$B$2:$C$8,2,)</f>
        <v>1</v>
      </c>
      <c r="K24" s="4">
        <v>22.28</v>
      </c>
      <c r="L24" s="32">
        <f>IF(OR(AND(OR(I24="Motorbike",I24="CNG",I24="Bicycle",I24="NMV"),K24-K23&lt;Log!$C$13),AND(NOT(OR(I24="Motorbike",I24="CNG",I24="Bicycle",I24="NMV")),K24-K23&lt;Log!$C$12)),0,IF(L23&lt;&gt;0,K24-K23,IF(L22=0,K24-K21,K24-K22)))</f>
        <v>0</v>
      </c>
      <c r="M24" s="32">
        <f t="shared" si="4"/>
        <v>0</v>
      </c>
      <c r="N24" s="13"/>
      <c r="O24" s="58">
        <v>103</v>
      </c>
      <c r="P24" s="54" t="s">
        <v>5</v>
      </c>
      <c r="Q24" s="5">
        <f>VLOOKUP(P24,Log!$B$2:$C$8,2,)</f>
        <v>0.38</v>
      </c>
      <c r="R24" s="4">
        <v>18.28</v>
      </c>
      <c r="S24" s="32">
        <f>IF(OR(AND(OR(P24="Motorbike",P24="CNG",P24="Bicycle",P24="NMV"),R24-R23&lt;Log!$C$13),AND(NOT(OR(P24="Motorbike",P24="CNG",P24="Bicycle",P24="NMV")),R24-R23&lt;Log!$C$12)),0,IF(S23&lt;&gt;0,R24-R23,IF(S22=0,R24-R21,R24-R22)))</f>
        <v>0.80000000000000071</v>
      </c>
      <c r="T24" s="32">
        <f t="shared" si="5"/>
        <v>0.30400000000000027</v>
      </c>
    </row>
    <row r="25" spans="1:23" x14ac:dyDescent="0.25">
      <c r="A25" s="58">
        <v>88</v>
      </c>
      <c r="B25" s="54" t="s">
        <v>4</v>
      </c>
      <c r="C25" s="5">
        <f>VLOOKUP(B25,Log!$B$2:$C$8,2,)</f>
        <v>1</v>
      </c>
      <c r="D25" s="5">
        <v>18.8</v>
      </c>
      <c r="E25" s="32">
        <f>IF(OR(AND(OR(B25="Motorbike",B25="CNG",B25="Bicycle",B25="NMV"),D25-D24&lt;Log!$C$13),AND(NOT(OR(B25="Motorbike",B25="CNG",B25="Bicycle",B25="NMV")),D25-D24&lt;Log!$C$12)),0,IF(E24&lt;&gt;0,D25-D24,IF(E23=0,D25-D22,D25-D23)))</f>
        <v>1.4000000000000021</v>
      </c>
      <c r="F25" s="104">
        <f t="shared" si="3"/>
        <v>1.4000000000000021</v>
      </c>
      <c r="H25" s="14">
        <v>134</v>
      </c>
      <c r="I25" s="4" t="s">
        <v>4</v>
      </c>
      <c r="J25" s="5">
        <f>VLOOKUP(I25,Log!$B$2:$C$8,2,)</f>
        <v>1</v>
      </c>
      <c r="K25" s="4">
        <v>24.4</v>
      </c>
      <c r="L25" s="32">
        <f>IF(OR(AND(OR(I25="Motorbike",I25="CNG",I25="Bicycle",I25="NMV"),K25-K24&lt;Log!$C$13),AND(NOT(OR(I25="Motorbike",I25="CNG",I25="Bicycle",I25="NMV")),K25-K24&lt;Log!$C$12)),0,IF(L24&lt;&gt;0,K25-K24,IF(L23=0,K25-K22,K25-K23)))</f>
        <v>3</v>
      </c>
      <c r="M25" s="32">
        <f t="shared" si="4"/>
        <v>3</v>
      </c>
      <c r="N25" s="13"/>
      <c r="O25" s="58">
        <v>97</v>
      </c>
      <c r="P25" s="54" t="s">
        <v>4</v>
      </c>
      <c r="Q25" s="5">
        <f>VLOOKUP(P25,Log!$B$2:$C$8,2,)</f>
        <v>1</v>
      </c>
      <c r="R25" s="4">
        <v>19.52</v>
      </c>
      <c r="S25" s="32">
        <f>IF(OR(AND(OR(P25="Motorbike",P25="CNG",P25="Bicycle",P25="NMV"),R25-R24&lt;Log!$C$13),AND(NOT(OR(P25="Motorbike",P25="CNG",P25="Bicycle",P25="NMV")),R25-R24&lt;Log!$C$12)),0,IF(S24&lt;&gt;0,R25-R24,IF(S23=0,R25-R22,R25-R23)))</f>
        <v>1.2399999999999984</v>
      </c>
      <c r="T25" s="32">
        <f t="shared" si="5"/>
        <v>1.2399999999999984</v>
      </c>
    </row>
    <row r="26" spans="1:23" x14ac:dyDescent="0.25">
      <c r="A26" s="58">
        <v>125</v>
      </c>
      <c r="B26" s="54" t="s">
        <v>6</v>
      </c>
      <c r="C26" s="5">
        <f>VLOOKUP(B26,Log!$B$2:$C$8,2,)</f>
        <v>0.45</v>
      </c>
      <c r="D26" s="5">
        <v>20.6</v>
      </c>
      <c r="E26" s="32">
        <f>IF(OR(AND(OR(B26="Motorbike",B26="CNG",B26="Bicycle",B26="NMV"),D26-D25&lt;Log!$C$13),AND(NOT(OR(B26="Motorbike",B26="CNG",B26="Bicycle",B26="NMV")),D26-D25&lt;Log!$C$12)),0,IF(E25&lt;&gt;0,D26-D25,IF(E24=0,D26-D23,D26-D24)))</f>
        <v>1.8000000000000007</v>
      </c>
      <c r="F26" s="104">
        <f t="shared" si="3"/>
        <v>2.6100000000000008</v>
      </c>
      <c r="H26" s="14">
        <v>136</v>
      </c>
      <c r="I26" s="4" t="s">
        <v>4</v>
      </c>
      <c r="J26" s="5">
        <f>VLOOKUP(I26,Log!$B$2:$C$8,2,)</f>
        <v>1</v>
      </c>
      <c r="K26" s="4">
        <v>26.08</v>
      </c>
      <c r="L26" s="32">
        <f>IF(OR(AND(OR(I26="Motorbike",I26="CNG",I26="Bicycle",I26="NMV"),K26-K25&lt;Log!$C$13),AND(NOT(OR(I26="Motorbike",I26="CNG",I26="Bicycle",I26="NMV")),K26-K25&lt;Log!$C$12)),0,IF(L25&lt;&gt;0,K26-K25,IF(L24=0,K26-K23,K26-K24)))</f>
        <v>1.6799999999999997</v>
      </c>
      <c r="M26" s="32">
        <f t="shared" si="4"/>
        <v>3.3599999999999994</v>
      </c>
      <c r="N26" s="13"/>
      <c r="O26" s="58">
        <v>126</v>
      </c>
      <c r="P26" s="54" t="s">
        <v>4</v>
      </c>
      <c r="Q26" s="5">
        <f>VLOOKUP(P26,Log!$B$2:$C$8,2,)</f>
        <v>1</v>
      </c>
      <c r="R26" s="4">
        <v>23.32</v>
      </c>
      <c r="S26" s="32">
        <f>IF(OR(AND(OR(P26="Motorbike",P26="CNG",P26="Bicycle",P26="NMV"),R26-R25&lt;Log!$C$13),AND(NOT(OR(P26="Motorbike",P26="CNG",P26="Bicycle",P26="NMV")),R26-R25&lt;Log!$C$12)),0,IF(S25&lt;&gt;0,R26-R25,IF(S24=0,R26-R23,R26-R24)))</f>
        <v>3.8000000000000007</v>
      </c>
      <c r="T26" s="32">
        <f t="shared" si="5"/>
        <v>3.8000000000000007</v>
      </c>
    </row>
    <row r="27" spans="1:23" x14ac:dyDescent="0.25">
      <c r="A27" s="58">
        <v>115</v>
      </c>
      <c r="B27" s="54" t="s">
        <v>4</v>
      </c>
      <c r="C27" s="5">
        <f>VLOOKUP(B27,Log!$B$2:$C$8,2,)</f>
        <v>1</v>
      </c>
      <c r="D27" s="5">
        <v>21</v>
      </c>
      <c r="E27" s="32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4">
        <f t="shared" si="3"/>
        <v>0</v>
      </c>
      <c r="H27" s="14">
        <v>138</v>
      </c>
      <c r="I27" s="4" t="s">
        <v>4</v>
      </c>
      <c r="J27" s="5">
        <f>VLOOKUP(I27,Log!$B$2:$C$8,2,)</f>
        <v>1</v>
      </c>
      <c r="K27" s="4">
        <v>26.52</v>
      </c>
      <c r="L27" s="32">
        <f>IF(OR(AND(OR(I27="Motorbike",I27="CNG",I27="Bicycle",I27="NMV"),K27-K26&lt;Log!$C$13),AND(NOT(OR(I27="Motorbike",I27="CNG",I27="Bicycle",I27="NMV")),K27-K26&lt;Log!$C$12)),0,IF(L26&lt;&gt;0,K27-K26,IF(L25=0,K27-K24,K27-K25)))</f>
        <v>0</v>
      </c>
      <c r="M27" s="32">
        <f t="shared" si="4"/>
        <v>0</v>
      </c>
      <c r="N27" s="13"/>
      <c r="O27" s="58">
        <v>135</v>
      </c>
      <c r="P27" s="54" t="s">
        <v>4</v>
      </c>
      <c r="Q27" s="5">
        <f>VLOOKUP(P27,Log!$B$2:$C$8,2,)</f>
        <v>1</v>
      </c>
      <c r="R27" s="4">
        <v>25.08</v>
      </c>
      <c r="S27" s="32">
        <f>IF(OR(AND(OR(P27="Motorbike",P27="CNG",P27="Bicycle",P27="NMV"),R27-R26&lt;Log!$C$13),AND(NOT(OR(P27="Motorbike",P27="CNG",P27="Bicycle",P27="NMV")),R27-R26&lt;Log!$C$12)),0,IF(S26&lt;&gt;0,R27-R26,IF(S25=0,R27-R24,R27-R25)))</f>
        <v>1.759999999999998</v>
      </c>
      <c r="T27" s="32">
        <f t="shared" si="5"/>
        <v>1.759999999999998</v>
      </c>
    </row>
    <row r="28" spans="1:23" x14ac:dyDescent="0.25">
      <c r="A28" s="58">
        <v>108</v>
      </c>
      <c r="B28" s="54" t="s">
        <v>6</v>
      </c>
      <c r="C28" s="5">
        <f>VLOOKUP(B28,Log!$B$2:$C$8,2,)</f>
        <v>0.45</v>
      </c>
      <c r="D28" s="5">
        <v>22</v>
      </c>
      <c r="E28" s="32">
        <f>IF(OR(AND(OR(B28="Motorbike",B28="CNG",B28="Bicycle",B28="NMV"),D28-D27&lt;Log!$C$13),AND(NOT(OR(B28="Motorbike",B28="CNG",B28="Bicycle",B28="NMV")),D28-D27&lt;Log!$C$12)),0,IF(E27&lt;&gt;0,D28-D27,IF(E26=0,D28-D25,D28-D26)))</f>
        <v>1.3999999999999986</v>
      </c>
      <c r="F28" s="104">
        <f t="shared" si="3"/>
        <v>0.62999999999999934</v>
      </c>
      <c r="H28" s="14">
        <v>150</v>
      </c>
      <c r="I28" s="4" t="s">
        <v>4</v>
      </c>
      <c r="J28" s="5">
        <f>VLOOKUP(I28,Log!$B$2:$C$8,2,)</f>
        <v>1</v>
      </c>
      <c r="K28" s="4">
        <v>27.52</v>
      </c>
      <c r="L28" s="32">
        <f>IF(OR(AND(OR(I28="Motorbike",I28="CNG",I28="Bicycle",I28="NMV"),K28-K27&lt;Log!$C$13),AND(NOT(OR(I28="Motorbike",I28="CNG",I28="Bicycle",I28="NMV")),K28-K27&lt;Log!$C$12)),0,IF(L27&lt;&gt;0,K28-K27,IF(L26=0,K28-K25,K28-K26)))</f>
        <v>1.4400000000000013</v>
      </c>
      <c r="M28" s="32">
        <f t="shared" si="4"/>
        <v>1.4400000000000013</v>
      </c>
      <c r="N28" s="13"/>
      <c r="O28" s="58">
        <v>138</v>
      </c>
      <c r="P28" s="54" t="s">
        <v>4</v>
      </c>
      <c r="Q28" s="5">
        <f>VLOOKUP(P28,Log!$B$2:$C$8,2,)</f>
        <v>1</v>
      </c>
      <c r="R28" s="4">
        <v>26.88</v>
      </c>
      <c r="S28" s="32">
        <f>IF(OR(AND(OR(P28="Motorbike",P28="CNG",P28="Bicycle",P28="NMV"),R28-R27&lt;Log!$C$13),AND(NOT(OR(P28="Motorbike",P28="CNG",P28="Bicycle",P28="NMV")),R28-R27&lt;Log!$C$12)),0,IF(S27&lt;&gt;0,R28-R27,IF(S26=0,R28-R25,R28-R26)))</f>
        <v>1.8000000000000007</v>
      </c>
      <c r="T28" s="32">
        <f t="shared" si="5"/>
        <v>2.4840000000000009</v>
      </c>
    </row>
    <row r="29" spans="1:23" x14ac:dyDescent="0.25">
      <c r="A29" s="58">
        <v>129</v>
      </c>
      <c r="B29" s="54" t="s">
        <v>4</v>
      </c>
      <c r="C29" s="5">
        <f>VLOOKUP(B29,Log!$B$2:$C$8,2,)</f>
        <v>1</v>
      </c>
      <c r="D29" s="5">
        <v>25.32</v>
      </c>
      <c r="E29" s="32">
        <f>IF(OR(AND(OR(B29="Motorbike",B29="CNG",B29="Bicycle",B29="NMV"),D29-D28&lt;Log!$C$13),AND(NOT(OR(B29="Motorbike",B29="CNG",B29="Bicycle",B29="NMV")),D29-D28&lt;Log!$C$12)),0,IF(E28&lt;&gt;0,D29-D28,IF(E27=0,D29-D26,D29-D27)))</f>
        <v>3.3200000000000003</v>
      </c>
      <c r="F29" s="104">
        <f t="shared" si="3"/>
        <v>3.3200000000000003</v>
      </c>
      <c r="H29" s="14">
        <v>163</v>
      </c>
      <c r="I29" s="4" t="s">
        <v>5</v>
      </c>
      <c r="J29" s="5">
        <f>VLOOKUP(I29,Log!$B$2:$C$8,2,)</f>
        <v>0.38</v>
      </c>
      <c r="K29" s="4">
        <v>29.08</v>
      </c>
      <c r="L29" s="32">
        <f>IF(OR(AND(OR(I29="Motorbike",I29="CNG",I29="Bicycle",I29="NMV"),K29-K28&lt;Log!$C$13),AND(NOT(OR(I29="Motorbike",I29="CNG",I29="Bicycle",I29="NMV")),K29-K28&lt;Log!$C$12)),0,IF(L28&lt;&gt;0,K29-K28,IF(L27=0,K29-K26,K29-K27)))</f>
        <v>1.5599999999999987</v>
      </c>
      <c r="M29" s="32">
        <f t="shared" si="4"/>
        <v>0.59279999999999955</v>
      </c>
      <c r="N29" s="13"/>
      <c r="O29" s="58">
        <v>156</v>
      </c>
      <c r="P29" s="54" t="s">
        <v>5</v>
      </c>
      <c r="Q29" s="5">
        <f>VLOOKUP(P29,Log!$B$2:$C$8,2,)</f>
        <v>0.38</v>
      </c>
      <c r="R29" s="4">
        <v>26.92</v>
      </c>
      <c r="S29" s="32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32">
        <f t="shared" si="5"/>
        <v>0</v>
      </c>
      <c r="W29" s="11"/>
    </row>
    <row r="30" spans="1:23" x14ac:dyDescent="0.25">
      <c r="A30" s="58">
        <v>147</v>
      </c>
      <c r="B30" s="54" t="s">
        <v>5</v>
      </c>
      <c r="C30" s="5">
        <f>VLOOKUP(B30,Log!$B$2:$C$8,2,)</f>
        <v>0.38</v>
      </c>
      <c r="D30" s="5">
        <v>27.48</v>
      </c>
      <c r="E30" s="32">
        <f>IF(OR(AND(OR(B30="Motorbike",B30="CNG",B30="Bicycle",B30="NMV"),D30-D29&lt;Log!$C$13),AND(NOT(OR(B30="Motorbike",B30="CNG",B30="Bicycle",B30="NMV")),D30-D29&lt;Log!$C$12)),0,IF(E29&lt;&gt;0,D30-D29,IF(E28=0,D30-D27,D30-D28)))</f>
        <v>2.16</v>
      </c>
      <c r="F30" s="104">
        <f t="shared" si="3"/>
        <v>2.4624000000000006</v>
      </c>
      <c r="H30" s="14">
        <v>179</v>
      </c>
      <c r="I30" s="4" t="s">
        <v>4</v>
      </c>
      <c r="J30" s="5">
        <f>VLOOKUP(I30,Log!$B$2:$C$8,2,)</f>
        <v>1</v>
      </c>
      <c r="K30" s="4">
        <v>34</v>
      </c>
      <c r="L30" s="32">
        <f>IF(OR(AND(OR(I30="Motorbike",I30="CNG",I30="Bicycle",I30="NMV"),K30-K29&lt;Log!$C$13),AND(NOT(OR(I30="Motorbike",I30="CNG",I30="Bicycle",I30="NMV")),K30-K29&lt;Log!$C$12)),0,IF(L29&lt;&gt;0,K30-K29,IF(L28=0,K30-K27,K30-K28)))</f>
        <v>4.9200000000000017</v>
      </c>
      <c r="M30" s="32">
        <f t="shared" si="4"/>
        <v>4.9200000000000017</v>
      </c>
      <c r="N30" s="13"/>
      <c r="O30" s="58">
        <v>159</v>
      </c>
      <c r="P30" s="146" t="s">
        <v>18</v>
      </c>
      <c r="Q30" s="5">
        <f>VLOOKUP(P30,Log!$B$2:$C$8,2,)</f>
        <v>1.02</v>
      </c>
      <c r="R30" s="4">
        <v>29.68</v>
      </c>
      <c r="S30" s="32">
        <f>IF(OR(AND(OR(P30="Motorbike",P30="CNG",P30="Bicycle",P30="NMV"),R30-R29&lt;Log!$C$13),AND(NOT(OR(P30="Motorbike",P30="CNG",P30="Bicycle",P30="NMV")),R30-R29&lt;Log!$C$12)),0,IF(S29&lt;&gt;0,R30-R29,IF(S28=0,R30-R27,R30-R28)))</f>
        <v>2.8000000000000007</v>
      </c>
      <c r="T30" s="32">
        <f t="shared" si="5"/>
        <v>3.9200000000000008</v>
      </c>
      <c r="W30" s="11"/>
    </row>
    <row r="31" spans="1:23" x14ac:dyDescent="0.25">
      <c r="A31" s="58">
        <v>164</v>
      </c>
      <c r="B31" s="54" t="s">
        <v>5</v>
      </c>
      <c r="C31" s="5">
        <f>VLOOKUP(B31,Log!$B$2:$C$8,2,)</f>
        <v>0.38</v>
      </c>
      <c r="D31" s="5">
        <v>27.52</v>
      </c>
      <c r="E31" s="32">
        <f>IF(OR(AND(OR(B31="Motorbike",B31="CNG",B31="Bicycle",B31="NMV"),D31-D30&lt;Log!$C$13),AND(NOT(OR(B31="Motorbike",B31="CNG",B31="Bicycle",B31="NMV")),D31-D30&lt;Log!$C$12)),0,IF(E30&lt;&gt;0,D31-D30,IF(E29=0,D31-D28,D31-D29)))</f>
        <v>0</v>
      </c>
      <c r="F31" s="104">
        <f t="shared" si="3"/>
        <v>0</v>
      </c>
      <c r="N31" s="13"/>
      <c r="O31" s="58">
        <v>184</v>
      </c>
      <c r="P31" s="54" t="s">
        <v>5</v>
      </c>
      <c r="Q31" s="5">
        <f>VLOOKUP(P31,Log!$B$2:$C$8,2,)</f>
        <v>0.38</v>
      </c>
      <c r="R31" s="4">
        <v>29.68</v>
      </c>
      <c r="S31" s="32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32">
        <f t="shared" si="5"/>
        <v>0</v>
      </c>
      <c r="W31" s="11"/>
    </row>
    <row r="32" spans="1:23" ht="15.75" thickBot="1" x14ac:dyDescent="0.3">
      <c r="A32" s="58">
        <v>174</v>
      </c>
      <c r="B32" s="54" t="s">
        <v>5</v>
      </c>
      <c r="C32" s="5">
        <f>VLOOKUP(B32,Log!$B$2:$C$8,2,)</f>
        <v>0.38</v>
      </c>
      <c r="D32" s="5">
        <v>27.88</v>
      </c>
      <c r="E32" s="32">
        <f>IF(OR(AND(OR(B32="Motorbike",B32="CNG",B32="Bicycle",B32="NMV"),D32-D31&lt;Log!$C$13),AND(NOT(OR(B32="Motorbike",B32="CNG",B32="Bicycle",B32="NMV")),D32-D31&lt;Log!$C$12)),0,IF(E31&lt;&gt;0,D32-D31,IF(E30=0,D32-D29,D32-D30)))</f>
        <v>0</v>
      </c>
      <c r="F32" s="104">
        <f t="shared" si="3"/>
        <v>0</v>
      </c>
      <c r="N32" s="13"/>
      <c r="O32" s="59">
        <v>180</v>
      </c>
      <c r="P32" s="54" t="s">
        <v>5</v>
      </c>
      <c r="Q32" s="5">
        <f>VLOOKUP(P32,Log!$B$2:$C$8,2,)</f>
        <v>0.38</v>
      </c>
      <c r="R32" s="4">
        <v>32.479999999999997</v>
      </c>
      <c r="S32" s="32">
        <f>IF(OR(AND(OR(P32="Motorbike",P32="CNG",P32="Bicycle",P32="NMV"),R32-R31&lt;Log!$C$13),AND(NOT(OR(P32="Motorbike",P32="CNG",P32="Bicycle",P32="NMV")),R32-R31&lt;Log!$C$12)),0,IF(S31&lt;&gt;0,R32-R31,IF(S30=0,R32-R29,R32-R30)))</f>
        <v>2.7999999999999972</v>
      </c>
      <c r="T32" s="32">
        <f t="shared" si="5"/>
        <v>1.0639999999999989</v>
      </c>
      <c r="W32" s="11"/>
    </row>
    <row r="33" spans="1:23" x14ac:dyDescent="0.25">
      <c r="A33" s="58">
        <v>141</v>
      </c>
      <c r="B33" s="54" t="s">
        <v>4</v>
      </c>
      <c r="C33" s="5">
        <f>VLOOKUP(B33,Log!$B$2:$C$8,2,)</f>
        <v>1</v>
      </c>
      <c r="D33" s="5">
        <v>29.48</v>
      </c>
      <c r="E33" s="32">
        <f>IF(OR(AND(OR(B33="Motorbike",B33="CNG",B33="Bicycle",B33="NMV"),D33-D32&lt;Log!$C$13),AND(NOT(OR(B33="Motorbike",B33="CNG",B33="Bicycle",B33="NMV")),D33-D32&lt;Log!$C$12)),0,IF(E32&lt;&gt;0,D33-D32,IF(E31=0,D33-D30,D33-D31)))</f>
        <v>2</v>
      </c>
      <c r="F33" s="104">
        <f t="shared" si="3"/>
        <v>2</v>
      </c>
      <c r="N33" s="13"/>
      <c r="W33" s="11"/>
    </row>
    <row r="34" spans="1:23" x14ac:dyDescent="0.25">
      <c r="A34" s="58">
        <v>165</v>
      </c>
      <c r="B34" s="54" t="s">
        <v>4</v>
      </c>
      <c r="C34" s="5">
        <f>VLOOKUP(B34,Log!$B$2:$C$8,2,)</f>
        <v>1</v>
      </c>
      <c r="D34" s="5">
        <v>31.8</v>
      </c>
      <c r="E34" s="32">
        <f>IF(OR(AND(OR(B34="Motorbike",B34="CNG",B34="Bicycle",B34="NMV"),D34-D33&lt;Log!$C$13),AND(NOT(OR(B34="Motorbike",B34="CNG",B34="Bicycle",B34="NMV")),D34-D33&lt;Log!$C$12)),0,IF(E33&lt;&gt;0,D34-D33,IF(E32=0,D34-D31,D34-D32)))</f>
        <v>2.3200000000000003</v>
      </c>
      <c r="F34" s="104">
        <f t="shared" si="3"/>
        <v>2.3200000000000003</v>
      </c>
      <c r="N34" s="13"/>
      <c r="W34" s="11"/>
    </row>
    <row r="35" spans="1:23" x14ac:dyDescent="0.25">
      <c r="A35" s="58">
        <v>214</v>
      </c>
      <c r="B35" s="54" t="s">
        <v>5</v>
      </c>
      <c r="C35" s="5">
        <f>VLOOKUP(B35,Log!$B$2:$C$8,2,)</f>
        <v>0.38</v>
      </c>
      <c r="D35" s="5">
        <v>32.92</v>
      </c>
      <c r="E35" s="32">
        <f>IF(OR(AND(OR(B35="Motorbike",B35="CNG",B35="Bicycle",B35="NMV"),D35-D34&lt;Log!$C$13),AND(NOT(OR(B35="Motorbike",B35="CNG",B35="Bicycle",B35="NMV")),D35-D34&lt;Log!$C$12)),0,IF(E34&lt;&gt;0,D35-D34,IF(E33=0,D35-D32,D35-D33)))</f>
        <v>1.120000000000001</v>
      </c>
      <c r="F35" s="104">
        <f t="shared" si="3"/>
        <v>0.42560000000000037</v>
      </c>
      <c r="W35" s="11"/>
    </row>
    <row r="36" spans="1:23" x14ac:dyDescent="0.25">
      <c r="A36" s="58">
        <v>188</v>
      </c>
      <c r="B36" s="146" t="s">
        <v>18</v>
      </c>
      <c r="C36" s="5">
        <f>VLOOKUP(B36,Log!$B$2:$C$8,2,)</f>
        <v>1.02</v>
      </c>
      <c r="D36" s="5">
        <v>33.6</v>
      </c>
      <c r="E36" s="147">
        <f>D36-D35</f>
        <v>0.67999999999999972</v>
      </c>
      <c r="F36" s="32">
        <f t="shared" si="3"/>
        <v>0.69359999999999977</v>
      </c>
      <c r="W36" s="11"/>
    </row>
    <row r="37" spans="1:23" x14ac:dyDescent="0.25">
      <c r="A37" s="58">
        <v>186</v>
      </c>
      <c r="B37" s="54" t="s">
        <v>4</v>
      </c>
      <c r="C37" s="5">
        <f>VLOOKUP(B37,Log!$B$2:$C$8,2,)</f>
        <v>1</v>
      </c>
      <c r="D37" s="5">
        <v>36.6</v>
      </c>
      <c r="E37" s="32">
        <f>IF(OR(AND(OR(B37="Motorbike",B37="CNG",B37="Bicycle",B37="NMV"),D37-D36&lt;Log!$C$13),AND(NOT(OR(B37="Motorbike",B37="CNG",B37="Bicycle",B37="NMV")),D37-D36&lt;Log!$C$12)),0,IF(E36&lt;&gt;0,D37-D36,IF(E35=0,D37-D34,D37-D35)))</f>
        <v>3</v>
      </c>
      <c r="F37" s="32">
        <f t="shared" si="3"/>
        <v>3</v>
      </c>
      <c r="W37" s="11"/>
    </row>
    <row r="38" spans="1:23" ht="15.75" thickBot="1" x14ac:dyDescent="0.3">
      <c r="A38" s="59">
        <v>225</v>
      </c>
      <c r="B38" s="54" t="s">
        <v>5</v>
      </c>
      <c r="C38" s="5">
        <f>VLOOKUP(B38,Log!$B$2:$C$8,2,)</f>
        <v>0.38</v>
      </c>
      <c r="D38" s="5">
        <v>37.68</v>
      </c>
      <c r="E38" s="32">
        <f>IF(OR(AND(OR(B38="Motorbike",B38="CNG",B38="Bicycle",B38="NMV"),D38-D37&lt;Log!$C$13),AND(NOT(OR(B38="Motorbike",B38="CNG",B38="Bicycle",B38="NMV")),D38-D37&lt;Log!$C$12)),0,IF(E37&lt;&gt;0,D38-D37,IF(E36=0,D38-D35,D38-D36)))</f>
        <v>1.0799999999999983</v>
      </c>
      <c r="F38" s="32">
        <f t="shared" si="3"/>
        <v>0.41039999999999938</v>
      </c>
      <c r="W38" s="11"/>
    </row>
    <row r="39" spans="1:23" x14ac:dyDescent="0.25">
      <c r="S39" s="122"/>
      <c r="T39" s="122"/>
      <c r="W39" s="11"/>
    </row>
    <row r="40" spans="1:23" x14ac:dyDescent="0.25">
      <c r="S40" s="123"/>
      <c r="T40" s="123"/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60" spans="1:6" x14ac:dyDescent="0.25">
      <c r="A60" s="13" t="s">
        <v>62</v>
      </c>
      <c r="B60" s="13" t="s">
        <v>3</v>
      </c>
      <c r="C60" s="13" t="s">
        <v>62</v>
      </c>
      <c r="D60" s="13" t="s">
        <v>3</v>
      </c>
      <c r="E60" s="13" t="s">
        <v>62</v>
      </c>
      <c r="F60" s="13" t="s">
        <v>3</v>
      </c>
    </row>
    <row r="61" spans="1:6" x14ac:dyDescent="0.25">
      <c r="A61" s="13">
        <v>0</v>
      </c>
      <c r="B61" s="13">
        <v>0</v>
      </c>
      <c r="C61" s="13">
        <v>0</v>
      </c>
      <c r="D61" s="13">
        <v>0</v>
      </c>
      <c r="E61" s="13">
        <v>0</v>
      </c>
      <c r="F61" s="13">
        <v>0</v>
      </c>
    </row>
    <row r="62" spans="1:6" x14ac:dyDescent="0.25">
      <c r="A62" s="13">
        <v>5</v>
      </c>
      <c r="B62" s="13" cm="1">
        <f t="array" ref="B62">SUMPRODUCT(($D$13:$D$46&gt;=A61)*($D$13:$D$46&lt;=A62)*$C$13:$C$46)</f>
        <v>3.1399999999999997</v>
      </c>
      <c r="C62" s="13">
        <v>5</v>
      </c>
      <c r="D62" s="13" cm="1">
        <f t="array" ref="D62">SUMPRODUCT(($K$13:$K$35&gt;=C61)*($K$13:$K$35&lt;=C62)*$J$13:$J$35)</f>
        <v>3</v>
      </c>
      <c r="E62" s="13">
        <v>5</v>
      </c>
      <c r="F62" s="13" cm="1">
        <f t="array" ref="F62">SUMPRODUCT(($R$13:$R$35&gt;=E61)*($R$13:$R$35&lt;=E62)*$Q$13:$Q$35)</f>
        <v>1.73</v>
      </c>
    </row>
    <row r="63" spans="1:6" x14ac:dyDescent="0.25">
      <c r="A63" s="13">
        <v>10</v>
      </c>
      <c r="B63" s="13" cm="1">
        <f t="array" ref="B63">SUMPRODUCT(($D$13:$D$46&gt;=A62)*($D$13:$D$46&lt;=A63)*$C$13:$C$46)</f>
        <v>2.83</v>
      </c>
      <c r="C63" s="13">
        <v>10</v>
      </c>
      <c r="D63" s="13" cm="1">
        <f t="array" ref="D63">SUMPRODUCT(($K$13:$K$35&gt;=C62)*($K$13:$K$35&lt;=C63)*$J$13:$J$35)</f>
        <v>1.83</v>
      </c>
      <c r="E63" s="13">
        <v>10</v>
      </c>
      <c r="F63" s="13" cm="1">
        <f t="array" ref="F63">SUMPRODUCT(($R$13:$R$35&gt;=E62)*($R$13:$R$35&lt;=E63)*$Q$13:$Q$35)</f>
        <v>1.66</v>
      </c>
    </row>
    <row r="64" spans="1:6" x14ac:dyDescent="0.25">
      <c r="A64" s="13">
        <v>15</v>
      </c>
      <c r="B64" s="13" cm="1">
        <f t="array" ref="B64">SUMPRODUCT(($D$13:$D$46&gt;=A63)*($D$13:$D$46&lt;=A64)*$C$13:$C$46)</f>
        <v>1</v>
      </c>
      <c r="C64" s="13">
        <v>15</v>
      </c>
      <c r="D64" s="13" cm="1">
        <f t="array" ref="D64">SUMPRODUCT(($K$13:$K$35&gt;=C63)*($K$13:$K$35&lt;=C64)*$J$13:$J$35)</f>
        <v>1.33</v>
      </c>
      <c r="E64" s="13">
        <v>15</v>
      </c>
      <c r="F64" s="13" cm="1">
        <f t="array" ref="F64">SUMPRODUCT(($R$13:$R$35&gt;=E63)*($R$13:$R$35&lt;=E64)*$Q$13:$Q$35)</f>
        <v>2</v>
      </c>
    </row>
    <row r="65" spans="1:6" x14ac:dyDescent="0.25">
      <c r="A65" s="13">
        <v>20</v>
      </c>
      <c r="B65" s="13" cm="1">
        <f t="array" ref="B65">SUMPRODUCT(($D$13:$D$46&gt;=A64)*($D$13:$D$46&lt;=A65)*$C$13:$C$46)</f>
        <v>3</v>
      </c>
      <c r="C65" s="13">
        <v>20</v>
      </c>
      <c r="D65" s="13" cm="1">
        <f t="array" ref="D65">SUMPRODUCT(($K$13:$K$35&gt;=C64)*($K$13:$K$35&lt;=C65)*$J$13:$J$35)</f>
        <v>2</v>
      </c>
      <c r="E65" s="13">
        <v>20</v>
      </c>
      <c r="F65" s="13" cm="1">
        <f t="array" ref="F65">SUMPRODUCT(($R$13:$R$35&gt;=E64)*($R$13:$R$35&lt;=E65)*$Q$13:$Q$35)</f>
        <v>2.76</v>
      </c>
    </row>
    <row r="66" spans="1:6" x14ac:dyDescent="0.25">
      <c r="A66" s="13">
        <v>25</v>
      </c>
      <c r="B66" s="13" cm="1">
        <f t="array" ref="B66">SUMPRODUCT(($D$13:$D$46&gt;=A65)*($D$13:$D$46&lt;=A66)*$C$13:$C$46)</f>
        <v>1.9</v>
      </c>
      <c r="C66" s="13">
        <v>25</v>
      </c>
      <c r="D66" s="13" cm="1">
        <f t="array" ref="D66">SUMPRODUCT(($K$13:$K$35&gt;=C65)*($K$13:$K$35&lt;=C66)*$J$13:$J$35)</f>
        <v>3</v>
      </c>
      <c r="E66" s="13">
        <v>25</v>
      </c>
      <c r="F66" s="13" cm="1">
        <f t="array" ref="F66">SUMPRODUCT(($R$13:$R$35&gt;=E65)*($R$13:$R$35&lt;=E66)*$Q$13:$Q$35)</f>
        <v>1</v>
      </c>
    </row>
    <row r="67" spans="1:6" x14ac:dyDescent="0.25">
      <c r="A67" s="13">
        <v>30</v>
      </c>
      <c r="B67" s="13" cm="1">
        <f t="array" ref="B67">SUMPRODUCT(($D$13:$D$46&gt;=A66)*($D$13:$D$46&lt;=A67)*$C$13:$C$46)</f>
        <v>3.1399999999999997</v>
      </c>
      <c r="C67" s="13">
        <v>30</v>
      </c>
      <c r="D67" s="13" cm="1">
        <f t="array" ref="D67">SUMPRODUCT(($K$13:$K$35&gt;=C66)*($K$13:$K$35&lt;=C67)*$J$13:$J$35)</f>
        <v>3.38</v>
      </c>
      <c r="E67" s="13">
        <v>30</v>
      </c>
      <c r="F67" s="13" cm="1">
        <f t="array" ref="F67">SUMPRODUCT(($R$13:$R$35&gt;=E66)*($R$13:$R$35&lt;=E67)*$Q$13:$Q$35)</f>
        <v>3.78</v>
      </c>
    </row>
    <row r="68" spans="1:6" x14ac:dyDescent="0.25">
      <c r="A68" s="13">
        <v>35</v>
      </c>
      <c r="B68" s="13" cm="1">
        <f t="array" ref="B68">SUMPRODUCT(($D$13:$D$46&gt;=A67)*($D$13:$D$46&lt;=A68)*$C$13:$C$46)</f>
        <v>2.4</v>
      </c>
      <c r="C68" s="13">
        <v>35</v>
      </c>
      <c r="D68" s="13" cm="1">
        <f t="array" ref="D68">SUMPRODUCT(($K$13:$K$35&gt;=C67)*($K$13:$K$35&lt;=C68)*$J$13:$J$35)</f>
        <v>1</v>
      </c>
      <c r="E68" s="13">
        <v>35</v>
      </c>
      <c r="F68" s="13" cm="1">
        <f t="array" ref="F68">SUMPRODUCT(($R$13:$R$35&gt;=E67)*($R$13:$R$35&lt;=E68)*$Q$13:$Q$35)</f>
        <v>0.38</v>
      </c>
    </row>
    <row r="69" spans="1:6" x14ac:dyDescent="0.25">
      <c r="A69" s="13">
        <v>40</v>
      </c>
      <c r="B69" s="13" cm="1">
        <f t="array" ref="B69">SUMPRODUCT(($D$13:$D$46&gt;=A68)*($D$13:$D$46&lt;=A69)*$C$13:$C$46)</f>
        <v>1.38</v>
      </c>
      <c r="C69" s="13">
        <v>40</v>
      </c>
      <c r="D69" s="13" cm="1">
        <f t="array" ref="D69">SUMPRODUCT(($K$13:$K$35&gt;=C68)*($K$13:$K$35&lt;=C69)*$J$13:$J$35)</f>
        <v>0</v>
      </c>
      <c r="E69" s="13">
        <v>40</v>
      </c>
      <c r="F69" s="13" cm="1">
        <f t="array" ref="F69">SUMPRODUCT(($R$13:$R$35&gt;=E68)*($R$13:$R$35&lt;=E69)*$Q$13:$Q$35)</f>
        <v>0</v>
      </c>
    </row>
    <row r="70" spans="1:6" x14ac:dyDescent="0.25">
      <c r="A70" s="13">
        <v>45</v>
      </c>
      <c r="B70" s="13" cm="1">
        <f t="array" ref="B70">SUMPRODUCT(($D$13:$D$46&gt;=A69)*($D$13:$D$46&lt;=A70)*$C$13:$C$46)</f>
        <v>0</v>
      </c>
      <c r="C70" s="13">
        <v>45</v>
      </c>
      <c r="D70" s="13" cm="1">
        <f t="array" ref="D70">SUMPRODUCT(($K$13:$K$35&gt;=C69)*($K$13:$K$35&lt;=C70)*$J$13:$J$35)</f>
        <v>0</v>
      </c>
      <c r="E70" s="13">
        <v>45</v>
      </c>
      <c r="F70" s="13" cm="1">
        <f t="array" ref="F70">SUMPRODUCT(($R$13:$R$35&gt;=E69)*($R$13:$R$35&lt;=E70)*$Q$13:$Q$35)</f>
        <v>0</v>
      </c>
    </row>
    <row r="71" spans="1:6" x14ac:dyDescent="0.25">
      <c r="A71" s="13">
        <v>50</v>
      </c>
      <c r="B71" s="13" cm="1">
        <f t="array" ref="B71">SUMPRODUCT(($D$13:$D$46&gt;=A70)*($D$13:$D$46&lt;=A71)*$C$13:$C$46)</f>
        <v>0</v>
      </c>
      <c r="C71" s="13">
        <v>50</v>
      </c>
      <c r="D71" s="13" cm="1">
        <f t="array" ref="D71">SUMPRODUCT(($K$13:$K$35&gt;=C70)*($K$13:$K$35&lt;=C71)*$J$13:$J$35)</f>
        <v>0</v>
      </c>
      <c r="E71" s="13">
        <v>50</v>
      </c>
      <c r="F71" s="13" cm="1">
        <f t="array" ref="F71">SUMPRODUCT(($R$13:$R$35&gt;=E70)*($R$13:$R$35&lt;=E71)*$Q$13:$Q$35)</f>
        <v>0</v>
      </c>
    </row>
  </sheetData>
  <mergeCells count="4">
    <mergeCell ref="A11:F11"/>
    <mergeCell ref="H11:M11"/>
    <mergeCell ref="O11:T11"/>
    <mergeCell ref="C1:D1"/>
  </mergeCells>
  <conditionalFormatting sqref="E14:E38">
    <cfRule type="cellIs" dxfId="50" priority="8" operator="greaterThanOrEqual">
      <formula>4</formula>
    </cfRule>
  </conditionalFormatting>
  <conditionalFormatting sqref="E13:F13">
    <cfRule type="cellIs" dxfId="49" priority="41" operator="greaterThan">
      <formula>4</formula>
    </cfRule>
  </conditionalFormatting>
  <conditionalFormatting sqref="F14:F38">
    <cfRule type="cellIs" dxfId="48" priority="27" operator="greaterThan">
      <formula>4</formula>
    </cfRule>
  </conditionalFormatting>
  <conditionalFormatting sqref="L15:L30">
    <cfRule type="cellIs" dxfId="47" priority="5" operator="greaterThanOrEqual">
      <formula>4</formula>
    </cfRule>
  </conditionalFormatting>
  <conditionalFormatting sqref="L13:M13">
    <cfRule type="cellIs" dxfId="46" priority="42" operator="greaterThan">
      <formula>4</formula>
    </cfRule>
  </conditionalFormatting>
  <conditionalFormatting sqref="M14:M30">
    <cfRule type="cellIs" dxfId="45" priority="23" operator="greaterThan">
      <formula>4</formula>
    </cfRule>
  </conditionalFormatting>
  <conditionalFormatting sqref="S14:S32">
    <cfRule type="cellIs" dxfId="44" priority="2" operator="greaterThanOrEqual">
      <formula>4</formula>
    </cfRule>
  </conditionalFormatting>
  <conditionalFormatting sqref="S13:T13">
    <cfRule type="cellIs" dxfId="43" priority="40" operator="greaterThan">
      <formula>4</formula>
    </cfRule>
  </conditionalFormatting>
  <conditionalFormatting sqref="T14:T32">
    <cfRule type="cellIs" dxfId="42" priority="19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" id="{B4089216-0975-49BC-B900-93E9B853F730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E14:E38 S14:S32</xm:sqref>
        </x14:conditionalFormatting>
        <x14:conditionalFormatting xmlns:xm="http://schemas.microsoft.com/office/excel/2006/main">
          <x14:cfRule type="expression" priority="9" id="{6EA0C121-99E3-4451-B68A-12CD4C9BA6F1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E14:E38 S14:S32</xm:sqref>
        </x14:conditionalFormatting>
        <x14:conditionalFormatting xmlns:xm="http://schemas.microsoft.com/office/excel/2006/main">
          <x14:cfRule type="expression" priority="4" id="{F0D718ED-BAEE-4F44-8A9D-F058BACE6535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6" id="{0D29C64E-9680-4B63-8E53-3D717695B1D9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L14:L30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D9A85-DC99-4D80-9544-6541D9F517F6}">
  <sheetPr codeName="Sheet13"/>
  <dimension ref="A1:W53"/>
  <sheetViews>
    <sheetView topLeftCell="A23" workbookViewId="0">
      <selection activeCell="P5" sqref="P5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43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20.32</v>
      </c>
      <c r="M2" s="17">
        <f>SUM(M20:M28)</f>
        <v>20.32</v>
      </c>
      <c r="R2" s="4" t="s">
        <v>12</v>
      </c>
      <c r="S2" s="8">
        <f>SUM(S25:S28)</f>
        <v>6.6000000000000014</v>
      </c>
      <c r="T2" s="8">
        <f>SUM(T25:T28)</f>
        <v>5.5832000000000015</v>
      </c>
    </row>
    <row r="3" spans="1:20" x14ac:dyDescent="0.25">
      <c r="K3" s="4" t="s">
        <v>13</v>
      </c>
      <c r="L3" s="18">
        <f>AVERAGE(L24:L26)</f>
        <v>2.5066666666666664</v>
      </c>
      <c r="M3" s="65">
        <f>AVERAGE(M20:M22)</f>
        <v>0.7466666666666667</v>
      </c>
      <c r="R3" s="4" t="s">
        <v>13</v>
      </c>
      <c r="S3" s="9">
        <f>AVERAGE(S25:S28)</f>
        <v>1.6500000000000004</v>
      </c>
      <c r="T3" s="9">
        <f>AVERAGE(T23:T28)</f>
        <v>1.9238666666666671</v>
      </c>
    </row>
    <row r="4" spans="1:20" x14ac:dyDescent="0.25">
      <c r="A4" s="4" t="s">
        <v>4</v>
      </c>
      <c r="B4" s="128">
        <f>100*COUNTIF($B$21:$B$43,A4)/COUNTA($B$21:$B$43)</f>
        <v>56.25</v>
      </c>
      <c r="H4" s="4" t="s">
        <v>4</v>
      </c>
      <c r="I4" s="128">
        <f>100*COUNTIF($I$13:$I$35,H4)/COUNTA($I$13:$I$35)</f>
        <v>100</v>
      </c>
      <c r="K4" s="4" t="s">
        <v>1</v>
      </c>
      <c r="L4" s="21">
        <f>3600/L3</f>
        <v>1436.1702127659576</v>
      </c>
      <c r="M4" s="66">
        <f>3600/M3</f>
        <v>4821.4285714285716</v>
      </c>
      <c r="O4" s="4" t="s">
        <v>4</v>
      </c>
      <c r="P4" s="128">
        <f>100*COUNTIF($P$13:$P$38,O4)/COUNTA($P$13:$P$38)</f>
        <v>50</v>
      </c>
      <c r="R4" s="4" t="s">
        <v>1</v>
      </c>
      <c r="S4" s="10">
        <f>3600/S3</f>
        <v>2181.8181818181815</v>
      </c>
      <c r="T4" s="10">
        <f>3600/T3</f>
        <v>1871.2315475777943</v>
      </c>
    </row>
    <row r="5" spans="1:20" x14ac:dyDescent="0.25">
      <c r="A5" s="4" t="s">
        <v>6</v>
      </c>
      <c r="B5" s="128">
        <f t="shared" ref="B5:B9" si="0">100*COUNTIF($B$21:$B$43,A5)/COUNTA($B$21:$B$43)</f>
        <v>25</v>
      </c>
      <c r="H5" s="4" t="s">
        <v>6</v>
      </c>
      <c r="I5" s="128">
        <f t="shared" ref="I5:I9" si="1">100*COUNTIF($I$13:$I$35,H5)/COUNTA($I$13:$I$35)</f>
        <v>0</v>
      </c>
      <c r="O5" s="4" t="s">
        <v>6</v>
      </c>
      <c r="P5" s="128">
        <f t="shared" ref="P5:P7" si="2">100*COUNTIF($P$13:$P$38,O5)/COUNTA($P$13:$P$38)</f>
        <v>31.25</v>
      </c>
    </row>
    <row r="6" spans="1:20" x14ac:dyDescent="0.25">
      <c r="A6" s="4" t="s">
        <v>5</v>
      </c>
      <c r="B6" s="128">
        <f t="shared" si="0"/>
        <v>12.5</v>
      </c>
      <c r="E6" s="27" t="s">
        <v>22</v>
      </c>
      <c r="F6" s="27" t="s">
        <v>21</v>
      </c>
      <c r="H6" s="4" t="s">
        <v>5</v>
      </c>
      <c r="I6" s="128">
        <f t="shared" si="1"/>
        <v>0</v>
      </c>
      <c r="L6" s="27" t="s">
        <v>22</v>
      </c>
      <c r="M6" s="27" t="s">
        <v>21</v>
      </c>
      <c r="O6" s="4" t="s">
        <v>5</v>
      </c>
      <c r="P6" s="128">
        <f t="shared" si="2"/>
        <v>18.75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19.12</v>
      </c>
      <c r="F7" s="23">
        <f>SUM(F14:F30)</f>
        <v>24.308399999999999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32.72</v>
      </c>
      <c r="M7" s="23">
        <f>SUM(M14:M37)</f>
        <v>41.839999999999996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23.200000000000003</v>
      </c>
      <c r="T7" s="23">
        <f>SUM(T13:T23)</f>
        <v>17.524000000000001</v>
      </c>
    </row>
    <row r="8" spans="1:20" ht="15.75" thickBot="1" x14ac:dyDescent="0.3">
      <c r="A8" s="4" t="s">
        <v>7</v>
      </c>
      <c r="B8" s="128">
        <f t="shared" si="0"/>
        <v>6.25</v>
      </c>
      <c r="D8" s="28" t="s">
        <v>13</v>
      </c>
      <c r="E8" s="26">
        <f>AVERAGEIF(E14:E19,"&lt;&gt;0")</f>
        <v>1.6600000000000001</v>
      </c>
      <c r="F8" s="26">
        <f>AVERAGEIF(F22:F36,"&lt;&gt;0")</f>
        <v>1.9516727272727266</v>
      </c>
      <c r="H8" s="4" t="s">
        <v>7</v>
      </c>
      <c r="I8" s="128">
        <f t="shared" si="1"/>
        <v>0</v>
      </c>
      <c r="K8" s="28" t="s">
        <v>13</v>
      </c>
      <c r="L8" s="26">
        <f>AVERAGEIF(L14:L18,"&lt;&gt;0")</f>
        <v>1.5679999999999998</v>
      </c>
      <c r="M8" s="26">
        <f>AVERAGEIF(M20:M27,"&lt;&gt;0")</f>
        <v>3.3866666666666667</v>
      </c>
      <c r="O8" s="4" t="s">
        <v>7</v>
      </c>
      <c r="P8" s="128">
        <f t="shared" ref="P8:P9" si="3">100*COUNTIF($P$13:$P$39,O8)/COUNTA($P$13:$P$39)</f>
        <v>0</v>
      </c>
      <c r="R8" s="28" t="s">
        <v>13</v>
      </c>
      <c r="S8" s="26">
        <f>AVERAGEIF(S15:S21,"&lt;&gt;0")</f>
        <v>2.1085714285714285</v>
      </c>
      <c r="T8" s="26">
        <f>AVERAGEIF(T23:T28,"&lt;&gt;0")</f>
        <v>1.9238666666666671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2168.6746987951806</v>
      </c>
      <c r="F9" s="29">
        <f>3600/F8</f>
        <v>1844.5715563339613</v>
      </c>
      <c r="H9" s="4" t="s">
        <v>23</v>
      </c>
      <c r="I9" s="128">
        <f t="shared" si="1"/>
        <v>0</v>
      </c>
      <c r="K9" s="28" t="s">
        <v>1</v>
      </c>
      <c r="L9" s="25">
        <f>3600/L8</f>
        <v>2295.9183673469388</v>
      </c>
      <c r="M9" s="29">
        <f>3600/M8</f>
        <v>1062.992125984252</v>
      </c>
      <c r="O9" s="4" t="s">
        <v>23</v>
      </c>
      <c r="P9" s="128">
        <f t="shared" si="3"/>
        <v>0</v>
      </c>
      <c r="R9" s="28" t="s">
        <v>1</v>
      </c>
      <c r="S9" s="25">
        <f>3600/S8</f>
        <v>1707.3170731707316</v>
      </c>
      <c r="T9" s="29">
        <f>3600/T8</f>
        <v>1871.2315475777943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55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55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6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09">
        <v>6</v>
      </c>
      <c r="B13" s="109" t="s">
        <v>4</v>
      </c>
      <c r="C13" s="116">
        <f>VLOOKUP(B13,Log!$B$2:$C$8,2,)</f>
        <v>1</v>
      </c>
      <c r="D13" s="112">
        <v>6.6</v>
      </c>
      <c r="E13" s="114">
        <v>0</v>
      </c>
      <c r="F13" s="114">
        <v>0</v>
      </c>
      <c r="H13" s="109">
        <v>2</v>
      </c>
      <c r="I13" s="110" t="s">
        <v>4</v>
      </c>
      <c r="J13" s="116">
        <f>VLOOKUP(I13,Log!$B$2:$C$8,2,)</f>
        <v>1</v>
      </c>
      <c r="K13" s="113">
        <v>1.28</v>
      </c>
      <c r="L13" s="114">
        <v>0</v>
      </c>
      <c r="M13" s="114">
        <v>0</v>
      </c>
      <c r="N13" s="13"/>
      <c r="O13" s="109">
        <v>7</v>
      </c>
      <c r="P13" s="110" t="s">
        <v>5</v>
      </c>
      <c r="Q13" s="116">
        <f>VLOOKUP(P13,Log!$B$2:$C$8,2,)</f>
        <v>0.38</v>
      </c>
      <c r="R13" s="113">
        <v>3.12</v>
      </c>
      <c r="S13" s="114">
        <v>0</v>
      </c>
      <c r="T13" s="114">
        <v>0</v>
      </c>
    </row>
    <row r="14" spans="1:20" ht="15.75" thickBot="1" x14ac:dyDescent="0.3">
      <c r="A14" s="58">
        <v>30</v>
      </c>
      <c r="B14" s="59" t="s">
        <v>5</v>
      </c>
      <c r="C14" s="68">
        <f>VLOOKUP(B14,Log!$B$2:$C$8,2,)</f>
        <v>0.38</v>
      </c>
      <c r="D14" s="5">
        <v>6.68</v>
      </c>
      <c r="E14" s="32">
        <f>IF(OR(AND(B14="Motorbike",D14-D13&lt;Log!$C$13),AND(B14&lt;&gt;"Motorbike",D14-D13&lt;Log!$C$12)),0,D14-D13)</f>
        <v>0</v>
      </c>
      <c r="F14" s="32">
        <f>IF(E15&lt;&gt;0,C14*E14,IF(E16=0,(C14+C15+C16)*E14,(C14+C15)*E14))</f>
        <v>0</v>
      </c>
      <c r="H14" s="71">
        <v>3</v>
      </c>
      <c r="I14" s="60" t="s">
        <v>4</v>
      </c>
      <c r="J14" s="68">
        <f>VLOOKUP(I14,Log!$B$2:$C$8,2,)</f>
        <v>1</v>
      </c>
      <c r="K14" s="4">
        <v>3</v>
      </c>
      <c r="L14" s="32">
        <f>IF(OR(AND(I14="Motorbike",K14-K13&lt;Log!$C$13),AND(I14&lt;&gt;"Motorbike",K14-K13&lt;Log!$C$12)),0,K14-K13)</f>
        <v>1.72</v>
      </c>
      <c r="M14" s="32">
        <f>IF(L15&lt;&gt;0,J14*L14,IF(L16=0,(J14+J15+J16)*L14,(J14+J15)*L14))</f>
        <v>1.72</v>
      </c>
      <c r="N14" s="13"/>
      <c r="O14" s="111">
        <v>13</v>
      </c>
      <c r="P14" s="110" t="s">
        <v>5</v>
      </c>
      <c r="Q14" s="116">
        <f>VLOOKUP(P14,Log!$B$2:$C$8,2,)</f>
        <v>0.38</v>
      </c>
      <c r="R14" s="113">
        <v>3.12</v>
      </c>
      <c r="S14" s="114">
        <f>IF(OR(AND(P14="Motorbike",R14-R13&lt;Log!$C$13),AND(P14&lt;&gt;"Motorbike",R14-R13&lt;Log!$C$12)),0,R14-R13)</f>
        <v>0</v>
      </c>
      <c r="T14" s="114">
        <f>IF(S15&lt;&gt;0,Q14*S14,IF(S16=0,(Q14+Q15+Q16)*S14,(Q14+Q15)*S14))</f>
        <v>0</v>
      </c>
    </row>
    <row r="15" spans="1:20" x14ac:dyDescent="0.25">
      <c r="A15" s="58">
        <v>18</v>
      </c>
      <c r="B15" s="57" t="s">
        <v>4</v>
      </c>
      <c r="C15" s="68">
        <f>VLOOKUP(B15,Log!$B$2:$C$8,2,)</f>
        <v>1</v>
      </c>
      <c r="D15" s="5">
        <v>8.8000000000000007</v>
      </c>
      <c r="E15" s="32">
        <f>IF(OR(AND(B15="Motorbike",D15-D14&lt;Log!$C$13),AND(B15&lt;&gt;"Motorbike",D15-D14&lt;Log!$C$12)),0,D15-D14)</f>
        <v>2.120000000000001</v>
      </c>
      <c r="F15" s="32">
        <f t="shared" ref="F15:F36" si="4">IF(E16&lt;&gt;0,C15*E15,IF(E17=0,(C15+C16+C17)*E15,(C15+C16)*E15))</f>
        <v>2.9256000000000011</v>
      </c>
      <c r="H15" s="71">
        <v>14</v>
      </c>
      <c r="I15" s="75" t="s">
        <v>4</v>
      </c>
      <c r="J15" s="68">
        <f>VLOOKUP(I15,Log!$B$2:$C$8,2,)</f>
        <v>1</v>
      </c>
      <c r="K15" s="4">
        <v>4.72</v>
      </c>
      <c r="L15" s="32">
        <f>IF(OR(AND(I15="Motorbike",K15-K14&lt;Log!$C$13),AND(I15&lt;&gt;"Motorbike",K15-K14&lt;Log!$C$12)),0,K15-K14)</f>
        <v>1.7199999999999998</v>
      </c>
      <c r="M15" s="32">
        <f t="shared" ref="M15:M27" si="5">IF(L16&lt;&gt;0,J15*L15,IF(L17=0,(J15+J16+J17)*L15,(J15+J16)*L15))</f>
        <v>1.7199999999999998</v>
      </c>
      <c r="N15" s="13"/>
      <c r="O15" s="71">
        <v>4</v>
      </c>
      <c r="P15" s="54" t="s">
        <v>6</v>
      </c>
      <c r="Q15" s="68">
        <f>VLOOKUP(P15,Log!$B$2:$C$8,2,)</f>
        <v>0.45</v>
      </c>
      <c r="R15" s="4">
        <v>4.92</v>
      </c>
      <c r="S15" s="32">
        <f>IF(OR(AND(P15="Motorbike",R15-R14&lt;Log!$C$13),AND(P15&lt;&gt;"Motorbike",R15-R14&lt;Log!$C$12)),0,R15-R14)</f>
        <v>1.7999999999999998</v>
      </c>
      <c r="T15" s="32">
        <f t="shared" ref="T15:T28" si="6">IF(S16&lt;&gt;0,Q15*S15,IF(S17=0,(Q15+Q16+Q17)*S15,(Q15+Q16)*S15))</f>
        <v>0.80999999999999994</v>
      </c>
    </row>
    <row r="16" spans="1:20" ht="15.75" thickBot="1" x14ac:dyDescent="0.3">
      <c r="A16" s="58">
        <v>49</v>
      </c>
      <c r="B16" s="59" t="s">
        <v>5</v>
      </c>
      <c r="C16" s="68">
        <f>VLOOKUP(B16,Log!$B$2:$C$8,2,)</f>
        <v>0.38</v>
      </c>
      <c r="D16" s="5">
        <v>8.8000000000000007</v>
      </c>
      <c r="E16" s="32">
        <f>IF(OR(AND(OR(B16="Motorbike",B16="CNG",B16="Bicycle",B16="NMV"),D16-D15&lt;Log!$C$13),AND(NOT(OR(B16="Motorbike",B16="CNG",B16="Bicycle",B16="NMV")),D16-D15&lt;Log!$C$12)),0,IF(E15&lt;&gt;0,D16-D15,IF(E14=0,D16-D13,D16-D14)))</f>
        <v>0</v>
      </c>
      <c r="F16" s="32">
        <f t="shared" si="4"/>
        <v>0</v>
      </c>
      <c r="H16" s="71">
        <v>10</v>
      </c>
      <c r="I16" s="60" t="s">
        <v>4</v>
      </c>
      <c r="J16" s="68">
        <f>VLOOKUP(I16,Log!$B$2:$C$8,2,)</f>
        <v>1</v>
      </c>
      <c r="K16" s="4">
        <v>6.68</v>
      </c>
      <c r="L16" s="32">
        <f>IF(OR(AND(I16="Motorbike",K16-K15&lt;Log!$C$13),AND(I16&lt;&gt;"Motorbike",K16-K15&lt;Log!$C$12)),0,IF(L15&lt;&gt;0,K16-K15,IF(L14=0,K16-K13,K16-K14)))</f>
        <v>1.96</v>
      </c>
      <c r="M16" s="32">
        <f t="shared" si="5"/>
        <v>1.96</v>
      </c>
      <c r="N16" s="13"/>
      <c r="O16" s="58">
        <v>29</v>
      </c>
      <c r="P16" s="54" t="s">
        <v>6</v>
      </c>
      <c r="Q16" s="68">
        <f>VLOOKUP(P16,Log!$B$2:$C$8,2,)</f>
        <v>0.45</v>
      </c>
      <c r="R16" s="4">
        <v>6.8</v>
      </c>
      <c r="S16" s="32">
        <f>IF(OR(AND(P16="Motorbike",R16-R15&lt;Log!$C$13),AND(P16&lt;&gt;"Motorbike",R16-R15&lt;Log!$C$12)),0,IF(S15&lt;&gt;0,R16-R15,IF(S14=0,R16-R13,R16-R14)))</f>
        <v>1.88</v>
      </c>
      <c r="T16" s="32">
        <f t="shared" si="6"/>
        <v>0.84599999999999997</v>
      </c>
    </row>
    <row r="17" spans="1:23" x14ac:dyDescent="0.25">
      <c r="A17" s="58">
        <v>55</v>
      </c>
      <c r="B17" s="70" t="s">
        <v>4</v>
      </c>
      <c r="C17" s="68">
        <f>VLOOKUP(B17,Log!$B$2:$C$8,2,)</f>
        <v>1</v>
      </c>
      <c r="D17" s="5">
        <v>10.52</v>
      </c>
      <c r="E17" s="32">
        <f>IF(OR(AND(OR(B17="Motorbike",B17="CNG",B17="Bicycle",B17="NMV"),D17-D16&lt;Log!$C$13),AND(NOT(OR(B17="Motorbike",B17="CNG",B17="Bicycle",B17="NMV")),D17-D16&lt;Log!$C$12)),0,IF(E16&lt;&gt;0,D17-D16,IF(E15=0,D17-D14,D17-D15)))</f>
        <v>1.7199999999999989</v>
      </c>
      <c r="F17" s="32">
        <f t="shared" si="4"/>
        <v>1.7199999999999989</v>
      </c>
      <c r="H17" s="71">
        <v>11</v>
      </c>
      <c r="I17" s="54" t="s">
        <v>4</v>
      </c>
      <c r="J17" s="68">
        <f>VLOOKUP(I17,Log!$B$2:$C$8,2,)</f>
        <v>1</v>
      </c>
      <c r="K17" s="4">
        <v>7.92</v>
      </c>
      <c r="L17" s="32">
        <f>IF(OR(AND(I17="Motorbike",K17-K16&lt;Log!$C$13),AND(I17&lt;&gt;"Motorbike",K17-K16&lt;Log!$C$12)),0,IF(L16&lt;&gt;0,K17-K16,IF(L15=0,K17-K14,K17-K15)))</f>
        <v>1.2400000000000002</v>
      </c>
      <c r="M17" s="32">
        <f t="shared" si="5"/>
        <v>1.2400000000000002</v>
      </c>
      <c r="N17" s="13"/>
      <c r="O17" s="58">
        <v>8</v>
      </c>
      <c r="P17" s="54" t="s">
        <v>4</v>
      </c>
      <c r="Q17" s="68">
        <f>VLOOKUP(P17,Log!$B$2:$C$8,2,)</f>
        <v>1</v>
      </c>
      <c r="R17" s="4">
        <v>8.2799999999999994</v>
      </c>
      <c r="S17" s="32">
        <f>IF(OR(AND(P17="Motorbike",R17-R16&lt;Log!$C$13),AND(P17&lt;&gt;"Motorbike",R17-R16&lt;Log!$C$12)),0,IF(S16&lt;&gt;0,R17-R16,IF(S15=0,R17-R14,R17-R15)))</f>
        <v>1.4799999999999995</v>
      </c>
      <c r="T17" s="32">
        <f t="shared" si="6"/>
        <v>1.4799999999999995</v>
      </c>
    </row>
    <row r="18" spans="1:23" ht="15.75" thickBot="1" x14ac:dyDescent="0.3">
      <c r="A18" s="58">
        <v>41</v>
      </c>
      <c r="B18" s="54" t="s">
        <v>4</v>
      </c>
      <c r="C18" s="68">
        <f>VLOOKUP(B18,Log!$B$2:$C$8,2,)</f>
        <v>1</v>
      </c>
      <c r="D18" s="5">
        <v>11.8</v>
      </c>
      <c r="E18" s="32">
        <f>IF(OR(AND(OR(B18="Motorbike",B18="CNG",B18="Bicycle",B18="NMV"),D18-D17&lt;Log!$C$13),AND(NOT(OR(B18="Motorbike",B18="CNG",B18="Bicycle",B18="NMV")),D18-D17&lt;Log!$C$12)),0,IF(E17&lt;&gt;0,D18-D17,IF(E16=0,D18-D15,D18-D16)))</f>
        <v>1.2800000000000011</v>
      </c>
      <c r="F18" s="32">
        <f t="shared" si="4"/>
        <v>1.2800000000000011</v>
      </c>
      <c r="H18" s="64">
        <v>18</v>
      </c>
      <c r="I18" s="54" t="s">
        <v>4</v>
      </c>
      <c r="J18" s="68">
        <f>VLOOKUP(I18,Log!$B$2:$C$8,2,)</f>
        <v>1</v>
      </c>
      <c r="K18" s="4">
        <v>9.1199999999999992</v>
      </c>
      <c r="L18" s="32">
        <f>IF(OR(AND(I18="Motorbike",K18-K17&lt;Log!$C$13),AND(I18&lt;&gt;"Motorbike",K18-K17&lt;Log!$C$12)),0,IF(L17&lt;&gt;0,K18-K17,IF(L16=0,K18-K15,K18-K16)))</f>
        <v>1.1999999999999993</v>
      </c>
      <c r="M18" s="32">
        <f t="shared" si="5"/>
        <v>1.1999999999999993</v>
      </c>
      <c r="N18" s="13"/>
      <c r="O18" s="58">
        <v>47</v>
      </c>
      <c r="P18" s="54" t="s">
        <v>6</v>
      </c>
      <c r="Q18" s="68">
        <f>VLOOKUP(P18,Log!$B$2:$C$8,2,)</f>
        <v>0.45</v>
      </c>
      <c r="R18" s="4">
        <v>10.199999999999999</v>
      </c>
      <c r="S18" s="32">
        <f>IF(OR(AND(P18="Motorbike",R18-R17&lt;Log!$C$13),AND(P18&lt;&gt;"Motorbike",R18-R17&lt;Log!$C$12)),0,IF(S17&lt;&gt;0,R18-R17,IF(S16=0,R18-R15,R18-R16)))</f>
        <v>1.92</v>
      </c>
      <c r="T18" s="32">
        <f t="shared" si="6"/>
        <v>0.86399999999999999</v>
      </c>
    </row>
    <row r="19" spans="1:23" ht="15.75" thickBot="1" x14ac:dyDescent="0.3">
      <c r="A19" s="59">
        <v>40</v>
      </c>
      <c r="B19" s="69" t="s">
        <v>4</v>
      </c>
      <c r="C19" s="68">
        <f>VLOOKUP(B19,Log!$B$2:$C$8,2,)</f>
        <v>1</v>
      </c>
      <c r="D19" s="5">
        <v>13.32</v>
      </c>
      <c r="E19" s="32">
        <f>IF(OR(AND(OR(B19="Motorbike",B19="CNG",B19="Bicycle",B19="NMV"),D19-D18&lt;Log!$C$13),AND(NOT(OR(B19="Motorbike",B19="CNG",B19="Bicycle",B19="NMV")),D19-D18&lt;Log!$C$12)),0,IF(E18&lt;&gt;0,D19-D18,IF(E17=0,D19-D16,D19-D17)))</f>
        <v>1.5199999999999996</v>
      </c>
      <c r="F19" s="32">
        <f t="shared" si="4"/>
        <v>1.5199999999999996</v>
      </c>
      <c r="H19" s="63">
        <v>45</v>
      </c>
      <c r="I19" s="69" t="s">
        <v>4</v>
      </c>
      <c r="J19" s="68">
        <f>VLOOKUP(I19,Log!$B$2:$C$8,2,)</f>
        <v>1</v>
      </c>
      <c r="K19" s="4">
        <v>13.68</v>
      </c>
      <c r="L19" s="32">
        <f>IF(OR(AND(I19="Motorbike",K19-K18&lt;Log!$C$13),AND(I19&lt;&gt;"Motorbike",K19-K18&lt;Log!$C$12)),0,IF(L18&lt;&gt;0,K19-K18,IF(L17=0,K19-K16,K19-K17)))</f>
        <v>4.5600000000000005</v>
      </c>
      <c r="M19" s="32">
        <f t="shared" si="5"/>
        <v>13.680000000000001</v>
      </c>
      <c r="N19" s="13"/>
      <c r="O19" s="58">
        <v>54</v>
      </c>
      <c r="P19" s="54" t="s">
        <v>6</v>
      </c>
      <c r="Q19" s="68">
        <f>VLOOKUP(P19,Log!$B$2:$C$8,2,)</f>
        <v>0.45</v>
      </c>
      <c r="R19" s="4">
        <v>12.12</v>
      </c>
      <c r="S19" s="32">
        <f>IF(OR(AND(P19="Motorbike",R19-R18&lt;Log!$C$13),AND(P19&lt;&gt;"Motorbike",R19-R18&lt;Log!$C$12)),0,IF(S18&lt;&gt;0,R19-R18,IF(S17=0,R19-R16,R19-R17)))</f>
        <v>1.92</v>
      </c>
      <c r="T19" s="32">
        <f t="shared" si="6"/>
        <v>0.86399999999999999</v>
      </c>
    </row>
    <row r="20" spans="1:23" ht="15.75" thickBot="1" x14ac:dyDescent="0.3">
      <c r="A20" s="96">
        <v>88</v>
      </c>
      <c r="B20" s="57" t="s">
        <v>4</v>
      </c>
      <c r="C20" s="68">
        <f>VLOOKUP(B20,Log!$B$2:$C$8,2,)</f>
        <v>1</v>
      </c>
      <c r="D20" s="5">
        <v>17.48</v>
      </c>
      <c r="E20" s="32">
        <f>IF(OR(AND(OR(B20="Motorbike",B20="CNG",B20="Bicycle",B20="NMV"),D20-D19&lt;Log!$C$13),AND(NOT(OR(B20="Motorbike",B20="CNG",B20="Bicycle",B20="NMV")),D20-D19&lt;Log!$C$12)),0,IF(E19&lt;&gt;0,D20-D19,IF(E18=0,D20-D17,D20-D18)))</f>
        <v>4.16</v>
      </c>
      <c r="F20" s="32">
        <f t="shared" si="4"/>
        <v>5.5328000000000008</v>
      </c>
      <c r="H20" s="71">
        <v>19</v>
      </c>
      <c r="I20" s="85" t="s">
        <v>4</v>
      </c>
      <c r="J20" s="68">
        <f>VLOOKUP(I20,Log!$B$2:$C$8,2,)</f>
        <v>1</v>
      </c>
      <c r="K20" s="4">
        <v>14.48</v>
      </c>
      <c r="L20" s="32">
        <f>IF(OR(AND(I20="Motorbike",K20-K19&lt;Log!$C$13),AND(I20&lt;&gt;"Motorbike",K20-K19&lt;Log!$C$12)),0,IF(L19&lt;&gt;0,K20-K19,IF(L18=0,K20-K17,K20-K18)))</f>
        <v>0</v>
      </c>
      <c r="M20" s="32">
        <f t="shared" si="5"/>
        <v>0</v>
      </c>
      <c r="N20" s="13"/>
      <c r="O20" s="58">
        <v>70</v>
      </c>
      <c r="P20" s="54" t="s">
        <v>6</v>
      </c>
      <c r="Q20" s="68">
        <f>VLOOKUP(P20,Log!$B$2:$C$8,2,)</f>
        <v>0.45</v>
      </c>
      <c r="R20" s="4">
        <v>14.92</v>
      </c>
      <c r="S20" s="32">
        <f>IF(OR(AND(P20="Motorbike",R20-R19&lt;Log!$C$13),AND(P20&lt;&gt;"Motorbike",R20-R19&lt;Log!$C$12)),0,IF(S19&lt;&gt;0,R20-R19,IF(S18=0,R20-R17,R20-R18)))</f>
        <v>2.8000000000000007</v>
      </c>
      <c r="T20" s="32">
        <f t="shared" si="6"/>
        <v>1.2600000000000005</v>
      </c>
    </row>
    <row r="21" spans="1:23" ht="15.75" thickBot="1" x14ac:dyDescent="0.3">
      <c r="A21" s="57">
        <v>93</v>
      </c>
      <c r="B21" s="59" t="s">
        <v>7</v>
      </c>
      <c r="C21" s="68">
        <f>VLOOKUP(B21,Log!$B$2:$C$8,2,)</f>
        <v>0.33</v>
      </c>
      <c r="D21" s="5">
        <v>17.600000000000001</v>
      </c>
      <c r="E21" s="32">
        <f>IF(OR(AND(OR(B21="Motorbike",B21="CNG",B21="Bicycle",B21="NMV"),D21-D20&lt;Log!$C$13),AND(NOT(OR(B21="Motorbike",B21="CNG",B21="Bicycle",B21="NMV")),D21-D20&lt;Log!$C$12)),0,IF(E20&lt;&gt;0,D21-D20,IF(E19=0,D21-D18,D21-D19)))</f>
        <v>0</v>
      </c>
      <c r="F21" s="32">
        <f t="shared" si="4"/>
        <v>0</v>
      </c>
      <c r="H21" s="71">
        <v>79</v>
      </c>
      <c r="I21" s="86" t="s">
        <v>4</v>
      </c>
      <c r="J21" s="68">
        <f>VLOOKUP(I21,Log!$B$2:$C$8,2,)</f>
        <v>1</v>
      </c>
      <c r="K21" s="4">
        <v>14.72</v>
      </c>
      <c r="L21" s="32">
        <f>IF(OR(AND(I21="Motorbike",K21-K20&lt;Log!$C$13),AND(I21&lt;&gt;"Motorbike",K21-K20&lt;Log!$C$12)),0,IF(L20&lt;&gt;0,K21-K20,IF(L19=0,K21-K18,K21-K19)))</f>
        <v>0</v>
      </c>
      <c r="M21" s="32">
        <f t="shared" si="5"/>
        <v>0</v>
      </c>
      <c r="N21" s="13"/>
      <c r="O21" s="59">
        <v>86</v>
      </c>
      <c r="P21" s="54" t="s">
        <v>4</v>
      </c>
      <c r="Q21" s="68">
        <f>VLOOKUP(P21,Log!$B$2:$C$8,2,)</f>
        <v>1</v>
      </c>
      <c r="R21" s="4">
        <v>17.88</v>
      </c>
      <c r="S21" s="32">
        <f>IF(OR(AND(P21="Motorbike",R21-R20&lt;Log!$C$13),AND(P21&lt;&gt;"Motorbike",R21-R20&lt;Log!$C$12)),0,IF(S20&lt;&gt;0,R21-R20,IF(S19=0,R21-R18,R21-R19)))</f>
        <v>2.9599999999999991</v>
      </c>
      <c r="T21" s="32">
        <f t="shared" si="6"/>
        <v>2.9599999999999991</v>
      </c>
    </row>
    <row r="22" spans="1:23" ht="15.75" thickBot="1" x14ac:dyDescent="0.3">
      <c r="A22" s="58">
        <v>83</v>
      </c>
      <c r="B22" s="57" t="s">
        <v>6</v>
      </c>
      <c r="C22" s="68">
        <f>VLOOKUP(B22,Log!$B$2:$C$8,2,)</f>
        <v>0.45</v>
      </c>
      <c r="D22" s="5">
        <v>18</v>
      </c>
      <c r="E22" s="32">
        <f>D22-D21</f>
        <v>0.39999999999999858</v>
      </c>
      <c r="F22" s="104">
        <f t="shared" si="4"/>
        <v>0.33199999999999885</v>
      </c>
      <c r="H22" s="64">
        <v>90</v>
      </c>
      <c r="I22" s="70" t="s">
        <v>4</v>
      </c>
      <c r="J22" s="68">
        <f>VLOOKUP(I22,Log!$B$2:$C$8,2,)</f>
        <v>1</v>
      </c>
      <c r="K22" s="4">
        <v>15.92</v>
      </c>
      <c r="L22" s="32">
        <f>IF(OR(AND(I22="Motorbike",K22-K21&lt;Log!$C$13),AND(I22&lt;&gt;"Motorbike",K22-K21&lt;Log!$C$12)),0,IF(L21&lt;&gt;0,K22-K21,IF(L20=0,K22-K19,K22-K20)))</f>
        <v>2.2400000000000002</v>
      </c>
      <c r="M22" s="32">
        <f t="shared" si="5"/>
        <v>2.2400000000000002</v>
      </c>
      <c r="N22" s="13"/>
      <c r="O22" s="76">
        <v>92</v>
      </c>
      <c r="P22" s="4" t="s">
        <v>4</v>
      </c>
      <c r="Q22" s="68">
        <f>VLOOKUP(P22,Log!$B$2:$C$8,2,)</f>
        <v>1</v>
      </c>
      <c r="R22" s="4">
        <v>22.72</v>
      </c>
      <c r="S22" s="32">
        <f>IF(OR(AND(P22="Motorbike",R22-R21&lt;Log!$C$13),AND(P22&lt;&gt;"Motorbike",R22-R21&lt;Log!$C$12)),0,IF(S21&lt;&gt;0,R22-R21,IF(S20=0,R22-R19,R22-R20)))</f>
        <v>4.84</v>
      </c>
      <c r="T22" s="32">
        <f t="shared" si="6"/>
        <v>4.84</v>
      </c>
    </row>
    <row r="23" spans="1:23" ht="15.75" thickBot="1" x14ac:dyDescent="0.3">
      <c r="A23" s="58">
        <v>95</v>
      </c>
      <c r="B23" s="59" t="s">
        <v>5</v>
      </c>
      <c r="C23" s="68">
        <f>VLOOKUP(B23,Log!$B$2:$C$8,2,)</f>
        <v>0.38</v>
      </c>
      <c r="D23" s="5">
        <v>18.399999999999999</v>
      </c>
      <c r="E23" s="32">
        <f>IF(OR(AND(OR(B23="Motorbike",B23="CNG",B23="Bicycle",B23="NMV"),D23-D22&lt;Log!$C$13),AND(NOT(OR(B23="Motorbike",B23="CNG",B23="Bicycle",B23="NMV")),D23-D22&lt;Log!$C$12)),0,IF(E22&lt;&gt;0,D23-D22,IF(E21=0,D23-D20,D23-D21)))</f>
        <v>0</v>
      </c>
      <c r="F23" s="104">
        <f t="shared" si="4"/>
        <v>0</v>
      </c>
      <c r="H23" s="88">
        <v>72</v>
      </c>
      <c r="I23" s="54" t="s">
        <v>4</v>
      </c>
      <c r="J23" s="68">
        <f>VLOOKUP(I23,Log!$B$2:$C$8,2,)</f>
        <v>1</v>
      </c>
      <c r="K23" s="4">
        <v>22.8</v>
      </c>
      <c r="L23" s="32">
        <f>IF(OR(AND(I23="Motorbike",K23-K22&lt;Log!$C$13),AND(I23&lt;&gt;"Motorbike",K23-K22&lt;Log!$C$12)),0,IF(L22&lt;&gt;0,K23-K22,IF(L21=0,K23-K20,K23-K21)))</f>
        <v>6.8800000000000008</v>
      </c>
      <c r="M23" s="32">
        <f t="shared" si="5"/>
        <v>6.8800000000000008</v>
      </c>
      <c r="N23" s="13"/>
      <c r="O23" s="57">
        <v>136</v>
      </c>
      <c r="P23" s="60" t="s">
        <v>4</v>
      </c>
      <c r="Q23" s="68">
        <f>VLOOKUP(P23,Log!$B$2:$C$8,2,)</f>
        <v>1</v>
      </c>
      <c r="R23" s="4">
        <v>26.32</v>
      </c>
      <c r="S23" s="32">
        <f>IF(OR(AND(P23="Motorbike",R23-R22&lt;Log!$C$13),AND(P23&lt;&gt;"Motorbike",R23-R22&lt;Log!$C$12)),0,IF(S22&lt;&gt;0,R23-R22,IF(S21=0,R23-R20,R23-R21)))</f>
        <v>3.6000000000000014</v>
      </c>
      <c r="T23" s="32">
        <f t="shared" si="6"/>
        <v>3.6000000000000014</v>
      </c>
    </row>
    <row r="24" spans="1:23" x14ac:dyDescent="0.25">
      <c r="A24" s="58">
        <v>106</v>
      </c>
      <c r="B24" s="70" t="s">
        <v>4</v>
      </c>
      <c r="C24" s="68">
        <f>VLOOKUP(B24,Log!$B$2:$C$8,2,)</f>
        <v>1</v>
      </c>
      <c r="D24" s="5">
        <v>19.88</v>
      </c>
      <c r="E24" s="32">
        <f>IF(OR(AND(OR(B24="Motorbike",B24="CNG",B24="Bicycle",B24="NMV"),D24-D23&lt;Log!$C$13),AND(NOT(OR(B24="Motorbike",B24="CNG",B24="Bicycle",B24="NMV")),D24-D23&lt;Log!$C$12)),0,IF(E23&lt;&gt;0,D24-D23,IF(E22=0,D24-D21,D24-D22)))</f>
        <v>1.879999999999999</v>
      </c>
      <c r="F24" s="104">
        <f t="shared" si="4"/>
        <v>3.759999999999998</v>
      </c>
      <c r="H24" s="63">
        <v>129</v>
      </c>
      <c r="I24" s="54" t="s">
        <v>4</v>
      </c>
      <c r="J24" s="5">
        <f>VLOOKUP(I24,Log!$B$2:$C$8,2,)</f>
        <v>1</v>
      </c>
      <c r="K24" s="4">
        <v>27.12</v>
      </c>
      <c r="L24" s="32">
        <f>IF(OR(AND(I24="Motorbike",K24-K23&lt;Log!$C$13),AND(I24&lt;&gt;"Motorbike",K24-K23&lt;Log!$C$12)),0,IF(L23&lt;&gt;0,K24-K23,IF(L22=0,K24-K21,K24-K22)))</f>
        <v>4.32</v>
      </c>
      <c r="M24" s="32">
        <f t="shared" si="5"/>
        <v>4.32</v>
      </c>
      <c r="N24" s="13"/>
      <c r="O24" s="58">
        <v>146</v>
      </c>
      <c r="P24" s="54" t="s">
        <v>4</v>
      </c>
      <c r="Q24" s="68">
        <f>VLOOKUP(P24,Log!$B$2:$C$8,2,)</f>
        <v>1</v>
      </c>
      <c r="R24" s="4">
        <v>28.68</v>
      </c>
      <c r="S24" s="32">
        <f>IF(OR(AND(P24="Motorbike",R24-R23&lt;Log!$C$13),AND(P24&lt;&gt;"Motorbike",R24-R23&lt;Log!$C$12)),0,IF(S23&lt;&gt;0,R24-R23,IF(S22=0,R24-R21,R24-R22)))</f>
        <v>2.3599999999999994</v>
      </c>
      <c r="T24" s="32">
        <f t="shared" si="6"/>
        <v>2.3599999999999994</v>
      </c>
    </row>
    <row r="25" spans="1:23" x14ac:dyDescent="0.25">
      <c r="A25" s="58">
        <v>89</v>
      </c>
      <c r="B25" s="54" t="s">
        <v>4</v>
      </c>
      <c r="C25" s="68">
        <f>VLOOKUP(B25,Log!$B$2:$C$8,2,)</f>
        <v>1</v>
      </c>
      <c r="D25" s="5">
        <v>20.6</v>
      </c>
      <c r="E25" s="32">
        <f>IF(OR(AND(OR(B25="Motorbike",B25="CNG",B25="Bicycle",B25="NMV"),D25-D24&lt;Log!$C$13),AND(NOT(OR(B25="Motorbike",B25="CNG",B25="Bicycle",B25="NMV")),D25-D24&lt;Log!$C$12)),0,IF(E24&lt;&gt;0,D25-D24,IF(E23=0,D25-D22,D25-D23)))</f>
        <v>0</v>
      </c>
      <c r="F25" s="104">
        <f t="shared" si="4"/>
        <v>0</v>
      </c>
      <c r="H25" s="71">
        <v>159</v>
      </c>
      <c r="I25" s="54" t="s">
        <v>4</v>
      </c>
      <c r="J25" s="5">
        <f>VLOOKUP(I25,Log!$B$2:$C$8,2,)</f>
        <v>1</v>
      </c>
      <c r="K25" s="4">
        <v>28.52</v>
      </c>
      <c r="L25" s="32">
        <f>IF(OR(AND(I25="Motorbike",K25-K24&lt;Log!$C$13),AND(I25&lt;&gt;"Motorbike",K25-K24&lt;Log!$C$12)),0,IF(L24&lt;&gt;0,K25-K24,IF(L23=0,K25-K22,K25-K23)))</f>
        <v>1.3999999999999986</v>
      </c>
      <c r="M25" s="32">
        <f t="shared" si="5"/>
        <v>1.3999999999999986</v>
      </c>
      <c r="N25" s="13"/>
      <c r="O25" s="58">
        <v>145</v>
      </c>
      <c r="P25" s="54" t="s">
        <v>4</v>
      </c>
      <c r="Q25" s="68">
        <f>VLOOKUP(P25,Log!$B$2:$C$8,2,)</f>
        <v>1</v>
      </c>
      <c r="R25" s="4">
        <v>31</v>
      </c>
      <c r="S25" s="32">
        <f>IF(OR(AND(P25="Motorbike",R25-R24&lt;Log!$C$13),AND(P25&lt;&gt;"Motorbike",R25-R24&lt;Log!$C$12)),0,IF(S24&lt;&gt;0,R25-R24,IF(S23=0,R25-R22,R25-R23)))</f>
        <v>2.3200000000000003</v>
      </c>
      <c r="T25" s="32">
        <f t="shared" si="6"/>
        <v>2.3200000000000003</v>
      </c>
    </row>
    <row r="26" spans="1:23" x14ac:dyDescent="0.25">
      <c r="A26" s="58">
        <v>102</v>
      </c>
      <c r="B26" s="54" t="s">
        <v>6</v>
      </c>
      <c r="C26" s="68">
        <f>VLOOKUP(B26,Log!$B$2:$C$8,2,)</f>
        <v>0.45</v>
      </c>
      <c r="D26" s="5">
        <v>21.72</v>
      </c>
      <c r="E26" s="32">
        <f>IF(OR(AND(OR(B26="Motorbike",B26="CNG",B26="Bicycle",B26="NMV"),D26-D25&lt;Log!$C$13),AND(NOT(OR(B26="Motorbike",B26="CNG",B26="Bicycle",B26="NMV")),D26-D25&lt;Log!$C$12)),0,IF(E25&lt;&gt;0,D26-D25,IF(E24=0,D26-D23,D26-D24)))</f>
        <v>1.8399999999999999</v>
      </c>
      <c r="F26" s="104">
        <f t="shared" si="4"/>
        <v>2.6679999999999997</v>
      </c>
      <c r="H26" s="71">
        <v>148</v>
      </c>
      <c r="I26" s="54" t="s">
        <v>4</v>
      </c>
      <c r="J26" s="5">
        <f>VLOOKUP(I26,Log!$B$2:$C$8,2,)</f>
        <v>1</v>
      </c>
      <c r="K26" s="4">
        <v>30.32</v>
      </c>
      <c r="L26" s="32">
        <f>IF(OR(AND(I26="Motorbike",K26-K25&lt;Log!$C$13),AND(I26&lt;&gt;"Motorbike",K26-K25&lt;Log!$C$12)),0,IF(L25&lt;&gt;0,K26-K25,IF(L24=0,K26-K23,K26-K24)))</f>
        <v>1.8000000000000007</v>
      </c>
      <c r="M26" s="32">
        <f t="shared" si="5"/>
        <v>1.8000000000000007</v>
      </c>
      <c r="N26" s="13"/>
      <c r="O26" s="58">
        <v>181</v>
      </c>
      <c r="P26" s="54" t="s">
        <v>4</v>
      </c>
      <c r="Q26" s="68">
        <f>VLOOKUP(P26,Log!$B$2:$C$8,2,)</f>
        <v>1</v>
      </c>
      <c r="R26" s="4">
        <v>32.479999999999997</v>
      </c>
      <c r="S26" s="32">
        <f>IF(OR(AND(P26="Motorbike",R26-R25&lt;Log!$C$13),AND(P26&lt;&gt;"Motorbike",R26-R25&lt;Log!$C$12)),0,IF(S25&lt;&gt;0,R26-R25,IF(S24=0,R26-R23,R26-R24)))</f>
        <v>1.4799999999999969</v>
      </c>
      <c r="T26" s="32">
        <f t="shared" si="6"/>
        <v>1.4799999999999969</v>
      </c>
    </row>
    <row r="27" spans="1:23" ht="15.75" thickBot="1" x14ac:dyDescent="0.3">
      <c r="A27" s="58">
        <v>84</v>
      </c>
      <c r="B27" s="69" t="s">
        <v>4</v>
      </c>
      <c r="C27" s="68">
        <f>VLOOKUP(B27,Log!$B$2:$C$8,2,)</f>
        <v>1</v>
      </c>
      <c r="D27" s="5">
        <v>22.4</v>
      </c>
      <c r="E27" s="32">
        <f>IF(OR(AND(OR(B27="Motorbike",B27="CNG",B27="Bicycle",B27="NMV"),D27-D26&lt;Log!$C$13),AND(NOT(OR(B27="Motorbike",B27="CNG",B27="Bicycle",B27="NMV")),D27-D26&lt;Log!$C$12)),0,IF(E26&lt;&gt;0,D27-D26,IF(E25=0,D27-D24,D27-D25)))</f>
        <v>0</v>
      </c>
      <c r="F27" s="104">
        <f t="shared" si="4"/>
        <v>0</v>
      </c>
      <c r="H27" s="64">
        <v>166</v>
      </c>
      <c r="I27" s="54" t="s">
        <v>4</v>
      </c>
      <c r="J27" s="5">
        <f>VLOOKUP(I27,Log!$B$2:$C$8,2,)</f>
        <v>1</v>
      </c>
      <c r="K27" s="4">
        <v>34</v>
      </c>
      <c r="L27" s="32">
        <f>IF(OR(AND(I27="Motorbike",K27-K26&lt;Log!$C$13),AND(I27&lt;&gt;"Motorbike",K27-K26&lt;Log!$C$12)),0,IF(L26&lt;&gt;0,K27-K26,IF(L25=0,K27-K24,K27-K25)))</f>
        <v>3.6799999999999997</v>
      </c>
      <c r="M27" s="32">
        <f t="shared" si="5"/>
        <v>3.6799999999999997</v>
      </c>
      <c r="N27" s="13"/>
      <c r="O27" s="58">
        <v>199</v>
      </c>
      <c r="P27" s="54" t="s">
        <v>5</v>
      </c>
      <c r="Q27" s="68">
        <f>VLOOKUP(P27,Log!$B$2:$C$8,2,)</f>
        <v>0.38</v>
      </c>
      <c r="R27" s="4">
        <v>34.119999999999997</v>
      </c>
      <c r="S27" s="32">
        <f>IF(OR(AND(P27="Motorbike",R27-R26&lt;Log!$C$13),AND(P27&lt;&gt;"Motorbike",R27-R26&lt;Log!$C$12)),0,IF(S26&lt;&gt;0,R27-R26,IF(S25=0,R27-R24,R27-R25)))</f>
        <v>1.6400000000000006</v>
      </c>
      <c r="T27" s="32">
        <f t="shared" si="6"/>
        <v>0.6232000000000002</v>
      </c>
    </row>
    <row r="28" spans="1:23" ht="15.75" thickBot="1" x14ac:dyDescent="0.3">
      <c r="A28" s="58">
        <v>125</v>
      </c>
      <c r="B28" s="57" t="s">
        <v>4</v>
      </c>
      <c r="C28" s="68">
        <f>VLOOKUP(B28,Log!$B$2:$C$8,2,)</f>
        <v>1</v>
      </c>
      <c r="D28" s="5">
        <v>24.4</v>
      </c>
      <c r="E28" s="32">
        <f>IF(OR(AND(OR(B28="Motorbike",B28="CNG",B28="Bicycle",B28="NMV"),D28-D27&lt;Log!$C$13),AND(NOT(OR(B28="Motorbike",B28="CNG",B28="Bicycle",B28="NMV")),D28-D27&lt;Log!$C$12)),0,IF(E27&lt;&gt;0,D28-D27,IF(E26=0,D28-D25,D28-D26)))</f>
        <v>2.6799999999999997</v>
      </c>
      <c r="F28" s="104">
        <f t="shared" si="4"/>
        <v>3.8859999999999997</v>
      </c>
      <c r="N28" s="13"/>
      <c r="O28" s="59">
        <v>179</v>
      </c>
      <c r="P28" s="54" t="s">
        <v>4</v>
      </c>
      <c r="Q28" s="68">
        <f>VLOOKUP(P28,Log!$B$2:$C$8,2,)</f>
        <v>1</v>
      </c>
      <c r="R28" s="4">
        <v>35.28</v>
      </c>
      <c r="S28" s="32">
        <f>IF(OR(AND(P28="Motorbike",R28-R27&lt;Log!$C$13),AND(P28&lt;&gt;"Motorbike",R28-R27&lt;Log!$C$12)),0,IF(S27&lt;&gt;0,R28-R27,IF(S26=0,R28-R25,R28-R26)))</f>
        <v>1.1600000000000037</v>
      </c>
      <c r="T28" s="32">
        <f t="shared" si="6"/>
        <v>1.1600000000000037</v>
      </c>
    </row>
    <row r="29" spans="1:23" ht="15.75" thickBot="1" x14ac:dyDescent="0.3">
      <c r="A29" s="58">
        <v>121</v>
      </c>
      <c r="B29" s="59" t="s">
        <v>6</v>
      </c>
      <c r="C29" s="68">
        <f>VLOOKUP(B29,Log!$B$2:$C$8,2,)</f>
        <v>0.45</v>
      </c>
      <c r="D29" s="5">
        <v>24.88</v>
      </c>
      <c r="E29" s="32">
        <f>IF(OR(AND(OR(B29="Motorbike",B29="CNG",B29="Bicycle",B29="NMV"),D29-D28&lt;Log!$C$13),AND(NOT(OR(B29="Motorbike",B29="CNG",B29="Bicycle",B29="NMV")),D29-D28&lt;Log!$C$12)),0,IF(E28&lt;&gt;0,D29-D28,IF(E27=0,D29-D26,D29-D27)))</f>
        <v>0</v>
      </c>
      <c r="F29" s="104">
        <f t="shared" si="4"/>
        <v>0</v>
      </c>
      <c r="N29" s="13"/>
      <c r="W29" s="11"/>
    </row>
    <row r="30" spans="1:23" x14ac:dyDescent="0.25">
      <c r="A30" s="58">
        <v>140</v>
      </c>
      <c r="B30" s="70" t="s">
        <v>6</v>
      </c>
      <c r="C30" s="68">
        <f>VLOOKUP(B30,Log!$B$2:$C$8,2,)</f>
        <v>0.45</v>
      </c>
      <c r="D30" s="5">
        <v>25.92</v>
      </c>
      <c r="E30" s="32">
        <f>IF(OR(AND(OR(B30="Motorbike",B30="CNG",B30="Bicycle",B30="NMV"),D30-D29&lt;Log!$C$13),AND(NOT(OR(B30="Motorbike",B30="CNG",B30="Bicycle",B30="NMV")),D30-D29&lt;Log!$C$12)),0,IF(E29&lt;&gt;0,D30-D29,IF(E28=0,D30-D27,D30-D28)))</f>
        <v>1.5200000000000031</v>
      </c>
      <c r="F30" s="104">
        <f t="shared" si="4"/>
        <v>0.68400000000000138</v>
      </c>
      <c r="N30" s="13"/>
      <c r="W30" s="11"/>
    </row>
    <row r="31" spans="1:23" x14ac:dyDescent="0.25">
      <c r="A31" s="58">
        <v>154</v>
      </c>
      <c r="B31" s="54" t="s">
        <v>5</v>
      </c>
      <c r="C31" s="68">
        <f>VLOOKUP(B31,Log!$B$2:$C$8,2,)</f>
        <v>0.38</v>
      </c>
      <c r="D31" s="5">
        <v>26.6</v>
      </c>
      <c r="E31" s="32">
        <f>IF(OR(AND(OR(B31="Motorbike",B31="CNG",B31="Bicycle",B31="NMV"),D31-D30&lt;Log!$C$13),AND(NOT(OR(B31="Motorbike",B31="CNG",B31="Bicycle",B31="NMV")),D31-D30&lt;Log!$C$12)),0,IF(E30&lt;&gt;0,D31-D30,IF(E29=0,D31-D28,D31-D29)))</f>
        <v>0.67999999999999972</v>
      </c>
      <c r="F31" s="104">
        <f t="shared" si="4"/>
        <v>0.25839999999999991</v>
      </c>
      <c r="N31" s="13"/>
      <c r="W31" s="11"/>
    </row>
    <row r="32" spans="1:23" x14ac:dyDescent="0.25">
      <c r="A32" s="58">
        <v>130</v>
      </c>
      <c r="B32" s="54" t="s">
        <v>4</v>
      </c>
      <c r="C32" s="68">
        <f>VLOOKUP(B32,Log!$B$2:$C$8,2,)</f>
        <v>1</v>
      </c>
      <c r="D32" s="5">
        <v>27.68</v>
      </c>
      <c r="E32" s="32">
        <f>IF(OR(AND(OR(B32="Motorbike",B32="CNG",B32="Bicycle",B32="NMV"),D32-D31&lt;Log!$C$13),AND(NOT(OR(B32="Motorbike",B32="CNG",B32="Bicycle",B32="NMV")),D32-D31&lt;Log!$C$12)),0,IF(E31&lt;&gt;0,D32-D31,IF(E30=0,D32-D29,D32-D30)))</f>
        <v>1.0799999999999983</v>
      </c>
      <c r="F32" s="104">
        <f t="shared" si="4"/>
        <v>1.0799999999999983</v>
      </c>
      <c r="N32" s="13"/>
      <c r="W32" s="11"/>
    </row>
    <row r="33" spans="1:23" x14ac:dyDescent="0.25">
      <c r="A33" s="58">
        <v>144</v>
      </c>
      <c r="B33" s="54" t="s">
        <v>4</v>
      </c>
      <c r="C33" s="68">
        <f>VLOOKUP(B33,Log!$B$2:$C$8,2,)</f>
        <v>1</v>
      </c>
      <c r="D33" s="5">
        <v>29.68</v>
      </c>
      <c r="E33" s="32">
        <f>IF(OR(AND(OR(B33="Motorbike",B33="CNG",B33="Bicycle",B33="NMV"),D33-D32&lt;Log!$C$13),AND(NOT(OR(B33="Motorbike",B33="CNG",B33="Bicycle",B33="NMV")),D33-D32&lt;Log!$C$12)),0,IF(E32&lt;&gt;0,D33-D32,IF(E31=0,D33-D30,D33-D31)))</f>
        <v>2</v>
      </c>
      <c r="F33" s="104">
        <f t="shared" si="4"/>
        <v>2</v>
      </c>
      <c r="N33" s="13"/>
      <c r="W33" s="11"/>
    </row>
    <row r="34" spans="1:23" ht="15.75" thickBot="1" x14ac:dyDescent="0.3">
      <c r="A34" s="58">
        <v>161</v>
      </c>
      <c r="B34" s="54" t="s">
        <v>4</v>
      </c>
      <c r="C34" s="68">
        <f>VLOOKUP(B34,Log!$B$2:$C$8,2,)</f>
        <v>1</v>
      </c>
      <c r="D34" s="5">
        <v>32.32</v>
      </c>
      <c r="E34" s="32">
        <f>IF(OR(AND(OR(B34="Motorbike",B34="CNG",B34="Bicycle",B34="NMV"),D34-D33&lt;Log!$C$13),AND(NOT(OR(B34="Motorbike",B34="CNG",B34="Bicycle",B34="NMV")),D34-D33&lt;Log!$C$12)),0,IF(E33&lt;&gt;0,D34-D33,IF(E32=0,D34-D31,D34-D32)))</f>
        <v>2.6400000000000006</v>
      </c>
      <c r="F34" s="104">
        <f t="shared" si="4"/>
        <v>2.6400000000000006</v>
      </c>
      <c r="H34" s="50"/>
      <c r="I34" s="51"/>
      <c r="J34" s="13"/>
      <c r="L34" s="52"/>
      <c r="M34" s="52"/>
      <c r="N34" s="13"/>
      <c r="W34" s="11"/>
    </row>
    <row r="35" spans="1:23" ht="15.75" thickBot="1" x14ac:dyDescent="0.3">
      <c r="A35" s="58">
        <v>167</v>
      </c>
      <c r="B35" s="54" t="s">
        <v>4</v>
      </c>
      <c r="C35" s="68">
        <f>VLOOKUP(B35,Log!$B$2:$C$8,2,)</f>
        <v>1</v>
      </c>
      <c r="D35" s="5">
        <v>34.08</v>
      </c>
      <c r="E35" s="32">
        <f>IF(OR(AND(OR(B35="Motorbike",B35="CNG",B35="Bicycle",B35="NMV"),D35-D34&lt;Log!$C$13),AND(NOT(OR(B35="Motorbike",B35="CNG",B35="Bicycle",B35="NMV")),D35-D34&lt;Log!$C$12)),0,IF(E34&lt;&gt;0,D35-D34,IF(E33=0,D35-D32,D35-D33)))</f>
        <v>1.759999999999998</v>
      </c>
      <c r="F35" s="104">
        <f t="shared" si="4"/>
        <v>1.759999999999998</v>
      </c>
      <c r="H35" s="53"/>
      <c r="I35" s="74"/>
      <c r="J35" s="13"/>
      <c r="L35" s="52"/>
      <c r="M35" s="52"/>
      <c r="W35" s="11"/>
    </row>
    <row r="36" spans="1:23" ht="15.75" thickBot="1" x14ac:dyDescent="0.3">
      <c r="A36" s="59">
        <v>164</v>
      </c>
      <c r="B36" s="54" t="s">
        <v>4</v>
      </c>
      <c r="C36" s="68">
        <f>VLOOKUP(B36,Log!$B$2:$C$8,2,)</f>
        <v>1</v>
      </c>
      <c r="D36" s="5">
        <v>36.479999999999997</v>
      </c>
      <c r="E36" s="32">
        <f>IF(OR(AND(OR(B36="Motorbike",B36="CNG",B36="Bicycle",B36="NMV"),D36-D35&lt;Log!$C$13),AND(NOT(OR(B36="Motorbike",B36="CNG",B36="Bicycle",B36="NMV")),D36-D35&lt;Log!$C$12)),0,IF(E35&lt;&gt;0,D36-D35,IF(E34=0,D36-D33,D36-D34)))</f>
        <v>2.3999999999999986</v>
      </c>
      <c r="F36" s="104">
        <f t="shared" si="4"/>
        <v>2.3999999999999986</v>
      </c>
      <c r="H36" s="53"/>
      <c r="J36" s="13"/>
      <c r="L36" s="52"/>
      <c r="M36" s="52"/>
      <c r="W36" s="11"/>
    </row>
    <row r="37" spans="1:23" x14ac:dyDescent="0.25">
      <c r="H37" s="53"/>
      <c r="J37" s="13"/>
      <c r="L37" s="52"/>
      <c r="M37" s="52"/>
      <c r="W37" s="11"/>
    </row>
    <row r="38" spans="1:23" x14ac:dyDescent="0.25">
      <c r="W38" s="11"/>
    </row>
    <row r="39" spans="1:23" x14ac:dyDescent="0.25">
      <c r="W39" s="11"/>
    </row>
    <row r="40" spans="1:23" x14ac:dyDescent="0.25">
      <c r="W40" s="11"/>
    </row>
    <row r="41" spans="1:23" x14ac:dyDescent="0.25">
      <c r="W41" s="11"/>
    </row>
    <row r="42" spans="1:23" x14ac:dyDescent="0.25">
      <c r="W42" s="11"/>
    </row>
    <row r="43" spans="1:23" x14ac:dyDescent="0.25">
      <c r="W43" s="11"/>
    </row>
    <row r="44" spans="1:23" x14ac:dyDescent="0.25">
      <c r="W44" s="11"/>
    </row>
    <row r="52" spans="19:20" x14ac:dyDescent="0.25">
      <c r="S52" s="9" t="e">
        <f>AVERAGE(S30:S34)</f>
        <v>#DIV/0!</v>
      </c>
      <c r="T52" s="9" t="e">
        <f>AVERAGE(T30:T34)</f>
        <v>#DIV/0!</v>
      </c>
    </row>
    <row r="53" spans="19:20" x14ac:dyDescent="0.25">
      <c r="S53" s="10" t="e">
        <f>3600/S52</f>
        <v>#DIV/0!</v>
      </c>
      <c r="T53" s="10" t="e">
        <f>3600/T52</f>
        <v>#DIV/0!</v>
      </c>
    </row>
  </sheetData>
  <mergeCells count="4">
    <mergeCell ref="C1:D1"/>
    <mergeCell ref="A11:F11"/>
    <mergeCell ref="H11:M11"/>
    <mergeCell ref="O11:T11"/>
  </mergeCells>
  <conditionalFormatting sqref="E16:E36">
    <cfRule type="cellIs" dxfId="37" priority="2" operator="greaterThanOrEqual">
      <formula>4</formula>
    </cfRule>
  </conditionalFormatting>
  <conditionalFormatting sqref="E13:F13">
    <cfRule type="cellIs" dxfId="36" priority="41" operator="greaterThan">
      <formula>4</formula>
    </cfRule>
  </conditionalFormatting>
  <conditionalFormatting sqref="F14:F36">
    <cfRule type="cellIs" dxfId="35" priority="21" operator="greaterThan">
      <formula>4</formula>
    </cfRule>
  </conditionalFormatting>
  <conditionalFormatting sqref="L14:L27">
    <cfRule type="cellIs" dxfId="34" priority="12" operator="greaterThanOrEqual">
      <formula>4</formula>
    </cfRule>
  </conditionalFormatting>
  <conditionalFormatting sqref="L13:M13">
    <cfRule type="cellIs" dxfId="33" priority="38" operator="greaterThan">
      <formula>4</formula>
    </cfRule>
  </conditionalFormatting>
  <conditionalFormatting sqref="L34:M37">
    <cfRule type="cellIs" dxfId="32" priority="43" operator="greaterThan">
      <formula>4</formula>
    </cfRule>
  </conditionalFormatting>
  <conditionalFormatting sqref="M14:M27">
    <cfRule type="cellIs" dxfId="31" priority="14" operator="greaterThan">
      <formula>4</formula>
    </cfRule>
  </conditionalFormatting>
  <conditionalFormatting sqref="S14:S28">
    <cfRule type="cellIs" dxfId="30" priority="5" operator="greaterThanOrEqual">
      <formula>4</formula>
    </cfRule>
  </conditionalFormatting>
  <conditionalFormatting sqref="S13:T13">
    <cfRule type="cellIs" dxfId="29" priority="36" operator="greaterThan">
      <formula>4</formula>
    </cfRule>
  </conditionalFormatting>
  <conditionalFormatting sqref="T14:T28">
    <cfRule type="cellIs" dxfId="28" priority="7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7417B07-02DC-48FF-A829-A33EE729132A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3" id="{4D7EC32A-6124-4A72-B81B-D9F888E1ACDE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E14:E36</xm:sqref>
        </x14:conditionalFormatting>
        <x14:conditionalFormatting xmlns:xm="http://schemas.microsoft.com/office/excel/2006/main">
          <x14:cfRule type="expression" priority="44" id="{3CBE6909-FE33-4D60-93A1-9B092922D0C1}">
            <xm:f>AND(OFFSET(L14,0,-3)="Motorbike", L14&lt;Log!$C$13)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L14:L27 S16:S28</xm:sqref>
        </x14:conditionalFormatting>
        <x14:conditionalFormatting xmlns:xm="http://schemas.microsoft.com/office/excel/2006/main">
          <x14:cfRule type="expression" priority="13" id="{4AD6B235-967B-488F-A9FB-04A9A67CD0E7}">
            <xm:f>AND(OFFSET(L14,0,-3)&lt;&gt;"Motorbike", L14&lt;Log!$C$12)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L14:L27 S14:S28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AC5DE-8D8D-4115-A229-FC0BFEDD6CA1}">
  <sheetPr codeName="Sheet14"/>
  <dimension ref="A1:W53"/>
  <sheetViews>
    <sheetView topLeftCell="A34" workbookViewId="0">
      <selection activeCell="B15" sqref="B15:B18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42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21.88</v>
      </c>
      <c r="M2" s="17">
        <f>SUM(M20:M28)</f>
        <v>28.598399999999994</v>
      </c>
      <c r="R2" s="4" t="s">
        <v>12</v>
      </c>
      <c r="S2" s="8">
        <f>SUM(S25:S28)</f>
        <v>2.84</v>
      </c>
      <c r="T2" s="8">
        <f>SUM(T25:T28)</f>
        <v>2.2579999999999991</v>
      </c>
    </row>
    <row r="3" spans="1:20" x14ac:dyDescent="0.25">
      <c r="K3" s="4" t="s">
        <v>13</v>
      </c>
      <c r="L3" s="18">
        <f>AVERAGE(L24:L26)</f>
        <v>5.333333333333333</v>
      </c>
      <c r="M3" s="65">
        <f>AVERAGE(M17:M20)</f>
        <v>1.8096000000000001</v>
      </c>
      <c r="R3" s="4" t="s">
        <v>13</v>
      </c>
      <c r="S3" s="9">
        <f>AVERAGE(S25:S28)</f>
        <v>0.71</v>
      </c>
      <c r="T3" s="9">
        <f>AVERAGE(T23:T28)</f>
        <v>0.89659999999999984</v>
      </c>
    </row>
    <row r="4" spans="1:20" x14ac:dyDescent="0.25">
      <c r="A4" s="4" t="s">
        <v>4</v>
      </c>
      <c r="B4" s="128">
        <f>100*COUNTIF($B$13:$B$43,A4)/COUNTA($B$13:$B$43)</f>
        <v>50</v>
      </c>
      <c r="H4" s="4" t="s">
        <v>4</v>
      </c>
      <c r="I4" s="128">
        <f>100*COUNTIF($I$13:$I$23,H4)/COUNTA($I$13:$I$23)</f>
        <v>72.727272727272734</v>
      </c>
      <c r="K4" s="4" t="s">
        <v>1</v>
      </c>
      <c r="L4" s="21">
        <f>3600/L3</f>
        <v>675</v>
      </c>
      <c r="M4" s="66">
        <f>3600/M3</f>
        <v>1989.389920424403</v>
      </c>
      <c r="O4" s="4" t="s">
        <v>4</v>
      </c>
      <c r="P4" s="128">
        <f>100*COUNTIF($P$13:$P$33,O4)/COUNTA($P$13:$P$33)</f>
        <v>14.285714285714286</v>
      </c>
      <c r="R4" s="4" t="s">
        <v>1</v>
      </c>
      <c r="S4" s="10">
        <f>3600/S3</f>
        <v>5070.422535211268</v>
      </c>
      <c r="T4" s="10">
        <f>3600/T3</f>
        <v>4015.1684140084772</v>
      </c>
    </row>
    <row r="5" spans="1:20" x14ac:dyDescent="0.25">
      <c r="A5" s="4" t="s">
        <v>6</v>
      </c>
      <c r="B5" s="128">
        <f t="shared" ref="B5:B9" si="0">100*COUNTIF($B$13:$B$43,A5)/COUNTA($B$13:$B$43)</f>
        <v>26.923076923076923</v>
      </c>
      <c r="H5" s="4" t="s">
        <v>6</v>
      </c>
      <c r="I5" s="128">
        <f t="shared" ref="I5:I9" si="1">100*COUNTIF($I$13:$I$23,H5)/COUNTA($I$13:$I$23)</f>
        <v>9.0909090909090917</v>
      </c>
      <c r="O5" s="4" t="s">
        <v>6</v>
      </c>
      <c r="P5" s="128">
        <f t="shared" ref="P5:P9" si="2">100*COUNTIF($P$13:$P$33,O5)/COUNTA($P$13:$P$33)</f>
        <v>23.80952380952381</v>
      </c>
    </row>
    <row r="6" spans="1:20" x14ac:dyDescent="0.25">
      <c r="A6" s="4" t="s">
        <v>5</v>
      </c>
      <c r="B6" s="128">
        <f t="shared" si="0"/>
        <v>19.23076923076923</v>
      </c>
      <c r="E6" s="27" t="s">
        <v>22</v>
      </c>
      <c r="F6" s="27" t="s">
        <v>21</v>
      </c>
      <c r="H6" s="4" t="s">
        <v>5</v>
      </c>
      <c r="I6" s="128">
        <f t="shared" si="1"/>
        <v>18.181818181818183</v>
      </c>
      <c r="L6" s="27" t="s">
        <v>22</v>
      </c>
      <c r="M6" s="27" t="s">
        <v>21</v>
      </c>
      <c r="O6" s="4" t="s">
        <v>5</v>
      </c>
      <c r="P6" s="128">
        <f t="shared" si="2"/>
        <v>61.904761904761905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17.8</v>
      </c>
      <c r="F7" s="23">
        <f>SUM(F14:F30)</f>
        <v>19.474399999999999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39.4</v>
      </c>
      <c r="M7" s="23">
        <f>SUM(M14:M37)</f>
        <v>50.885999999999989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8.120000000000001</v>
      </c>
      <c r="T7" s="23">
        <f>SUM(T13:T23)</f>
        <v>6.3647999999999998</v>
      </c>
    </row>
    <row r="8" spans="1:20" ht="15.75" thickBot="1" x14ac:dyDescent="0.3">
      <c r="A8" s="4" t="s">
        <v>7</v>
      </c>
      <c r="B8" s="128">
        <f t="shared" si="0"/>
        <v>3.8461538461538463</v>
      </c>
      <c r="D8" s="28" t="s">
        <v>13</v>
      </c>
      <c r="E8" s="26">
        <f>AVERAGEIF(E17:E20,"&lt;&gt;0")</f>
        <v>1.5999999999999999</v>
      </c>
      <c r="F8" s="26">
        <f>AVERAGEIF(F14:F38,"&lt;&gt;0")</f>
        <v>1.8954588235294116</v>
      </c>
      <c r="H8" s="4" t="s">
        <v>7</v>
      </c>
      <c r="I8" s="128">
        <f t="shared" si="1"/>
        <v>0</v>
      </c>
      <c r="K8" s="28" t="s">
        <v>13</v>
      </c>
      <c r="L8" s="26">
        <f>AVERAGEIF(L26:L33,"&lt;&gt;0")</f>
        <v>2.1999999999999993</v>
      </c>
      <c r="M8" s="26">
        <f>AVERAGEIF(M13:M23,"&lt;&gt;0")</f>
        <v>2.0426285714285717</v>
      </c>
      <c r="O8" s="4" t="s">
        <v>7</v>
      </c>
      <c r="P8" s="128">
        <f t="shared" si="2"/>
        <v>0</v>
      </c>
      <c r="R8" s="28" t="s">
        <v>13</v>
      </c>
      <c r="S8" s="26">
        <f>AVERAGEIF(S36:S41,"&lt;&gt;0")</f>
        <v>2.1199999999999997</v>
      </c>
      <c r="T8" s="26">
        <f>AVERAGEIF(T13:T33,"&lt;&gt;0")</f>
        <v>0.86077142857142852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2250</v>
      </c>
      <c r="F9" s="29">
        <f>3600/F8</f>
        <v>1899.2762888389589</v>
      </c>
      <c r="H9" s="4" t="s">
        <v>23</v>
      </c>
      <c r="I9" s="128">
        <f t="shared" si="1"/>
        <v>0</v>
      </c>
      <c r="K9" s="28" t="s">
        <v>1</v>
      </c>
      <c r="L9" s="25">
        <f>3600/L8</f>
        <v>1636.3636363636369</v>
      </c>
      <c r="M9" s="29">
        <f>3600/M8</f>
        <v>1762.434957757511</v>
      </c>
      <c r="O9" s="4" t="s">
        <v>23</v>
      </c>
      <c r="P9" s="128">
        <f t="shared" si="2"/>
        <v>0</v>
      </c>
      <c r="R9" s="28" t="s">
        <v>1</v>
      </c>
      <c r="S9" s="25">
        <f>3600/S8</f>
        <v>1698.1132075471701</v>
      </c>
      <c r="T9" s="29">
        <f>3600/T8</f>
        <v>4182.2949513725234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55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55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77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57">
        <v>1</v>
      </c>
      <c r="B13" s="54" t="s">
        <v>6</v>
      </c>
      <c r="C13" s="68">
        <f>VLOOKUP(B13,Log!$B$2:$C$8,2,)</f>
        <v>0.45</v>
      </c>
      <c r="D13" s="5">
        <v>3.8</v>
      </c>
      <c r="E13" s="32">
        <v>0</v>
      </c>
      <c r="F13" s="32">
        <v>0</v>
      </c>
      <c r="H13" s="63">
        <v>4</v>
      </c>
      <c r="I13" s="63" t="s">
        <v>6</v>
      </c>
      <c r="J13" s="68">
        <f>VLOOKUP(I13,Log!$B$2:$C$8,2,)</f>
        <v>0.45</v>
      </c>
      <c r="K13" s="4">
        <v>2.4</v>
      </c>
      <c r="L13" s="32">
        <v>0</v>
      </c>
      <c r="M13" s="32">
        <v>0</v>
      </c>
      <c r="N13" s="13"/>
      <c r="O13" s="109">
        <v>10</v>
      </c>
      <c r="P13" s="110" t="s">
        <v>5</v>
      </c>
      <c r="Q13" s="116">
        <f>VLOOKUP(P13,Log!$B$2:$C$8,2,)</f>
        <v>0.38</v>
      </c>
      <c r="R13" s="113">
        <v>1.4</v>
      </c>
      <c r="S13" s="114">
        <v>0</v>
      </c>
      <c r="T13" s="114">
        <v>0</v>
      </c>
    </row>
    <row r="14" spans="1:20" ht="15.75" thickBot="1" x14ac:dyDescent="0.3">
      <c r="A14" s="58">
        <v>30</v>
      </c>
      <c r="B14" s="54" t="s">
        <v>5</v>
      </c>
      <c r="C14" s="68">
        <f>VLOOKUP(B14,Log!$B$2:$C$8,2,)</f>
        <v>0.38</v>
      </c>
      <c r="D14" s="5">
        <v>4.4000000000000004</v>
      </c>
      <c r="E14" s="32">
        <f>IF(OR(AND(B14="Motorbike",D14-D13&lt;Log!$C$13),AND(B14&lt;&gt;"Motorbike",D14-D13&lt;Log!$C$12)),0,D14-D13)</f>
        <v>0.60000000000000053</v>
      </c>
      <c r="F14" s="104">
        <f>IF(E15&lt;&gt;0,C14*E14,IF(E16=0,(C14+C15+C16)*E14,(C14+C15)*E14))</f>
        <v>0.2280000000000002</v>
      </c>
      <c r="H14" s="71">
        <v>3</v>
      </c>
      <c r="I14" s="64" t="s">
        <v>4</v>
      </c>
      <c r="J14" s="68">
        <f>VLOOKUP(I14,Log!$B$2:$C$8,2,)</f>
        <v>1</v>
      </c>
      <c r="K14" s="4">
        <v>2.88</v>
      </c>
      <c r="L14" s="147">
        <f>K14-K13</f>
        <v>0.48</v>
      </c>
      <c r="M14" s="104">
        <f>IF(L15&lt;&gt;0,J14*L14,IF(L16=0,(J14+J15+J16)*L14,(J14+J15)*L14))</f>
        <v>0.48</v>
      </c>
      <c r="N14" s="13"/>
      <c r="O14" s="58">
        <v>9</v>
      </c>
      <c r="P14" s="54" t="s">
        <v>5</v>
      </c>
      <c r="Q14" s="68">
        <f>VLOOKUP(P14,Log!$B$2:$C$8,2,)</f>
        <v>0.38</v>
      </c>
      <c r="R14" s="4">
        <v>2.12</v>
      </c>
      <c r="S14" s="32">
        <f>IF(OR(AND(P14="Motorbike",R14-R13&lt;Log!$C$13),AND(P14&lt;&gt;"Motorbike",R14-R13&lt;Log!$C$12)),0,R14-R13)</f>
        <v>0.7200000000000002</v>
      </c>
      <c r="T14" s="104">
        <f>IF(S15&lt;&gt;0,Q14*S14,IF(S16=0,(Q14+Q15+Q16)*S14,(Q14+Q15)*S14))</f>
        <v>0.59760000000000024</v>
      </c>
    </row>
    <row r="15" spans="1:20" x14ac:dyDescent="0.25">
      <c r="A15" s="58">
        <v>2</v>
      </c>
      <c r="B15" s="54" t="s">
        <v>4</v>
      </c>
      <c r="C15" s="68">
        <f>VLOOKUP(B15,Log!$B$2:$C$8,2,)</f>
        <v>1</v>
      </c>
      <c r="D15" s="5">
        <v>6.72</v>
      </c>
      <c r="E15" s="32">
        <f>IF(OR(AND(B15="Motorbike",D15-D14&lt;Log!$C$13),AND(B15&lt;&gt;"Motorbike",D15-D14&lt;Log!$C$12)),0,D15-D14)</f>
        <v>2.3199999999999994</v>
      </c>
      <c r="F15" s="104">
        <f t="shared" ref="F15:F38" si="3">IF(E16&lt;&gt;0,C15*E15,IF(E17=0,(C15+C16+C17)*E15,(C15+C16)*E15))</f>
        <v>2.3199999999999994</v>
      </c>
      <c r="H15" s="71">
        <v>5</v>
      </c>
      <c r="I15" s="63" t="s">
        <v>4</v>
      </c>
      <c r="J15" s="68">
        <f>VLOOKUP(I15,Log!$B$2:$C$8,2,)</f>
        <v>1</v>
      </c>
      <c r="K15" s="4">
        <v>3.88</v>
      </c>
      <c r="L15" s="32">
        <f>IF(OR(AND(I15="Motorbike",K15-K14&lt;Log!$C$13),AND(I15&lt;&gt;"Motorbike",K15-K14&lt;Log!$C$12)),0,K15-K14)</f>
        <v>1</v>
      </c>
      <c r="M15" s="104">
        <f t="shared" ref="M15:M35" si="4">IF(L16&lt;&gt;0,J15*L15,IF(L17=0,(J15+J16+J17)*L15,(J15+J16)*L15))</f>
        <v>1.38</v>
      </c>
      <c r="N15" s="13"/>
      <c r="O15" s="58">
        <v>4</v>
      </c>
      <c r="P15" s="54" t="s">
        <v>6</v>
      </c>
      <c r="Q15" s="68">
        <f>VLOOKUP(P15,Log!$B$2:$C$8,2,)</f>
        <v>0.45</v>
      </c>
      <c r="R15" s="4">
        <v>2.72</v>
      </c>
      <c r="S15" s="32">
        <f>IF(OR(AND(P15="Motorbike",R15-R14&lt;Log!$C$13),AND(P15&lt;&gt;"Motorbike",R15-R14&lt;Log!$C$12)),0,R15-R14)</f>
        <v>0</v>
      </c>
      <c r="T15" s="104">
        <f t="shared" ref="T15:T43" si="5">IF(S16&lt;&gt;0,Q15*S15,IF(S17=0,(Q15+Q16+Q17)*S15,(Q15+Q16)*S15))</f>
        <v>0</v>
      </c>
    </row>
    <row r="16" spans="1:20" ht="15.75" thickBot="1" x14ac:dyDescent="0.3">
      <c r="A16" s="58">
        <v>53</v>
      </c>
      <c r="B16" s="54" t="s">
        <v>4</v>
      </c>
      <c r="C16" s="68">
        <f>VLOOKUP(B16,Log!$B$2:$C$8,2,)</f>
        <v>1</v>
      </c>
      <c r="D16" s="5">
        <v>7.72</v>
      </c>
      <c r="E16" s="32">
        <f>IF(OR(AND(OR(B16="Motorbike",B16="CNG",B16="Bicycle",B16="NMV"),D16-D15&lt;Log!$C$13),AND(NOT(OR(B16="Motorbike",B16="CNG",B16="Bicycle",B16="NMV")),D16-D15&lt;Log!$C$12)),0,IF(E15&lt;&gt;0,D16-D15,IF(E14=0,D16-D13,D16-D14)))</f>
        <v>1</v>
      </c>
      <c r="F16" s="104">
        <f t="shared" si="3"/>
        <v>1</v>
      </c>
      <c r="H16" s="71">
        <v>42</v>
      </c>
      <c r="I16" s="64" t="s">
        <v>5</v>
      </c>
      <c r="J16" s="68">
        <f>VLOOKUP(I16,Log!$B$2:$C$8,2,)</f>
        <v>0.38</v>
      </c>
      <c r="K16" s="4">
        <v>4.28</v>
      </c>
      <c r="L16" s="32">
        <f>IF(OR(AND(OR(I16="Motorbike",I16="CNG",I16="Bicycle",I16="NMV"),K16-K15&lt;Log!$C$13),AND(NOT(OR(I16="Motorbike",I16="CNG",I16="Bicycle",I16="NMV")),K16-K15&lt;Log!$C$12)),0,IF(L15&lt;&gt;0,K16-K15,IF(L14=0,K16-K13,K16-K14)))</f>
        <v>0</v>
      </c>
      <c r="M16" s="104">
        <f t="shared" si="4"/>
        <v>0</v>
      </c>
      <c r="N16" s="13"/>
      <c r="O16" s="58">
        <v>18</v>
      </c>
      <c r="P16" s="54" t="s">
        <v>5</v>
      </c>
      <c r="Q16" s="68">
        <f>VLOOKUP(P16,Log!$B$2:$C$8,2,)</f>
        <v>0.38</v>
      </c>
      <c r="R16" s="4">
        <v>3.88</v>
      </c>
      <c r="S16" s="32">
        <f>IF(OR(AND(OR(P16="Motorbike",P16="CNG",P16="Bicycle",P16="NMV"),R16-R15&lt;Log!$C$13),AND(NOT(OR(P16="Motorbike",P16="CNG",P16="Bicycle",P16="NMV")),R16-R15&lt;Log!$C$12)),0,IF(S15&lt;&gt;0,R16-R15,IF(S14=0,R16-R13,R16-R14)))</f>
        <v>1.7599999999999998</v>
      </c>
      <c r="T16" s="104">
        <f t="shared" si="5"/>
        <v>0.66879999999999995</v>
      </c>
    </row>
    <row r="17" spans="1:23" ht="15.75" thickBot="1" x14ac:dyDescent="0.3">
      <c r="A17" s="58">
        <v>46</v>
      </c>
      <c r="B17" s="54" t="s">
        <v>4</v>
      </c>
      <c r="C17" s="68">
        <f>VLOOKUP(B17,Log!$B$2:$C$8,2,)</f>
        <v>1</v>
      </c>
      <c r="D17" s="5">
        <v>9.7200000000000006</v>
      </c>
      <c r="E17" s="32">
        <f>IF(OR(AND(OR(B17="Motorbike",B17="CNG",B17="Bicycle",B17="NMV"),D17-D16&lt;Log!$C$13),AND(NOT(OR(B17="Motorbike",B17="CNG",B17="Bicycle",B17="NMV")),D17-D16&lt;Log!$C$12)),0,IF(E16&lt;&gt;0,D17-D16,IF(E15=0,D17-D14,D17-D15)))</f>
        <v>2.0000000000000009</v>
      </c>
      <c r="F17" s="104">
        <f t="shared" si="3"/>
        <v>2.0000000000000009</v>
      </c>
      <c r="H17" s="71">
        <v>7</v>
      </c>
      <c r="I17" s="70" t="s">
        <v>4</v>
      </c>
      <c r="J17" s="68">
        <f>VLOOKUP(I17,Log!$B$2:$C$8,2,)</f>
        <v>1</v>
      </c>
      <c r="K17" s="4">
        <v>5.6</v>
      </c>
      <c r="L17" s="32">
        <f>IF(OR(AND(OR(I17="Motorbike",I17="CNG",I17="Bicycle",I17="NMV"),K17-K16&lt;Log!$C$13),AND(NOT(OR(I17="Motorbike",I17="CNG",I17="Bicycle",I17="NMV")),K17-K16&lt;Log!$C$12)),0,IF(L16&lt;&gt;0,K17-K16,IF(L15=0,K17-K14,K17-K15)))</f>
        <v>1.7199999999999998</v>
      </c>
      <c r="M17" s="104">
        <f t="shared" si="4"/>
        <v>1.7199999999999998</v>
      </c>
      <c r="N17" s="13"/>
      <c r="O17" s="58">
        <v>17</v>
      </c>
      <c r="P17" s="69" t="s">
        <v>6</v>
      </c>
      <c r="Q17" s="68">
        <f>VLOOKUP(P17,Log!$B$2:$C$8,2,)</f>
        <v>0.45</v>
      </c>
      <c r="R17" s="4">
        <v>4.5999999999999996</v>
      </c>
      <c r="S17" s="149">
        <f>IF(OR(AND(OR(P17="Motorbike",P17="CNG",P17="Bicycle",P17="NMV"),R17-R16&lt;Log!$C$13),AND(NOT(OR(P17="Motorbike",P17="CNG",P17="Bicycle",P17="NMV")),R17-R16&lt;Log!$C$12)),0,IF(S16&lt;&gt;0,R17-R16,IF(S15=0,R17-R14,R17-R15)))</f>
        <v>0.71999999999999975</v>
      </c>
      <c r="T17" s="104">
        <f t="shared" si="5"/>
        <v>0.3239999999999999</v>
      </c>
    </row>
    <row r="18" spans="1:23" x14ac:dyDescent="0.25">
      <c r="A18" s="58">
        <v>63</v>
      </c>
      <c r="B18" s="54" t="s">
        <v>6</v>
      </c>
      <c r="C18" s="68">
        <f>VLOOKUP(B18,Log!$B$2:$C$8,2,)</f>
        <v>0.45</v>
      </c>
      <c r="D18" s="5">
        <v>11.08</v>
      </c>
      <c r="E18" s="32">
        <f>IF(OR(AND(OR(B18="Motorbike",B18="CNG",B18="Bicycle",B18="NMV"),D18-D17&lt;Log!$C$13),AND(NOT(OR(B18="Motorbike",B18="CNG",B18="Bicycle",B18="NMV")),D18-D17&lt;Log!$C$12)),0,IF(E17&lt;&gt;0,D18-D17,IF(E16=0,D18-D15,D18-D16)))</f>
        <v>1.3599999999999994</v>
      </c>
      <c r="F18" s="104">
        <f t="shared" si="3"/>
        <v>0.61199999999999977</v>
      </c>
      <c r="H18" s="71">
        <v>12</v>
      </c>
      <c r="I18" s="54" t="s">
        <v>4</v>
      </c>
      <c r="J18" s="68">
        <f>VLOOKUP(I18,Log!$B$2:$C$8,2,)</f>
        <v>1</v>
      </c>
      <c r="K18" s="4">
        <v>7.4</v>
      </c>
      <c r="L18" s="32">
        <f>IF(OR(AND(OR(I18="Motorbike",I18="CNG",I18="Bicycle",I18="NMV"),K18-K17&lt;Log!$C$13),AND(NOT(OR(I18="Motorbike",I18="CNG",I18="Bicycle",I18="NMV")),K18-K17&lt;Log!$C$12)),0,IF(L17&lt;&gt;0,K18-K17,IF(L16=0,K18-K15,K18-K16)))</f>
        <v>1.8000000000000007</v>
      </c>
      <c r="M18" s="104">
        <f t="shared" si="4"/>
        <v>1.8000000000000007</v>
      </c>
      <c r="N18" s="13"/>
      <c r="O18" s="58">
        <v>38</v>
      </c>
      <c r="P18" s="85" t="s">
        <v>5</v>
      </c>
      <c r="Q18" s="68">
        <f>VLOOKUP(P18,Log!$B$2:$C$8,2,)</f>
        <v>0.38</v>
      </c>
      <c r="R18" s="4">
        <v>5.72</v>
      </c>
      <c r="S18" s="32">
        <f>IF(OR(AND(OR(P18="Motorbike",P18="CNG",P18="Bicycle",P18="NMV"),R18-R17&lt;Log!$C$13),AND(NOT(OR(P18="Motorbike",P18="CNG",P18="Bicycle",P18="NMV")),R18-R17&lt;Log!$C$12)),0,IF(S17&lt;&gt;0,R18-R17,IF(S16=0,R18-R15,R18-R16)))</f>
        <v>1.1200000000000001</v>
      </c>
      <c r="T18" s="104">
        <f t="shared" si="5"/>
        <v>1.5456000000000001</v>
      </c>
    </row>
    <row r="19" spans="1:23" ht="15.75" thickBot="1" x14ac:dyDescent="0.3">
      <c r="A19" s="58">
        <v>84</v>
      </c>
      <c r="B19" s="69" t="s">
        <v>4</v>
      </c>
      <c r="C19" s="68">
        <f>VLOOKUP(B19,Log!$B$2:$C$8,2,)</f>
        <v>1</v>
      </c>
      <c r="D19" s="5">
        <v>12.48</v>
      </c>
      <c r="E19" s="32">
        <f>IF(OR(AND(OR(B19="Motorbike",B19="CNG",B19="Bicycle",B19="NMV"),D19-D18&lt;Log!$C$13),AND(NOT(OR(B19="Motorbike",B19="CNG",B19="Bicycle",B19="NMV")),D19-D18&lt;Log!$C$12)),0,IF(E18&lt;&gt;0,D19-D18,IF(E17=0,D19-D16,D19-D17)))</f>
        <v>1.4000000000000004</v>
      </c>
      <c r="F19" s="104">
        <f t="shared" si="3"/>
        <v>1.4000000000000004</v>
      </c>
      <c r="H19" s="71">
        <v>36</v>
      </c>
      <c r="I19" s="69" t="s">
        <v>4</v>
      </c>
      <c r="J19" s="68">
        <f>VLOOKUP(I19,Log!$B$2:$C$8,2,)</f>
        <v>1</v>
      </c>
      <c r="K19" s="4">
        <v>8.8000000000000007</v>
      </c>
      <c r="L19" s="32">
        <f>IF(OR(AND(OR(I19="Motorbike",I19="CNG",I19="Bicycle",I19="NMV"),K19-K18&lt;Log!$C$13),AND(NOT(OR(I19="Motorbike",I19="CNG",I19="Bicycle",I19="NMV")),K19-K18&lt;Log!$C$12)),0,IF(L18&lt;&gt;0,K19-K18,IF(L17=0,K19-K16,K19-K17)))</f>
        <v>1.4000000000000004</v>
      </c>
      <c r="M19" s="104">
        <f t="shared" si="4"/>
        <v>1.4000000000000004</v>
      </c>
      <c r="N19" s="13"/>
      <c r="O19" s="58">
        <v>6</v>
      </c>
      <c r="P19" s="86" t="s">
        <v>4</v>
      </c>
      <c r="Q19" s="68">
        <f>VLOOKUP(P19,Log!$B$2:$C$8,2,)</f>
        <v>1</v>
      </c>
      <c r="R19" s="4">
        <v>5.8</v>
      </c>
      <c r="S19" s="32">
        <f>IF(OR(AND(OR(P19="Motorbike",P19="CNG",P19="Bicycle",P19="NMV"),R19-R18&lt;Log!$C$13),AND(NOT(OR(P19="Motorbike",P19="CNG",P19="Bicycle",P19="NMV")),R19-R18&lt;Log!$C$12)),0,IF(S18&lt;&gt;0,R19-R18,IF(S17=0,R19-R16,R19-R17)))</f>
        <v>0</v>
      </c>
      <c r="T19" s="104">
        <f t="shared" si="5"/>
        <v>0</v>
      </c>
    </row>
    <row r="20" spans="1:23" ht="15.75" thickBot="1" x14ac:dyDescent="0.3">
      <c r="A20" s="58">
        <v>102</v>
      </c>
      <c r="B20" s="85" t="s">
        <v>6</v>
      </c>
      <c r="C20" s="68">
        <f>VLOOKUP(B20,Log!$B$2:$C$8,2,)</f>
        <v>0.45</v>
      </c>
      <c r="D20" s="5">
        <v>14.12</v>
      </c>
      <c r="E20" s="32">
        <f>IF(OR(AND(OR(B20="Motorbike",B20="CNG",B20="Bicycle",B20="NMV"),D20-D19&lt;Log!$C$13),AND(NOT(OR(B20="Motorbike",B20="CNG",B20="Bicycle",B20="NMV")),D20-D19&lt;Log!$C$12)),0,IF(E19&lt;&gt;0,D20-D19,IF(E18=0,D20-D17,D20-D18)))</f>
        <v>1.6399999999999988</v>
      </c>
      <c r="F20" s="104">
        <f t="shared" si="3"/>
        <v>2.3779999999999983</v>
      </c>
      <c r="H20" s="71">
        <v>37</v>
      </c>
      <c r="I20" s="57" t="s">
        <v>4</v>
      </c>
      <c r="J20" s="68">
        <f>VLOOKUP(I20,Log!$B$2:$C$8,2,)</f>
        <v>1</v>
      </c>
      <c r="K20" s="4">
        <v>10.48</v>
      </c>
      <c r="L20" s="32">
        <f>IF(OR(AND(OR(I20="Motorbike",I20="CNG",I20="Bicycle",I20="NMV"),K20-K19&lt;Log!$C$13),AND(NOT(OR(I20="Motorbike",I20="CNG",I20="Bicycle",I20="NMV")),K20-K19&lt;Log!$C$12)),0,IF(L19&lt;&gt;0,K20-K19,IF(L18=0,K20-K17,K20-K18)))</f>
        <v>1.6799999999999997</v>
      </c>
      <c r="M20" s="104">
        <f t="shared" si="4"/>
        <v>2.3183999999999996</v>
      </c>
      <c r="N20" s="13"/>
      <c r="O20" s="83">
        <v>52</v>
      </c>
      <c r="P20" s="81" t="s">
        <v>5</v>
      </c>
      <c r="Q20" s="84">
        <f>VLOOKUP(P20,Log!$B$2:$C$8,2,)</f>
        <v>0.38</v>
      </c>
      <c r="R20" s="49">
        <v>6.4</v>
      </c>
      <c r="S20" s="32">
        <f>IF(OR(AND(OR(P20="Motorbike",P20="CNG",P20="Bicycle",P20="NMV"),R20-R19&lt;Log!$C$13),AND(NOT(OR(P20="Motorbike",P20="CNG",P20="Bicycle",P20="NMV")),R20-R19&lt;Log!$C$12)),0,IF(S19&lt;&gt;0,R20-R19,IF(S18=0,R20-R17,R20-R18)))</f>
        <v>0.6800000000000006</v>
      </c>
      <c r="T20" s="104">
        <f t="shared" si="5"/>
        <v>0.25840000000000024</v>
      </c>
    </row>
    <row r="21" spans="1:23" ht="15.75" thickBot="1" x14ac:dyDescent="0.3">
      <c r="A21" s="58">
        <v>101</v>
      </c>
      <c r="B21" s="86" t="s">
        <v>4</v>
      </c>
      <c r="C21" s="68">
        <f>VLOOKUP(B21,Log!$B$2:$C$8,2,)</f>
        <v>1</v>
      </c>
      <c r="D21" s="5">
        <v>14.48</v>
      </c>
      <c r="E21" s="32">
        <f>IF(OR(AND(OR(B21="Motorbike",B21="CNG",B21="Bicycle",B21="NMV"),D21-D20&lt;Log!$C$13),AND(NOT(OR(B21="Motorbike",B21="CNG",B21="Bicycle",B21="NMV")),D21-D20&lt;Log!$C$12)),0,IF(E20&lt;&gt;0,D21-D20,IF(E19=0,D21-D18,D21-D19)))</f>
        <v>0</v>
      </c>
      <c r="F21" s="104">
        <f t="shared" si="3"/>
        <v>0</v>
      </c>
      <c r="H21" s="71">
        <v>95</v>
      </c>
      <c r="I21" s="59" t="s">
        <v>5</v>
      </c>
      <c r="J21" s="68">
        <f>VLOOKUP(I21,Log!$B$2:$C$8,2,)</f>
        <v>0.38</v>
      </c>
      <c r="K21" s="4">
        <v>10.88</v>
      </c>
      <c r="L21" s="32">
        <f>IF(OR(AND(OR(I21="Motorbike",I21="CNG",I21="Bicycle",I21="NMV"),K21-K20&lt;Log!$C$13),AND(NOT(OR(I21="Motorbike",I21="CNG",I21="Bicycle",I21="NMV")),K21-K20&lt;Log!$C$12)),0,IF(L20&lt;&gt;0,K21-K20,IF(L19=0,K21-K18,K21-K19)))</f>
        <v>0</v>
      </c>
      <c r="M21" s="104">
        <f t="shared" si="4"/>
        <v>0</v>
      </c>
      <c r="N21" s="13"/>
      <c r="O21" s="58">
        <v>40</v>
      </c>
      <c r="P21" s="85" t="s">
        <v>6</v>
      </c>
      <c r="Q21" s="68">
        <f>VLOOKUP(P21,Log!$B$2:$C$8,2,)</f>
        <v>0.45</v>
      </c>
      <c r="R21" s="4">
        <v>7.28</v>
      </c>
      <c r="S21" s="32">
        <f>IF(OR(AND(OR(P21="Motorbike",P21="CNG",P21="Bicycle",P21="NMV"),R21-R20&lt;Log!$C$13),AND(NOT(OR(P21="Motorbike",P21="CNG",P21="Bicycle",P21="NMV")),R21-R20&lt;Log!$C$12)),0,IF(S20&lt;&gt;0,R21-R20,IF(S19=0,R21-R18,R21-R19)))</f>
        <v>0.87999999999999989</v>
      </c>
      <c r="T21" s="104">
        <f t="shared" si="5"/>
        <v>0.73039999999999994</v>
      </c>
    </row>
    <row r="22" spans="1:23" ht="15.75" thickBot="1" x14ac:dyDescent="0.3">
      <c r="A22" s="58">
        <v>86</v>
      </c>
      <c r="B22" s="85" t="s">
        <v>4</v>
      </c>
      <c r="C22" s="68">
        <f>VLOOKUP(B22,Log!$B$2:$C$8,2,)</f>
        <v>1</v>
      </c>
      <c r="D22" s="5">
        <v>16.079999999999998</v>
      </c>
      <c r="E22" s="32">
        <f>IF(OR(AND(OR(B22="Motorbike",B22="CNG",B22="Bicycle",B22="NMV"),D22-D21&lt;Log!$C$13),AND(NOT(OR(B22="Motorbike",B22="CNG",B22="Bicycle",B22="NMV")),D22-D21&lt;Log!$C$12)),0,IF(E21&lt;&gt;0,D22-D21,IF(E20=0,D22-D19,D22-D20)))</f>
        <v>1.9599999999999991</v>
      </c>
      <c r="F22" s="104">
        <f t="shared" si="3"/>
        <v>2.8419999999999987</v>
      </c>
      <c r="H22" s="71">
        <v>49</v>
      </c>
      <c r="I22" s="57" t="s">
        <v>4</v>
      </c>
      <c r="J22" s="68">
        <f>VLOOKUP(I22,Log!$B$2:$C$8,2,)</f>
        <v>1</v>
      </c>
      <c r="K22" s="4">
        <v>13.08</v>
      </c>
      <c r="L22" s="32">
        <f>IF(OR(AND(OR(I22="Motorbike",I22="CNG",I22="Bicycle",I22="NMV"),K22-K21&lt;Log!$C$13),AND(NOT(OR(I22="Motorbike",I22="CNG",I22="Bicycle",I22="NMV")),K22-K21&lt;Log!$C$12)),0,IF(L21&lt;&gt;0,K22-K21,IF(L20=0,K22-K19,K22-K20)))</f>
        <v>2.5999999999999996</v>
      </c>
      <c r="M22" s="104">
        <f t="shared" si="4"/>
        <v>5.1999999999999993</v>
      </c>
      <c r="N22" s="13"/>
      <c r="O22" s="58">
        <v>39</v>
      </c>
      <c r="P22" s="86" t="s">
        <v>5</v>
      </c>
      <c r="Q22" s="68">
        <f>VLOOKUP(P22,Log!$B$2:$C$8,2,)</f>
        <v>0.38</v>
      </c>
      <c r="R22" s="4">
        <v>7.32</v>
      </c>
      <c r="S22" s="32">
        <f>IF(OR(AND(OR(P22="Motorbike",P22="CNG",P22="Bicycle",P22="NMV"),R22-R21&lt;Log!$C$13),AND(NOT(OR(P22="Motorbike",P22="CNG",P22="Bicycle",P22="NMV")),R22-R21&lt;Log!$C$12)),0,IF(S21&lt;&gt;0,R22-R21,IF(S20=0,R22-R19,R22-R20)))</f>
        <v>0</v>
      </c>
      <c r="T22" s="104">
        <f t="shared" si="5"/>
        <v>0</v>
      </c>
    </row>
    <row r="23" spans="1:23" ht="15.75" thickBot="1" x14ac:dyDescent="0.3">
      <c r="A23" s="59">
        <v>80</v>
      </c>
      <c r="B23" s="86" t="s">
        <v>6</v>
      </c>
      <c r="C23" s="68">
        <f>VLOOKUP(B23,Log!$B$2:$C$8,2,)</f>
        <v>0.45</v>
      </c>
      <c r="D23" s="5">
        <v>16.399999999999999</v>
      </c>
      <c r="E23" s="32">
        <f>IF(OR(AND(OR(B23="Motorbike",B23="CNG",B23="Bicycle",B23="NMV"),D23-D22&lt;Log!$C$13),AND(NOT(OR(B23="Motorbike",B23="CNG",B23="Bicycle",B23="NMV")),D23-D22&lt;Log!$C$12)),0,IF(E22&lt;&gt;0,D23-D22,IF(E21=0,D23-D20,D23-D21)))</f>
        <v>0</v>
      </c>
      <c r="F23" s="104">
        <f t="shared" si="3"/>
        <v>0</v>
      </c>
      <c r="H23" s="64">
        <v>68</v>
      </c>
      <c r="I23" s="59" t="s">
        <v>4</v>
      </c>
      <c r="J23" s="68">
        <f>VLOOKUP(I23,Log!$B$2:$C$8,2,)</f>
        <v>1</v>
      </c>
      <c r="K23" s="4">
        <v>13.32</v>
      </c>
      <c r="L23" s="32">
        <f>IF(OR(AND(OR(I23="Motorbike",I23="CNG",I23="Bicycle",I23="NMV"),K23-K22&lt;Log!$C$13),AND(NOT(OR(I23="Motorbike",I23="CNG",I23="Bicycle",I23="NMV")),K23-K22&lt;Log!$C$12)),0,IF(L22&lt;&gt;0,K23-K22,IF(L21=0,K23-K20,K23-K21)))</f>
        <v>0</v>
      </c>
      <c r="M23" s="104">
        <f t="shared" si="4"/>
        <v>0</v>
      </c>
      <c r="N23" s="13"/>
      <c r="O23" s="58">
        <v>48</v>
      </c>
      <c r="P23" s="82" t="s">
        <v>4</v>
      </c>
      <c r="Q23" s="5">
        <f>VLOOKUP(P23,Log!$B$2:$C$8,2,)</f>
        <v>1</v>
      </c>
      <c r="R23" s="4">
        <v>9.52</v>
      </c>
      <c r="S23" s="32">
        <f>IF(OR(AND(OR(P23="Motorbike",P23="CNG",P23="Bicycle",P23="NMV"),R23-R22&lt;Log!$C$13),AND(NOT(OR(P23="Motorbike",P23="CNG",P23="Bicycle",P23="NMV")),R23-R22&lt;Log!$C$12)),0,IF(S22&lt;&gt;0,R23-R22,IF(S21=0,R23-R20,R23-R21)))</f>
        <v>2.2399999999999993</v>
      </c>
      <c r="T23" s="104">
        <f t="shared" si="5"/>
        <v>2.2399999999999993</v>
      </c>
    </row>
    <row r="24" spans="1:23" ht="15.75" thickBot="1" x14ac:dyDescent="0.3">
      <c r="A24" s="56">
        <v>92</v>
      </c>
      <c r="B24" s="41" t="s">
        <v>4</v>
      </c>
      <c r="C24" s="68">
        <f>VLOOKUP(B24,Log!$B$2:$C$8,2,)</f>
        <v>1</v>
      </c>
      <c r="D24" s="5">
        <v>17.920000000000002</v>
      </c>
      <c r="E24" s="32">
        <f>IF(OR(AND(OR(B24="Motorbike",B24="CNG",B24="Bicycle",B24="NMV"),D24-D23&lt;Log!$C$13),AND(NOT(OR(B24="Motorbike",B24="CNG",B24="Bicycle",B24="NMV")),D24-D23&lt;Log!$C$12)),0,IF(E23&lt;&gt;0,D24-D23,IF(E22=0,D24-D21,D24-D22)))</f>
        <v>1.8400000000000034</v>
      </c>
      <c r="F24" s="104">
        <f t="shared" si="3"/>
        <v>1.8400000000000034</v>
      </c>
      <c r="H24" s="62">
        <v>92</v>
      </c>
      <c r="I24" s="56" t="s">
        <v>4</v>
      </c>
      <c r="J24" s="68">
        <f>VLOOKUP(I24,Log!$B$2:$C$8,2,)</f>
        <v>1</v>
      </c>
      <c r="K24" s="4">
        <v>18.2</v>
      </c>
      <c r="L24" s="32">
        <f>IF(OR(AND(OR(I24="Motorbike",I24="CNG",I24="Bicycle",I24="NMV"),K24-K23&lt;Log!$C$13),AND(NOT(OR(I24="Motorbike",I24="CNG",I24="Bicycle",I24="NMV")),K24-K23&lt;Log!$C$12)),0,IF(L23&lt;&gt;0,K24-K23,IF(L22=0,K24-K21,K24-K22)))</f>
        <v>5.1199999999999992</v>
      </c>
      <c r="M24" s="32">
        <f t="shared" si="4"/>
        <v>5.1199999999999992</v>
      </c>
      <c r="N24" s="13"/>
      <c r="O24" s="58">
        <v>59</v>
      </c>
      <c r="P24" s="85" t="s">
        <v>5</v>
      </c>
      <c r="Q24" s="68">
        <f>VLOOKUP(P24,Log!$B$2:$C$8,2,)</f>
        <v>0.38</v>
      </c>
      <c r="R24" s="4">
        <v>10.68</v>
      </c>
      <c r="S24" s="32">
        <f>IF(OR(AND(OR(P24="Motorbike",P24="CNG",P24="Bicycle",P24="NMV"),R24-R23&lt;Log!$C$13),AND(NOT(OR(P24="Motorbike",P24="CNG",P24="Bicycle",P24="NMV")),R24-R23&lt;Log!$C$12)),0,IF(S23&lt;&gt;0,R24-R23,IF(S22=0,R24-R21,R24-R22)))</f>
        <v>1.1600000000000001</v>
      </c>
      <c r="T24" s="104">
        <f t="shared" si="5"/>
        <v>0.88160000000000016</v>
      </c>
    </row>
    <row r="25" spans="1:23" ht="15.75" thickBot="1" x14ac:dyDescent="0.3">
      <c r="A25" s="17">
        <v>78</v>
      </c>
      <c r="B25" s="57" t="s">
        <v>4</v>
      </c>
      <c r="C25" s="68">
        <f>VLOOKUP(B25,Log!$B$2:$C$8,2,)</f>
        <v>1</v>
      </c>
      <c r="D25" s="5">
        <v>19.68</v>
      </c>
      <c r="E25" s="32">
        <f>IF(OR(AND(OR(B25="Motorbike",B25="CNG",B25="Bicycle",B25="NMV"),D25-D24&lt;Log!$C$13),AND(NOT(OR(B25="Motorbike",B25="CNG",B25="Bicycle",B25="NMV")),D25-D24&lt;Log!$C$12)),0,IF(E24&lt;&gt;0,D25-D24,IF(E23=0,D25-D22,D25-D23)))</f>
        <v>1.759999999999998</v>
      </c>
      <c r="F25" s="104">
        <f t="shared" si="3"/>
        <v>2.3407999999999975</v>
      </c>
      <c r="H25" s="61">
        <v>124</v>
      </c>
      <c r="I25" s="49" t="s">
        <v>4</v>
      </c>
      <c r="J25" s="68">
        <f>VLOOKUP(I25,Log!$B$2:$C$8,2,)</f>
        <v>1</v>
      </c>
      <c r="K25" s="4">
        <v>25.6</v>
      </c>
      <c r="L25" s="32">
        <f>IF(OR(AND(OR(I25="Motorbike",I25="CNG",I25="Bicycle",I25="NMV"),K25-K24&lt;Log!$C$13),AND(NOT(OR(I25="Motorbike",I25="CNG",I25="Bicycle",I25="NMV")),K25-K24&lt;Log!$C$12)),0,IF(L24&lt;&gt;0,K25-K24,IF(L23=0,K25-K22,K25-K23)))</f>
        <v>7.4000000000000021</v>
      </c>
      <c r="M25" s="32">
        <f t="shared" si="4"/>
        <v>7.4000000000000021</v>
      </c>
      <c r="N25" s="13"/>
      <c r="O25" s="58">
        <v>93</v>
      </c>
      <c r="P25" s="86" t="s">
        <v>5</v>
      </c>
      <c r="Q25" s="68">
        <f>VLOOKUP(P25,Log!$B$2:$C$8,2,)</f>
        <v>0.38</v>
      </c>
      <c r="R25" s="4">
        <v>10.8</v>
      </c>
      <c r="S25" s="32">
        <f>IF(OR(AND(OR(P25="Motorbike",P25="CNG",P25="Bicycle",P25="NMV"),R25-R24&lt;Log!$C$13),AND(NOT(OR(P25="Motorbike",P25="CNG",P25="Bicycle",P25="NMV")),R25-R24&lt;Log!$C$12)),0,IF(S24&lt;&gt;0,R25-R24,IF(S23=0,R25-R22,R25-R23)))</f>
        <v>0</v>
      </c>
      <c r="T25" s="104">
        <f t="shared" si="5"/>
        <v>0</v>
      </c>
    </row>
    <row r="26" spans="1:23" ht="15.75" thickBot="1" x14ac:dyDescent="0.3">
      <c r="A26" s="17">
        <v>161</v>
      </c>
      <c r="B26" s="59" t="s">
        <v>7</v>
      </c>
      <c r="C26" s="68">
        <f>VLOOKUP(B26,Log!$B$2:$C$8,2,)</f>
        <v>0.33</v>
      </c>
      <c r="D26" s="5">
        <v>20.079999999999998</v>
      </c>
      <c r="E26" s="32">
        <f>IF(OR(AND(OR(B26="Motorbike",B26="CNG",B26="Bicycle",B26="NMV"),D26-D25&lt;Log!$C$13),AND(NOT(OR(B26="Motorbike",B26="CNG",B26="Bicycle",B26="NMV")),D26-D25&lt;Log!$C$12)),0,IF(E25&lt;&gt;0,D26-D25,IF(E24=0,D26-D23,D26-D24)))</f>
        <v>0</v>
      </c>
      <c r="F26" s="104">
        <f t="shared" si="3"/>
        <v>0</v>
      </c>
      <c r="H26" s="63">
        <v>189</v>
      </c>
      <c r="I26" s="57" t="s">
        <v>4</v>
      </c>
      <c r="J26" s="68">
        <f>VLOOKUP(I26,Log!$B$2:$C$8,2,)</f>
        <v>1</v>
      </c>
      <c r="K26" s="4">
        <v>29.08</v>
      </c>
      <c r="L26" s="32">
        <f>IF(OR(AND(OR(I26="Motorbike",I26="CNG",I26="Bicycle",I26="NMV"),K26-K25&lt;Log!$C$13),AND(NOT(OR(I26="Motorbike",I26="CNG",I26="Bicycle",I26="NMV")),K26-K25&lt;Log!$C$12)),0,IF(L25&lt;&gt;0,K26-K25,IF(L24=0,K26-K23,K26-K24)))</f>
        <v>3.4799999999999969</v>
      </c>
      <c r="M26" s="32">
        <f t="shared" si="4"/>
        <v>6.9599999999999937</v>
      </c>
      <c r="N26" s="13"/>
      <c r="O26" s="58">
        <v>70</v>
      </c>
      <c r="P26" s="70" t="s">
        <v>6</v>
      </c>
      <c r="Q26" s="5">
        <f>VLOOKUP(P26,Log!$B$2:$C$8,2,)</f>
        <v>0.45</v>
      </c>
      <c r="R26" s="4">
        <v>11.52</v>
      </c>
      <c r="S26" s="32">
        <f>IF(OR(AND(OR(P26="Motorbike",P26="CNG",P26="Bicycle",P26="NMV"),R26-R25&lt;Log!$C$13),AND(NOT(OR(P26="Motorbike",P26="CNG",P26="Bicycle",P26="NMV")),R26-R25&lt;Log!$C$12)),0,IF(S25&lt;&gt;0,R26-R25,IF(S24=0,R26-R23,R26-R24)))</f>
        <v>0.83999999999999986</v>
      </c>
      <c r="T26" s="104">
        <f t="shared" si="5"/>
        <v>0.37799999999999995</v>
      </c>
    </row>
    <row r="27" spans="1:23" ht="15.75" thickBot="1" x14ac:dyDescent="0.3">
      <c r="A27" s="17">
        <v>125</v>
      </c>
      <c r="B27" s="57" t="s">
        <v>6</v>
      </c>
      <c r="C27" s="68">
        <f>VLOOKUP(B27,Log!$B$2:$C$8,2,)</f>
        <v>0.45</v>
      </c>
      <c r="D27" s="5">
        <v>20.68</v>
      </c>
      <c r="E27" s="32">
        <f>IF(OR(AND(OR(B27="Motorbike",B27="CNG",B27="Bicycle",B27="NMV"),D27-D26&lt;Log!$C$13),AND(NOT(OR(B27="Motorbike",B27="CNG",B27="Bicycle",B27="NMV")),D27-D26&lt;Log!$C$12)),0,IF(E26&lt;&gt;0,D27-D26,IF(E25=0,D27-D24,D27-D25)))</f>
        <v>1</v>
      </c>
      <c r="F27" s="104">
        <f t="shared" si="3"/>
        <v>0.83000000000000007</v>
      </c>
      <c r="H27" s="71">
        <v>144</v>
      </c>
      <c r="I27" s="59" t="s">
        <v>4</v>
      </c>
      <c r="J27" s="68">
        <f>VLOOKUP(I27,Log!$B$2:$C$8,2,)</f>
        <v>1</v>
      </c>
      <c r="K27" s="4">
        <v>29.28</v>
      </c>
      <c r="L27" s="32">
        <f>IF(OR(AND(OR(I27="Motorbike",I27="CNG",I27="Bicycle",I27="NMV"),K27-K26&lt;Log!$C$13),AND(NOT(OR(I27="Motorbike",I27="CNG",I27="Bicycle",I27="NMV")),K27-K26&lt;Log!$C$12)),0,IF(L26&lt;&gt;0,K27-K26,IF(L25=0,K27-K24,K27-K25)))</f>
        <v>0</v>
      </c>
      <c r="M27" s="32">
        <f t="shared" si="4"/>
        <v>0</v>
      </c>
      <c r="N27" s="13"/>
      <c r="O27" s="58">
        <v>89</v>
      </c>
      <c r="P27" s="69" t="s">
        <v>5</v>
      </c>
      <c r="Q27" s="5">
        <f>VLOOKUP(P27,Log!$B$2:$C$8,2,)</f>
        <v>0.38</v>
      </c>
      <c r="R27" s="4">
        <v>12.4</v>
      </c>
      <c r="S27" s="32">
        <f>IF(OR(AND(OR(P27="Motorbike",P27="CNG",P27="Bicycle",P27="NMV"),R27-R26&lt;Log!$C$13),AND(NOT(OR(P27="Motorbike",P27="CNG",P27="Bicycle",P27="NMV")),R27-R26&lt;Log!$C$12)),0,IF(S26&lt;&gt;0,R27-R26,IF(S25=0,R27-R24,R27-R25)))</f>
        <v>0.88000000000000078</v>
      </c>
      <c r="T27" s="104">
        <f t="shared" si="5"/>
        <v>0.33440000000000031</v>
      </c>
    </row>
    <row r="28" spans="1:23" ht="15.75" thickBot="1" x14ac:dyDescent="0.3">
      <c r="A28" s="17">
        <v>154</v>
      </c>
      <c r="B28" s="59" t="s">
        <v>5</v>
      </c>
      <c r="C28" s="68">
        <f>VLOOKUP(B28,Log!$B$2:$C$8,2,)</f>
        <v>0.38</v>
      </c>
      <c r="D28" s="5">
        <v>20.72</v>
      </c>
      <c r="E28" s="32">
        <f>IF(OR(AND(OR(B28="Motorbike",B28="CNG",B28="Bicycle",B28="NMV"),D28-D27&lt;Log!$C$13),AND(NOT(OR(B28="Motorbike",B28="CNG",B28="Bicycle",B28="NMV")),D28-D27&lt;Log!$C$12)),0,IF(E27&lt;&gt;0,D28-D27,IF(E26=0,D28-D25,D28-D26)))</f>
        <v>0</v>
      </c>
      <c r="F28" s="104">
        <f t="shared" si="3"/>
        <v>0</v>
      </c>
      <c r="H28" s="58">
        <v>210</v>
      </c>
      <c r="I28" s="70" t="s">
        <v>4</v>
      </c>
      <c r="J28" s="5">
        <f>VLOOKUP(I28,Log!$B$2:$C$8,2,)</f>
        <v>1</v>
      </c>
      <c r="K28" s="4">
        <v>30.68</v>
      </c>
      <c r="L28" s="32">
        <f>IF(OR(AND(OR(I28="Motorbike",I28="CNG",I28="Bicycle",I28="NMV"),K28-K27&lt;Log!$C$13),AND(NOT(OR(I28="Motorbike",I28="CNG",I28="Bicycle",I28="NMV")),K28-K27&lt;Log!$C$12)),0,IF(L27&lt;&gt;0,K28-K27,IF(L26=0,K28-K25,K28-K26)))</f>
        <v>1.6000000000000014</v>
      </c>
      <c r="M28" s="32">
        <f t="shared" si="4"/>
        <v>1.6000000000000014</v>
      </c>
      <c r="N28" s="13"/>
      <c r="O28" s="58">
        <v>49</v>
      </c>
      <c r="P28" s="85" t="s">
        <v>4</v>
      </c>
      <c r="Q28" s="68">
        <f>VLOOKUP(P28,Log!$B$2:$C$8,2,)</f>
        <v>1</v>
      </c>
      <c r="R28" s="4">
        <v>13.52</v>
      </c>
      <c r="S28" s="32">
        <f>IF(OR(AND(OR(P28="Motorbike",P28="CNG",P28="Bicycle",P28="NMV"),R28-R27&lt;Log!$C$13),AND(NOT(OR(P28="Motorbike",P28="CNG",P28="Bicycle",P28="NMV")),R28-R27&lt;Log!$C$12)),0,IF(S27&lt;&gt;0,R28-R27,IF(S26=0,R28-R25,R28-R26)))</f>
        <v>1.1199999999999992</v>
      </c>
      <c r="T28" s="104">
        <f t="shared" si="5"/>
        <v>1.5455999999999988</v>
      </c>
    </row>
    <row r="29" spans="1:23" ht="15.75" thickBot="1" x14ac:dyDescent="0.3">
      <c r="A29" s="4">
        <v>136</v>
      </c>
      <c r="B29" s="56" t="s">
        <v>6</v>
      </c>
      <c r="C29" s="68">
        <f>VLOOKUP(B29,Log!$B$2:$C$8,2,)</f>
        <v>0.45</v>
      </c>
      <c r="D29" s="5">
        <v>21.6</v>
      </c>
      <c r="E29" s="32">
        <f>IF(OR(AND(OR(B29="Motorbike",B29="CNG",B29="Bicycle",B29="NMV"),D29-D28&lt;Log!$C$13),AND(NOT(OR(B29="Motorbike",B29="CNG",B29="Bicycle",B29="NMV")),D29-D28&lt;Log!$C$12)),0,IF(E28&lt;&gt;0,D29-D28,IF(E27=0,D29-D26,D29-D27)))</f>
        <v>0.92000000000000171</v>
      </c>
      <c r="F29" s="104">
        <f t="shared" si="3"/>
        <v>1.6836000000000031</v>
      </c>
      <c r="H29" s="58">
        <v>213</v>
      </c>
      <c r="I29" s="69" t="s">
        <v>4</v>
      </c>
      <c r="J29" s="5">
        <f>VLOOKUP(I29,Log!$B$2:$C$8,2,)</f>
        <v>1</v>
      </c>
      <c r="K29" s="4">
        <v>32.32</v>
      </c>
      <c r="L29" s="32">
        <f>IF(OR(AND(OR(I29="Motorbike",I29="CNG",I29="Bicycle",I29="NMV"),K29-K28&lt;Log!$C$13),AND(NOT(OR(I29="Motorbike",I29="CNG",I29="Bicycle",I29="NMV")),K29-K28&lt;Log!$C$12)),0,IF(L28&lt;&gt;0,K29-K28,IF(L27=0,K29-K26,K29-K27)))</f>
        <v>1.6400000000000006</v>
      </c>
      <c r="M29" s="32">
        <f t="shared" si="4"/>
        <v>1.6400000000000006</v>
      </c>
      <c r="N29" s="13"/>
      <c r="O29" s="58">
        <v>103</v>
      </c>
      <c r="P29" s="86" t="s">
        <v>5</v>
      </c>
      <c r="Q29" s="68">
        <f>VLOOKUP(P29,Log!$B$2:$C$8,2,)</f>
        <v>0.38</v>
      </c>
      <c r="R29" s="4">
        <v>13.6</v>
      </c>
      <c r="S29" s="32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104">
        <f t="shared" si="5"/>
        <v>0</v>
      </c>
      <c r="W29" s="11"/>
    </row>
    <row r="30" spans="1:23" x14ac:dyDescent="0.25">
      <c r="A30" s="4">
        <v>169</v>
      </c>
      <c r="B30" s="4" t="s">
        <v>5</v>
      </c>
      <c r="C30" s="68">
        <f>VLOOKUP(B30,Log!$B$2:$C$8,2,)</f>
        <v>0.38</v>
      </c>
      <c r="D30" s="5">
        <v>22.08</v>
      </c>
      <c r="E30" s="32">
        <f>IF(OR(AND(OR(B30="Motorbike",B30="CNG",B30="Bicycle",B30="NMV"),D30-D29&lt;Log!$C$13),AND(NOT(OR(B30="Motorbike",B30="CNG",B30="Bicycle",B30="NMV")),D30-D29&lt;Log!$C$12)),0,IF(E29&lt;&gt;0,D30-D29,IF(E28=0,D30-D27,D30-D28)))</f>
        <v>0</v>
      </c>
      <c r="F30" s="104">
        <f t="shared" si="3"/>
        <v>0</v>
      </c>
      <c r="H30" s="58">
        <v>229</v>
      </c>
      <c r="I30" s="57" t="s">
        <v>4</v>
      </c>
      <c r="J30" s="68">
        <f>VLOOKUP(I30,Log!$B$2:$C$8,2,)</f>
        <v>1</v>
      </c>
      <c r="K30" s="4">
        <v>34.799999999999997</v>
      </c>
      <c r="L30" s="32">
        <f>IF(OR(AND(OR(I30="Motorbike",I30="CNG",I30="Bicycle",I30="NMV"),K30-K29&lt;Log!$C$13),AND(NOT(OR(I30="Motorbike",I30="CNG",I30="Bicycle",I30="NMV")),K30-K29&lt;Log!$C$12)),0,IF(L29&lt;&gt;0,K30-K29,IF(L28=0,K30-K27,K30-K28)))</f>
        <v>2.4799999999999969</v>
      </c>
      <c r="M30" s="32">
        <f t="shared" si="4"/>
        <v>4.9599999999999937</v>
      </c>
      <c r="N30" s="13"/>
      <c r="O30" s="58">
        <v>118</v>
      </c>
      <c r="P30" s="70" t="s">
        <v>5</v>
      </c>
      <c r="Q30" s="5">
        <f>VLOOKUP(P30,Log!$B$2:$C$8,2,)</f>
        <v>0.38</v>
      </c>
      <c r="R30" s="4">
        <v>14.72</v>
      </c>
      <c r="S30" s="32">
        <f>IF(OR(AND(OR(P30="Motorbike",P30="CNG",P30="Bicycle",P30="NMV"),R30-R29&lt;Log!$C$13),AND(NOT(OR(P30="Motorbike",P30="CNG",P30="Bicycle",P30="NMV")),R30-R29&lt;Log!$C$12)),0,IF(S29&lt;&gt;0,R30-R29,IF(S28=0,R30-R27,R30-R28)))</f>
        <v>1.2000000000000011</v>
      </c>
      <c r="T30" s="104">
        <f t="shared" si="5"/>
        <v>0.996000000000001</v>
      </c>
      <c r="W30" s="11"/>
    </row>
    <row r="31" spans="1:23" ht="15.75" thickBot="1" x14ac:dyDescent="0.3">
      <c r="A31" s="4">
        <v>117</v>
      </c>
      <c r="B31" s="4" t="s">
        <v>4</v>
      </c>
      <c r="C31" s="68">
        <f>VLOOKUP(B31,Log!$B$2:$C$8,2,)</f>
        <v>1</v>
      </c>
      <c r="D31" s="5">
        <v>22.52</v>
      </c>
      <c r="E31" s="32">
        <f>IF(OR(AND(OR(B31="Motorbike",B31="CNG",B31="Bicycle",B31="NMV"),D31-D30&lt;Log!$C$13),AND(NOT(OR(B31="Motorbike",B31="CNG",B31="Bicycle",B31="NMV")),D31-D30&lt;Log!$C$12)),0,IF(E30&lt;&gt;0,D31-D30,IF(E29=0,D31-D28,D31-D29)))</f>
        <v>0</v>
      </c>
      <c r="F31" s="104">
        <f t="shared" si="3"/>
        <v>0</v>
      </c>
      <c r="H31" s="58">
        <v>226</v>
      </c>
      <c r="I31" s="59" t="s">
        <v>4</v>
      </c>
      <c r="J31" s="68">
        <f>VLOOKUP(I31,Log!$B$2:$C$8,2,)</f>
        <v>1</v>
      </c>
      <c r="K31" s="4">
        <v>35.200000000000003</v>
      </c>
      <c r="L31" s="32">
        <f>IF(OR(AND(OR(I31="Motorbike",I31="CNG",I31="Bicycle",I31="NMV"),K31-K30&lt;Log!$C$13),AND(NOT(OR(I31="Motorbike",I31="CNG",I31="Bicycle",I31="NMV")),K31-K30&lt;Log!$C$12)),0,IF(L30&lt;&gt;0,K31-K30,IF(L29=0,K31-K28,K31-K29)))</f>
        <v>0</v>
      </c>
      <c r="M31" s="32">
        <f t="shared" si="4"/>
        <v>0</v>
      </c>
      <c r="N31" s="13"/>
      <c r="O31" s="58">
        <v>110</v>
      </c>
      <c r="P31" s="54" t="s">
        <v>6</v>
      </c>
      <c r="Q31" s="5">
        <f>VLOOKUP(P31,Log!$B$2:$C$8,2,)</f>
        <v>0.45</v>
      </c>
      <c r="R31" s="4">
        <v>15.12</v>
      </c>
      <c r="S31" s="32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104">
        <f t="shared" si="5"/>
        <v>0</v>
      </c>
      <c r="W31" s="11"/>
    </row>
    <row r="32" spans="1:23" ht="15.75" thickBot="1" x14ac:dyDescent="0.3">
      <c r="A32" s="4">
        <v>184</v>
      </c>
      <c r="B32" s="49" t="s">
        <v>5</v>
      </c>
      <c r="C32" s="68">
        <f>VLOOKUP(B32,Log!$B$2:$C$8,2,)</f>
        <v>0.38</v>
      </c>
      <c r="D32" s="5">
        <v>24.28</v>
      </c>
      <c r="E32" s="32">
        <f>IF(OR(AND(OR(B32="Motorbike",B32="CNG",B32="Bicycle",B32="NMV"),D32-D31&lt;Log!$C$13),AND(NOT(OR(B32="Motorbike",B32="CNG",B32="Bicycle",B32="NMV")),D32-D31&lt;Log!$C$12)),0,IF(E31&lt;&gt;0,D32-D31,IF(E30=0,D32-D29,D32-D30)))</f>
        <v>2.6799999999999997</v>
      </c>
      <c r="F32" s="104">
        <f t="shared" si="3"/>
        <v>1.0184</v>
      </c>
      <c r="H32" s="58">
        <v>237</v>
      </c>
      <c r="I32" s="70" t="s">
        <v>4</v>
      </c>
      <c r="J32" s="5">
        <f>VLOOKUP(I32,Log!$B$2:$C$8,2,)</f>
        <v>1</v>
      </c>
      <c r="K32" s="4">
        <v>37.08</v>
      </c>
      <c r="L32" s="32">
        <f>IF(OR(AND(OR(I32="Motorbike",I32="CNG",I32="Bicycle",I32="NMV"),K32-K31&lt;Log!$C$13),AND(NOT(OR(I32="Motorbike",I32="CNG",I32="Bicycle",I32="NMV")),K32-K31&lt;Log!$C$12)),0,IF(L31&lt;&gt;0,K32-K31,IF(L30=0,K32-K29,K32-K30)))</f>
        <v>2.2800000000000011</v>
      </c>
      <c r="M32" s="32">
        <f t="shared" si="4"/>
        <v>2.2800000000000011</v>
      </c>
      <c r="N32" s="13"/>
      <c r="O32" s="95">
        <v>134</v>
      </c>
      <c r="P32" s="54" t="s">
        <v>5</v>
      </c>
      <c r="Q32" s="5">
        <f>VLOOKUP(P32,Log!$B$2:$C$8,2,)</f>
        <v>0.38</v>
      </c>
      <c r="R32" s="4">
        <v>16.72</v>
      </c>
      <c r="S32" s="32">
        <f>IF(OR(AND(OR(P32="Motorbike",P32="CNG",P32="Bicycle",P32="NMV"),R32-R31&lt;Log!$C$13),AND(NOT(OR(P32="Motorbike",P32="CNG",P32="Bicycle",P32="NMV")),R32-R31&lt;Log!$C$12)),0,IF(S31&lt;&gt;0,R32-R31,IF(S30=0,R32-R29,R32-R30)))</f>
        <v>1.9999999999999982</v>
      </c>
      <c r="T32" s="104">
        <f t="shared" si="5"/>
        <v>0.75999999999999934</v>
      </c>
      <c r="W32" s="11"/>
    </row>
    <row r="33" spans="1:23" x14ac:dyDescent="0.25">
      <c r="A33" s="17">
        <v>153</v>
      </c>
      <c r="B33" s="57" t="s">
        <v>4</v>
      </c>
      <c r="C33" s="68">
        <f>VLOOKUP(B33,Log!$B$2:$C$8,2,)</f>
        <v>1</v>
      </c>
      <c r="D33" s="5">
        <v>27.28</v>
      </c>
      <c r="E33" s="32">
        <f>IF(OR(AND(OR(B33="Motorbike",B33="CNG",B33="Bicycle",B33="NMV"),D33-D32&lt;Log!$C$13),AND(NOT(OR(B33="Motorbike",B33="CNG",B33="Bicycle",B33="NMV")),D33-D32&lt;Log!$C$12)),0,IF(E32&lt;&gt;0,D33-D32,IF(E31=0,D33-D30,D33-D31)))</f>
        <v>3</v>
      </c>
      <c r="F33" s="104">
        <f t="shared" si="3"/>
        <v>5.49</v>
      </c>
      <c r="H33" s="58">
        <v>228</v>
      </c>
      <c r="I33" s="54" t="s">
        <v>7</v>
      </c>
      <c r="J33" s="5">
        <f>VLOOKUP(I33,Log!$B$2:$C$8,2,)</f>
        <v>0.33</v>
      </c>
      <c r="K33" s="4">
        <v>38.799999999999997</v>
      </c>
      <c r="L33" s="32">
        <f>IF(OR(AND(OR(I33="Motorbike",I33="CNG",I33="Bicycle",I33="NMV"),K33-K32&lt;Log!$C$13),AND(NOT(OR(I33="Motorbike",I33="CNG",I33="Bicycle",I33="NMV")),K33-K32&lt;Log!$C$12)),0,IF(L32&lt;&gt;0,K33-K32,IF(L31=0,K33-K30,K33-K31)))</f>
        <v>1.7199999999999989</v>
      </c>
      <c r="M33" s="32">
        <f t="shared" si="4"/>
        <v>0.56759999999999966</v>
      </c>
      <c r="N33" s="13"/>
      <c r="O33" s="56">
        <v>109</v>
      </c>
      <c r="P33" s="54" t="s">
        <v>5</v>
      </c>
      <c r="Q33" s="5">
        <f>VLOOKUP(P33,Log!$B$2:$C$8,2,)</f>
        <v>0.38</v>
      </c>
      <c r="R33" s="4">
        <v>18.8</v>
      </c>
      <c r="S33" s="32">
        <f>IF(OR(AND(OR(P33="Motorbike",P33="CNG",P33="Bicycle",P33="NMV"),R33-R32&lt;Log!$C$13),AND(NOT(OR(P33="Motorbike",P33="CNG",P33="Bicycle",P33="NMV")),R33-R32&lt;Log!$C$12)),0,IF(S32&lt;&gt;0,R33-R32,IF(S31=0,R33-R30,R33-R31)))</f>
        <v>2.0800000000000018</v>
      </c>
      <c r="T33" s="104">
        <f t="shared" si="5"/>
        <v>0.79040000000000066</v>
      </c>
      <c r="W33" s="11"/>
    </row>
    <row r="34" spans="1:23" ht="15.75" thickBot="1" x14ac:dyDescent="0.3">
      <c r="A34" s="17">
        <v>165</v>
      </c>
      <c r="B34" s="58" t="s">
        <v>6</v>
      </c>
      <c r="C34" s="68">
        <f>VLOOKUP(B34,Log!$B$2:$C$8,2,)</f>
        <v>0.45</v>
      </c>
      <c r="D34" s="5">
        <v>27.4</v>
      </c>
      <c r="E34" s="32">
        <f>IF(OR(AND(OR(B34="Motorbike",B34="CNG",B34="Bicycle",B34="NMV"),D34-D33&lt;Log!$C$13),AND(NOT(OR(B34="Motorbike",B34="CNG",B34="Bicycle",B34="NMV")),D34-D33&lt;Log!$C$12)),0,IF(E33&lt;&gt;0,D34-D33,IF(E32=0,D34-D31,D34-D32)))</f>
        <v>0</v>
      </c>
      <c r="F34" s="104">
        <f t="shared" si="3"/>
        <v>0</v>
      </c>
      <c r="H34" s="79">
        <v>256</v>
      </c>
      <c r="I34" s="78" t="s">
        <v>18</v>
      </c>
      <c r="J34" s="5">
        <f>VLOOKUP(I34,Log!$B$2:$C$8,2,)</f>
        <v>1.02</v>
      </c>
      <c r="K34" s="4">
        <v>41.8</v>
      </c>
      <c r="L34" s="32">
        <f>IF(OR(AND(OR(I34="Motorbike",I34="CNG",I34="Bicycle",I34="NMV"),K34-K33&lt;Log!$C$13),AND(NOT(OR(I34="Motorbike",I34="CNG",I34="Bicycle",I34="NMV")),K34-K33&lt;Log!$C$12)),0,IF(L33&lt;&gt;0,K34-K33,IF(L32=0,K34-K31,K34-K32)))</f>
        <v>3</v>
      </c>
      <c r="M34" s="32">
        <f t="shared" si="4"/>
        <v>6.0600000000000005</v>
      </c>
      <c r="N34" s="13"/>
      <c r="O34" s="41">
        <v>148</v>
      </c>
      <c r="P34" s="4" t="s">
        <v>4</v>
      </c>
      <c r="Q34" s="5">
        <f>VLOOKUP(P34,Log!$B$2:$C$8,2,)</f>
        <v>1</v>
      </c>
      <c r="R34" s="4">
        <v>24</v>
      </c>
      <c r="S34" s="32">
        <f>IF(OR(AND(OR(P34="Motorbike",P34="CNG",P34="Bicycle",P34="NMV"),R34-R33&lt;Log!$C$13),AND(NOT(OR(P34="Motorbike",P34="CNG",P34="Bicycle",P34="NMV")),R34-R33&lt;Log!$C$12)),0,IF(S33&lt;&gt;0,R34-R33,IF(S32=0,R34-R31,R34-R32)))</f>
        <v>5.1999999999999993</v>
      </c>
      <c r="T34" s="32">
        <f t="shared" si="5"/>
        <v>5.1999999999999993</v>
      </c>
      <c r="W34" s="11"/>
    </row>
    <row r="35" spans="1:23" ht="15.75" thickBot="1" x14ac:dyDescent="0.3">
      <c r="A35" s="17">
        <v>209</v>
      </c>
      <c r="B35" s="59" t="s">
        <v>5</v>
      </c>
      <c r="C35" s="68">
        <f>VLOOKUP(B35,Log!$B$2:$C$8,2,)</f>
        <v>0.38</v>
      </c>
      <c r="D35" s="5">
        <v>27.72</v>
      </c>
      <c r="E35" s="32">
        <f>IF(OR(AND(OR(B35="Motorbike",B35="CNG",B35="Bicycle",B35="NMV"),D35-D34&lt;Log!$C$13),AND(NOT(OR(B35="Motorbike",B35="CNG",B35="Bicycle",B35="NMV")),D35-D34&lt;Log!$C$12)),0,IF(E34&lt;&gt;0,D35-D34,IF(E33=0,D35-D32,D35-D33)))</f>
        <v>0</v>
      </c>
      <c r="F35" s="104">
        <f t="shared" si="3"/>
        <v>0</v>
      </c>
      <c r="H35" s="80">
        <v>267</v>
      </c>
      <c r="I35" s="54" t="s">
        <v>4</v>
      </c>
      <c r="J35" s="5">
        <f>VLOOKUP(I35,Log!$B$2:$C$8,2,)</f>
        <v>1</v>
      </c>
      <c r="K35" s="4">
        <v>42.6</v>
      </c>
      <c r="L35" s="32">
        <f>IF(OR(AND(OR(I35="Motorbike",I35="CNG",I35="Bicycle",I35="NMV"),K35-K34&lt;Log!$C$13),AND(NOT(OR(I35="Motorbike",I35="CNG",I35="Bicycle",I35="NMV")),K35-K34&lt;Log!$C$12)),0,IF(L34&lt;&gt;0,K35-K34,IF(L33=0,K35-K32,K35-K33)))</f>
        <v>0</v>
      </c>
      <c r="M35" s="32">
        <f t="shared" si="4"/>
        <v>0</v>
      </c>
      <c r="O35" s="57">
        <v>176</v>
      </c>
      <c r="P35" s="54" t="s">
        <v>4</v>
      </c>
      <c r="Q35" s="5">
        <f>VLOOKUP(P35,Log!$B$2:$C$8,2,)</f>
        <v>1</v>
      </c>
      <c r="R35" s="4">
        <v>27.12</v>
      </c>
      <c r="S35" s="32">
        <f>IF(OR(AND(OR(P35="Motorbike",P35="CNG",P35="Bicycle",P35="NMV"),R35-R34&lt;Log!$C$13),AND(NOT(OR(P35="Motorbike",P35="CNG",P35="Bicycle",P35="NMV")),R35-R34&lt;Log!$C$12)),0,IF(S34&lt;&gt;0,R35-R34,IF(S33=0,R35-R32,R35-R33)))</f>
        <v>3.120000000000001</v>
      </c>
      <c r="T35" s="32">
        <f t="shared" si="5"/>
        <v>3.120000000000001</v>
      </c>
      <c r="W35" s="11"/>
    </row>
    <row r="36" spans="1:23" x14ac:dyDescent="0.25">
      <c r="A36" s="4">
        <v>191</v>
      </c>
      <c r="B36" s="56" t="s">
        <v>4</v>
      </c>
      <c r="C36" s="68">
        <f>VLOOKUP(B36,Log!$B$2:$C$8,2,)</f>
        <v>1</v>
      </c>
      <c r="D36" s="5">
        <v>29.88</v>
      </c>
      <c r="E36" s="32">
        <f>IF(OR(AND(OR(B36="Motorbike",B36="CNG",B36="Bicycle",B36="NMV"),D36-D35&lt;Log!$C$13),AND(NOT(OR(B36="Motorbike",B36="CNG",B36="Bicycle",B36="NMV")),D36-D35&lt;Log!$C$12)),0,IF(E35&lt;&gt;0,D36-D35,IF(E34=0,D36-D33,D36-D34)))</f>
        <v>2.5999999999999979</v>
      </c>
      <c r="F36" s="104">
        <f t="shared" si="3"/>
        <v>2.5999999999999979</v>
      </c>
      <c r="H36" s="53"/>
      <c r="J36" s="13"/>
      <c r="L36" s="52"/>
      <c r="M36" s="52"/>
      <c r="O36" s="58">
        <v>202</v>
      </c>
      <c r="P36" s="54" t="s">
        <v>6</v>
      </c>
      <c r="Q36" s="5">
        <f>VLOOKUP(P36,Log!$B$2:$C$8,2,)</f>
        <v>0.45</v>
      </c>
      <c r="R36" s="4">
        <v>30.08</v>
      </c>
      <c r="S36" s="32">
        <f>IF(OR(AND(OR(P36="Motorbike",P36="CNG",P36="Bicycle",P36="NMV"),R36-R35&lt;Log!$C$13),AND(NOT(OR(P36="Motorbike",P36="CNG",P36="Bicycle",P36="NMV")),R36-R35&lt;Log!$C$12)),0,IF(S35&lt;&gt;0,R36-R35,IF(S34=0,R36-R33,R36-R34)))</f>
        <v>2.9599999999999973</v>
      </c>
      <c r="T36" s="32">
        <f t="shared" si="5"/>
        <v>1.3319999999999987</v>
      </c>
      <c r="W36" s="11"/>
    </row>
    <row r="37" spans="1:23" x14ac:dyDescent="0.25">
      <c r="A37" s="4">
        <v>186</v>
      </c>
      <c r="B37" s="4" t="s">
        <v>4</v>
      </c>
      <c r="C37" s="68">
        <f>VLOOKUP(B37,Log!$B$2:$C$8,2,)</f>
        <v>1</v>
      </c>
      <c r="D37" s="5">
        <v>30.88</v>
      </c>
      <c r="E37" s="32">
        <f>IF(OR(AND(OR(B37="Motorbike",B37="CNG",B37="Bicycle",B37="NMV"),D37-D36&lt;Log!$C$13),AND(NOT(OR(B37="Motorbike",B37="CNG",B37="Bicycle",B37="NMV")),D37-D36&lt;Log!$C$12)),0,IF(E36&lt;&gt;0,D37-D36,IF(E35=0,D37-D34,D37-D35)))</f>
        <v>1</v>
      </c>
      <c r="F37" s="104">
        <f t="shared" si="3"/>
        <v>1</v>
      </c>
      <c r="H37" s="53"/>
      <c r="J37" s="13"/>
      <c r="L37" s="52"/>
      <c r="M37" s="52"/>
      <c r="O37" s="58">
        <v>208</v>
      </c>
      <c r="P37" s="54" t="s">
        <v>4</v>
      </c>
      <c r="Q37" s="5">
        <f>VLOOKUP(P37,Log!$B$2:$C$8,2,)</f>
        <v>1</v>
      </c>
      <c r="R37" s="4">
        <v>31.52</v>
      </c>
      <c r="S37" s="32">
        <f>IF(OR(AND(OR(P37="Motorbike",P37="CNG",P37="Bicycle",P37="NMV"),R37-R36&lt;Log!$C$13),AND(NOT(OR(P37="Motorbike",P37="CNG",P37="Bicycle",P37="NMV")),R37-R36&lt;Log!$C$12)),0,IF(S36&lt;&gt;0,R37-R36,IF(S35=0,R37-R34,R37-R35)))</f>
        <v>1.4400000000000013</v>
      </c>
      <c r="T37" s="32">
        <f t="shared" si="5"/>
        <v>1.4400000000000013</v>
      </c>
      <c r="W37" s="11"/>
    </row>
    <row r="38" spans="1:23" ht="15.75" thickBot="1" x14ac:dyDescent="0.3">
      <c r="A38" s="4">
        <v>212</v>
      </c>
      <c r="B38" s="4" t="s">
        <v>4</v>
      </c>
      <c r="C38" s="68">
        <f>VLOOKUP(B38,Log!$B$2:$C$8,2,)</f>
        <v>1</v>
      </c>
      <c r="D38" s="5">
        <v>33.520000000000003</v>
      </c>
      <c r="E38" s="32">
        <f>IF(OR(AND(OR(B38="Motorbike",B38="CNG",B38="Bicycle",B38="NMV"),D38-D37&lt;Log!$C$13),AND(NOT(OR(B38="Motorbike",B38="CNG",B38="Bicycle",B38="NMV")),D38-D37&lt;Log!$C$12)),0,IF(E37&lt;&gt;0,D38-D37,IF(E36=0,D38-D35,D38-D36)))</f>
        <v>2.6400000000000041</v>
      </c>
      <c r="F38" s="104">
        <f t="shared" si="3"/>
        <v>2.6400000000000041</v>
      </c>
      <c r="O38" s="58">
        <v>222</v>
      </c>
      <c r="P38" s="69" t="s">
        <v>4</v>
      </c>
      <c r="Q38" s="5">
        <f>VLOOKUP(P38,Log!$B$2:$C$8,2,)</f>
        <v>1</v>
      </c>
      <c r="R38" s="4">
        <v>33.6</v>
      </c>
      <c r="S38" s="32">
        <f>IF(OR(AND(OR(P38="Motorbike",P38="CNG",P38="Bicycle",P38="NMV"),R38-R37&lt;Log!$C$13),AND(NOT(OR(P38="Motorbike",P38="CNG",P38="Bicycle",P38="NMV")),R38-R37&lt;Log!$C$12)),0,IF(S37&lt;&gt;0,R38-R37,IF(S36=0,R38-R35,R38-R36)))</f>
        <v>2.0800000000000018</v>
      </c>
      <c r="T38" s="32">
        <f t="shared" si="5"/>
        <v>2.0800000000000018</v>
      </c>
      <c r="W38" s="11"/>
    </row>
    <row r="39" spans="1:23" x14ac:dyDescent="0.25">
      <c r="O39" s="58">
        <v>226</v>
      </c>
      <c r="P39" s="57" t="s">
        <v>4</v>
      </c>
      <c r="Q39" s="68">
        <f>VLOOKUP(P39,Log!$B$2:$C$8,2,)</f>
        <v>1</v>
      </c>
      <c r="R39" s="4">
        <v>35.4</v>
      </c>
      <c r="S39" s="32">
        <f>IF(OR(AND(OR(P39="Motorbike",P39="CNG",P39="Bicycle",P39="NMV"),R39-R38&lt;Log!$C$13),AND(NOT(OR(P39="Motorbike",P39="CNG",P39="Bicycle",P39="NMV")),R39-R38&lt;Log!$C$12)),0,IF(S38&lt;&gt;0,R39-R38,IF(S37=0,R39-R36,R39-R37)))</f>
        <v>1.7999999999999972</v>
      </c>
      <c r="T39" s="32">
        <f t="shared" si="5"/>
        <v>2.483999999999996</v>
      </c>
      <c r="W39" s="11"/>
    </row>
    <row r="40" spans="1:23" ht="15.75" thickBot="1" x14ac:dyDescent="0.3">
      <c r="O40" s="58">
        <v>233</v>
      </c>
      <c r="P40" s="59" t="s">
        <v>5</v>
      </c>
      <c r="Q40" s="68">
        <f>VLOOKUP(P40,Log!$B$2:$C$8,2,)</f>
        <v>0.38</v>
      </c>
      <c r="R40" s="4">
        <v>35.479999999999997</v>
      </c>
      <c r="S40" s="32">
        <f>IF(OR(AND(OR(P40="Motorbike",P40="CNG",P40="Bicycle",P40="NMV"),R40-R39&lt;Log!$C$13),AND(NOT(OR(P40="Motorbike",P40="CNG",P40="Bicycle",P40="NMV")),R40-R39&lt;Log!$C$12)),0,IF(S39&lt;&gt;0,R40-R39,IF(S38=0,R40-R37,R40-R38)))</f>
        <v>0</v>
      </c>
      <c r="T40" s="32">
        <f t="shared" si="5"/>
        <v>0</v>
      </c>
      <c r="W40" s="11"/>
    </row>
    <row r="41" spans="1:23" ht="15.75" thickBot="1" x14ac:dyDescent="0.3">
      <c r="O41" s="59">
        <v>266</v>
      </c>
      <c r="P41" s="70" t="s">
        <v>5</v>
      </c>
      <c r="Q41" s="5">
        <f>VLOOKUP(P41,Log!$B$2:$C$8,2,)</f>
        <v>0.38</v>
      </c>
      <c r="R41" s="4">
        <v>37.72</v>
      </c>
      <c r="S41" s="32">
        <f>IF(OR(AND(OR(P41="Motorbike",P41="CNG",P41="Bicycle",P41="NMV"),R41-R40&lt;Log!$C$13),AND(NOT(OR(P41="Motorbike",P41="CNG",P41="Bicycle",P41="NMV")),R41-R40&lt;Log!$C$12)),0,IF(S40&lt;&gt;0,R41-R40,IF(S39=0,R41-R38,R41-R39)))</f>
        <v>2.3200000000000003</v>
      </c>
      <c r="T41" s="32">
        <f t="shared" si="5"/>
        <v>0.88160000000000016</v>
      </c>
      <c r="W41" s="11"/>
    </row>
    <row r="42" spans="1:23" x14ac:dyDescent="0.25">
      <c r="O42" s="56">
        <v>256</v>
      </c>
      <c r="P42" s="4" t="s">
        <v>4</v>
      </c>
      <c r="Q42" s="5">
        <f>VLOOKUP(P42,Log!$B$2:$C$8,2,)</f>
        <v>1</v>
      </c>
      <c r="R42" s="4">
        <v>42.08</v>
      </c>
      <c r="S42" s="32">
        <f>IF(OR(AND(OR(P42="Motorbike",P42="CNG",P42="Bicycle",P42="NMV"),R42-R41&lt;Log!$C$13),AND(NOT(OR(P42="Motorbike",P42="CNG",P42="Bicycle",P42="NMV")),R42-R41&lt;Log!$C$12)),0,IF(S41&lt;&gt;0,R42-R41,IF(S40=0,R42-R39,R42-R40)))</f>
        <v>4.3599999999999994</v>
      </c>
      <c r="T42" s="32">
        <f t="shared" si="5"/>
        <v>4.3599999999999994</v>
      </c>
      <c r="W42" s="11"/>
    </row>
    <row r="43" spans="1:23" x14ac:dyDescent="0.25">
      <c r="O43" s="4">
        <v>300</v>
      </c>
      <c r="P43" s="4" t="s">
        <v>4</v>
      </c>
      <c r="Q43" s="5">
        <f>VLOOKUP(P43,Log!$B$2:$C$8,2,)</f>
        <v>1</v>
      </c>
      <c r="R43" s="4">
        <v>45.32</v>
      </c>
      <c r="S43" s="32">
        <f>IF(OR(AND(OR(P43="Motorbike",P43="CNG",P43="Bicycle",P43="NMV"),R43-R42&lt;Log!$C$13),AND(NOT(OR(P43="Motorbike",P43="CNG",P43="Bicycle",P43="NMV")),R43-R42&lt;Log!$C$12)),0,IF(S42&lt;&gt;0,R43-R42,IF(S41=0,R43-R40,R43-R41)))</f>
        <v>3.240000000000002</v>
      </c>
      <c r="T43" s="32">
        <f t="shared" si="5"/>
        <v>3.240000000000002</v>
      </c>
      <c r="W43" s="11"/>
    </row>
    <row r="44" spans="1:23" x14ac:dyDescent="0.25">
      <c r="W44" s="11"/>
    </row>
    <row r="52" spans="19:20" x14ac:dyDescent="0.25">
      <c r="S52" s="9">
        <f>AVERAGE(S30:S34)</f>
        <v>2.0960000000000001</v>
      </c>
      <c r="T52" s="9">
        <f>AVERAGE(T30:T34)</f>
        <v>1.54928</v>
      </c>
    </row>
    <row r="53" spans="19:20" x14ac:dyDescent="0.25">
      <c r="S53" s="10">
        <f>3600/S52</f>
        <v>1717.5572519083969</v>
      </c>
      <c r="T53" s="10">
        <f>3600/T52</f>
        <v>2323.6600227202312</v>
      </c>
    </row>
  </sheetData>
  <mergeCells count="4">
    <mergeCell ref="C1:D1"/>
    <mergeCell ref="A11:F11"/>
    <mergeCell ref="H11:M11"/>
    <mergeCell ref="O11:T11"/>
  </mergeCells>
  <conditionalFormatting sqref="E14:E38">
    <cfRule type="cellIs" dxfId="23" priority="14" operator="greaterThanOrEqual">
      <formula>4</formula>
    </cfRule>
  </conditionalFormatting>
  <conditionalFormatting sqref="E13:F13">
    <cfRule type="cellIs" dxfId="22" priority="74" operator="greaterThan">
      <formula>4</formula>
    </cfRule>
  </conditionalFormatting>
  <conditionalFormatting sqref="F14:F38">
    <cfRule type="cellIs" dxfId="21" priority="33" operator="greaterThan">
      <formula>4</formula>
    </cfRule>
  </conditionalFormatting>
  <conditionalFormatting sqref="L14:L35">
    <cfRule type="cellIs" dxfId="20" priority="11" operator="greaterThanOrEqual">
      <formula>4</formula>
    </cfRule>
  </conditionalFormatting>
  <conditionalFormatting sqref="L13:M13 L36:M37">
    <cfRule type="cellIs" dxfId="19" priority="71" operator="greaterThan">
      <formula>4</formula>
    </cfRule>
  </conditionalFormatting>
  <conditionalFormatting sqref="M14:M35">
    <cfRule type="cellIs" dxfId="18" priority="26" operator="greaterThan">
      <formula>4</formula>
    </cfRule>
  </conditionalFormatting>
  <conditionalFormatting sqref="S13:T13">
    <cfRule type="cellIs" dxfId="17" priority="69" operator="greaterThan">
      <formula>4</formula>
    </cfRule>
  </conditionalFormatting>
  <conditionalFormatting sqref="T14:T43">
    <cfRule type="cellIs" dxfId="16" priority="19" operator="greaterThan">
      <formula>4</formula>
    </cfRule>
  </conditionalFormatting>
  <conditionalFormatting sqref="S14:S15">
    <cfRule type="cellIs" dxfId="15" priority="4" operator="greaterThanOrEqual">
      <formula>4</formula>
    </cfRule>
  </conditionalFormatting>
  <conditionalFormatting sqref="S16:S43">
    <cfRule type="cellIs" dxfId="14" priority="2" operator="greaterThanOrEqual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5" id="{671DC409-4BBA-4C8B-9974-07B4A6B26351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m:sqref>E14:E38 L15:L35 S14:S43</xm:sqref>
        </x14:conditionalFormatting>
        <x14:conditionalFormatting xmlns:xm="http://schemas.microsoft.com/office/excel/2006/main">
          <x14:cfRule type="expression" priority="15" id="{0F885453-46F6-4429-B0F5-9F523ECAFDE5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E14:E38 L14:L35 S14:S43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59C04-D3B1-4825-A7AA-0ABB4C97D655}">
  <sheetPr codeName="Sheet15"/>
  <dimension ref="A1:W53"/>
  <sheetViews>
    <sheetView topLeftCell="A11" workbookViewId="0">
      <selection activeCell="M54" sqref="M54"/>
    </sheetView>
  </sheetViews>
  <sheetFormatPr defaultRowHeight="15" x14ac:dyDescent="0.25"/>
  <cols>
    <col min="4" max="4" width="14.7109375" bestFit="1" customWidth="1"/>
    <col min="5" max="5" width="12.140625" bestFit="1" customWidth="1"/>
    <col min="6" max="6" width="12.85546875" bestFit="1" customWidth="1"/>
    <col min="11" max="11" width="14.7109375" bestFit="1" customWidth="1"/>
    <col min="12" max="12" width="14" bestFit="1" customWidth="1"/>
    <col min="13" max="13" width="12.85546875" bestFit="1" customWidth="1"/>
    <col min="16" max="16" width="10.28515625" bestFit="1" customWidth="1"/>
    <col min="18" max="20" width="14.7109375" customWidth="1"/>
  </cols>
  <sheetData>
    <row r="1" spans="1:20" ht="15.75" x14ac:dyDescent="0.25">
      <c r="C1" s="164" t="s">
        <v>25</v>
      </c>
      <c r="D1" s="164"/>
      <c r="E1" s="33" t="s">
        <v>41</v>
      </c>
      <c r="F1" s="33"/>
      <c r="G1" s="33"/>
      <c r="H1" s="33"/>
      <c r="I1" s="33"/>
      <c r="J1" s="33"/>
    </row>
    <row r="2" spans="1:20" x14ac:dyDescent="0.25">
      <c r="K2" s="4" t="s">
        <v>12</v>
      </c>
      <c r="L2" s="4">
        <f>SUM(L20:L28)</f>
        <v>24.159999999999997</v>
      </c>
      <c r="M2" s="17">
        <f>SUM(M20:M28)</f>
        <v>20.9208</v>
      </c>
      <c r="R2" s="4" t="s">
        <v>12</v>
      </c>
      <c r="S2" s="8">
        <f>SUM(S25:S28)</f>
        <v>4.9200000000000017</v>
      </c>
      <c r="T2" s="8">
        <f>SUM(T25:T28)</f>
        <v>3.2264000000000017</v>
      </c>
    </row>
    <row r="3" spans="1:20" x14ac:dyDescent="0.25">
      <c r="K3" s="4" t="s">
        <v>13</v>
      </c>
      <c r="L3" s="18">
        <f>AVERAGE(L24:L26)</f>
        <v>4.2533333333333339</v>
      </c>
      <c r="M3" s="65">
        <f>AVERAGE(M17:M20)</f>
        <v>1.8320000000000005</v>
      </c>
      <c r="R3" s="4" t="s">
        <v>13</v>
      </c>
      <c r="S3" s="9">
        <f>AVERAGE(S25:S28)</f>
        <v>1.2300000000000004</v>
      </c>
      <c r="T3" s="9">
        <f>AVERAGE(T23:T28)</f>
        <v>1.0621333333333334</v>
      </c>
    </row>
    <row r="4" spans="1:20" x14ac:dyDescent="0.25">
      <c r="A4" s="4" t="s">
        <v>4</v>
      </c>
      <c r="B4" s="128">
        <f>100*COUNTIF($B$26:$B$43,A4)/COUNTA($B$26:$B$43)</f>
        <v>55.555555555555557</v>
      </c>
      <c r="H4" s="4" t="s">
        <v>4</v>
      </c>
      <c r="I4" s="128">
        <f>100*COUNTIF($I$13:$I$21,H4)/COUNTA($I$13:$I$21)</f>
        <v>77.777777777777771</v>
      </c>
      <c r="K4" s="4" t="s">
        <v>1</v>
      </c>
      <c r="L4" s="21">
        <f>3600/L3</f>
        <v>846.39498432601874</v>
      </c>
      <c r="M4" s="66">
        <f>3600/M3</f>
        <v>1965.0655021834057</v>
      </c>
      <c r="O4" s="4" t="s">
        <v>4</v>
      </c>
      <c r="P4" s="128">
        <f>100*COUNTIF($P$13:$P$35,O4)/COUNTA($P$13:$P$35)</f>
        <v>26.086956521739129</v>
      </c>
      <c r="R4" s="4" t="s">
        <v>1</v>
      </c>
      <c r="S4" s="10">
        <f>3600/S3</f>
        <v>2926.8292682926817</v>
      </c>
      <c r="T4" s="10">
        <f>3600/T3</f>
        <v>3389.404971127291</v>
      </c>
    </row>
    <row r="5" spans="1:20" x14ac:dyDescent="0.25">
      <c r="A5" s="4" t="s">
        <v>6</v>
      </c>
      <c r="B5" s="128">
        <f t="shared" ref="B5:B9" si="0">100*COUNTIF($B$26:$B$43,A5)/COUNTA($B$26:$B$43)</f>
        <v>22.222222222222221</v>
      </c>
      <c r="H5" s="4" t="s">
        <v>6</v>
      </c>
      <c r="I5" s="128">
        <f t="shared" ref="I5:I9" si="1">100*COUNTIF($I$13:$I$21,H5)/COUNTA($I$13:$I$21)</f>
        <v>22.222222222222221</v>
      </c>
      <c r="O5" s="4" t="s">
        <v>6</v>
      </c>
      <c r="P5" s="128">
        <f t="shared" ref="P5:P9" si="2">100*COUNTIF($P$13:$P$35,O5)/COUNTA($P$13:$P$35)</f>
        <v>26.086956521739129</v>
      </c>
    </row>
    <row r="6" spans="1:20" x14ac:dyDescent="0.25">
      <c r="A6" s="4" t="s">
        <v>5</v>
      </c>
      <c r="B6" s="128">
        <f t="shared" si="0"/>
        <v>22.222222222222221</v>
      </c>
      <c r="E6" s="27" t="s">
        <v>22</v>
      </c>
      <c r="F6" s="27" t="s">
        <v>21</v>
      </c>
      <c r="H6" s="4" t="s">
        <v>5</v>
      </c>
      <c r="I6" s="128">
        <f t="shared" si="1"/>
        <v>0</v>
      </c>
      <c r="L6" s="27" t="s">
        <v>22</v>
      </c>
      <c r="M6" s="27" t="s">
        <v>21</v>
      </c>
      <c r="O6" s="4" t="s">
        <v>5</v>
      </c>
      <c r="P6" s="128">
        <f t="shared" si="2"/>
        <v>39.130434782608695</v>
      </c>
      <c r="S6" s="27" t="s">
        <v>22</v>
      </c>
      <c r="T6" s="27" t="s">
        <v>21</v>
      </c>
    </row>
    <row r="7" spans="1:20" x14ac:dyDescent="0.25">
      <c r="A7" s="4" t="s">
        <v>18</v>
      </c>
      <c r="B7" s="128">
        <f t="shared" si="0"/>
        <v>0</v>
      </c>
      <c r="D7" s="28" t="s">
        <v>20</v>
      </c>
      <c r="E7" s="23">
        <f>SUM(E14:E30)</f>
        <v>25.8</v>
      </c>
      <c r="F7" s="23">
        <f>SUM(F14:F30)</f>
        <v>23.2408</v>
      </c>
      <c r="H7" s="4" t="s">
        <v>18</v>
      </c>
      <c r="I7" s="128">
        <f t="shared" si="1"/>
        <v>0</v>
      </c>
      <c r="K7" s="28" t="s">
        <v>20</v>
      </c>
      <c r="L7" s="23">
        <f>SUM(L14:L37)</f>
        <v>37.160000000000004</v>
      </c>
      <c r="M7" s="23">
        <f>SUM(M14:M37)</f>
        <v>30.774800000000003</v>
      </c>
      <c r="O7" s="4" t="s">
        <v>18</v>
      </c>
      <c r="P7" s="128">
        <f t="shared" si="2"/>
        <v>0</v>
      </c>
      <c r="R7" s="28" t="s">
        <v>12</v>
      </c>
      <c r="S7" s="23">
        <f>SUM(S14:S23)</f>
        <v>9.4</v>
      </c>
      <c r="T7" s="23">
        <f>SUM(T13:T23)</f>
        <v>7.1727999999999996</v>
      </c>
    </row>
    <row r="8" spans="1:20" ht="15.75" thickBot="1" x14ac:dyDescent="0.3">
      <c r="A8" s="4" t="s">
        <v>7</v>
      </c>
      <c r="B8" s="128">
        <f t="shared" si="0"/>
        <v>0</v>
      </c>
      <c r="D8" s="28" t="s">
        <v>13</v>
      </c>
      <c r="E8" s="26">
        <f>AVERAGEIF(E26:E29,"&lt;&gt;0")</f>
        <v>2.0100000000000007</v>
      </c>
      <c r="F8" s="26">
        <f>AVERAGEIF(F27:F43,"&lt;&gt;0")</f>
        <v>1.7223333333333335</v>
      </c>
      <c r="H8" s="4" t="s">
        <v>7</v>
      </c>
      <c r="I8" s="128">
        <f t="shared" si="1"/>
        <v>0</v>
      </c>
      <c r="K8" s="28" t="s">
        <v>13</v>
      </c>
      <c r="L8" s="26">
        <f>AVERAGEIF(L14:L20,"&lt;&gt;0")</f>
        <v>2.0285714285714289</v>
      </c>
      <c r="M8" s="26">
        <f>AVERAGEIF(M13:M21,"&lt;&gt;0")</f>
        <v>1.7505714285714291</v>
      </c>
      <c r="O8" s="4" t="s">
        <v>7</v>
      </c>
      <c r="P8" s="128">
        <f t="shared" si="2"/>
        <v>4.3478260869565215</v>
      </c>
      <c r="R8" s="28" t="s">
        <v>13</v>
      </c>
      <c r="S8" s="26">
        <f>AVERAGEIF(S14:S24,"&lt;&gt;0")</f>
        <v>1.2977777777777777</v>
      </c>
      <c r="T8" s="26">
        <f>AVERAGEIF(T14:T35,"&lt;&gt;0")</f>
        <v>1.4518749999999996</v>
      </c>
    </row>
    <row r="9" spans="1:20" ht="15.75" thickBot="1" x14ac:dyDescent="0.3">
      <c r="A9" s="4" t="s">
        <v>23</v>
      </c>
      <c r="B9" s="128">
        <f t="shared" si="0"/>
        <v>0</v>
      </c>
      <c r="D9" s="28" t="s">
        <v>1</v>
      </c>
      <c r="E9" s="25">
        <f>3600/E8</f>
        <v>1791.0447761194023</v>
      </c>
      <c r="F9" s="29">
        <f>3600/F8</f>
        <v>2090.1877298238819</v>
      </c>
      <c r="H9" s="4" t="s">
        <v>23</v>
      </c>
      <c r="I9" s="128">
        <f t="shared" si="1"/>
        <v>0</v>
      </c>
      <c r="K9" s="28" t="s">
        <v>1</v>
      </c>
      <c r="L9" s="25">
        <f>3600/L8</f>
        <v>1774.6478873239435</v>
      </c>
      <c r="M9" s="29">
        <f>3600/M8</f>
        <v>2056.4713562918223</v>
      </c>
      <c r="O9" s="4" t="s">
        <v>23</v>
      </c>
      <c r="P9" s="128">
        <f t="shared" si="2"/>
        <v>4.3478260869565215</v>
      </c>
      <c r="R9" s="28" t="s">
        <v>1</v>
      </c>
      <c r="S9" s="25">
        <f>3600/S8</f>
        <v>2773.9726027397264</v>
      </c>
      <c r="T9" s="29">
        <f>3600/T8</f>
        <v>2479.5523030563932</v>
      </c>
    </row>
    <row r="11" spans="1:20" x14ac:dyDescent="0.25">
      <c r="A11" s="165" t="s">
        <v>16</v>
      </c>
      <c r="B11" s="165"/>
      <c r="C11" s="165"/>
      <c r="D11" s="165"/>
      <c r="E11" s="165"/>
      <c r="F11" s="165"/>
      <c r="H11" s="165" t="s">
        <v>10</v>
      </c>
      <c r="I11" s="165"/>
      <c r="J11" s="165"/>
      <c r="K11" s="165"/>
      <c r="L11" s="165"/>
      <c r="M11" s="165"/>
      <c r="O11" s="165" t="s">
        <v>15</v>
      </c>
      <c r="P11" s="165"/>
      <c r="Q11" s="165"/>
      <c r="R11" s="165"/>
      <c r="S11" s="165"/>
      <c r="T11" s="165"/>
    </row>
    <row r="12" spans="1:20" ht="56.25" customHeight="1" thickBot="1" x14ac:dyDescent="0.3">
      <c r="A12" s="55" t="s">
        <v>8</v>
      </c>
      <c r="B12" s="55" t="s">
        <v>9</v>
      </c>
      <c r="C12" s="3" t="s">
        <v>3</v>
      </c>
      <c r="D12" s="3" t="s">
        <v>2</v>
      </c>
      <c r="E12" s="6" t="s">
        <v>14</v>
      </c>
      <c r="F12" s="6" t="s">
        <v>11</v>
      </c>
      <c r="H12" s="55" t="s">
        <v>8</v>
      </c>
      <c r="I12" s="55" t="s">
        <v>9</v>
      </c>
      <c r="J12" s="3" t="s">
        <v>3</v>
      </c>
      <c r="K12" s="3" t="s">
        <v>2</v>
      </c>
      <c r="L12" s="6" t="s">
        <v>14</v>
      </c>
      <c r="M12" s="6" t="s">
        <v>11</v>
      </c>
      <c r="N12" s="2"/>
      <c r="O12" s="55" t="s">
        <v>8</v>
      </c>
      <c r="P12" s="77" t="s">
        <v>28</v>
      </c>
      <c r="Q12" s="3" t="s">
        <v>3</v>
      </c>
      <c r="R12" s="3" t="s">
        <v>2</v>
      </c>
      <c r="S12" s="6" t="s">
        <v>14</v>
      </c>
      <c r="T12" s="6" t="s">
        <v>11</v>
      </c>
    </row>
    <row r="13" spans="1:20" x14ac:dyDescent="0.25">
      <c r="A13" s="113">
        <v>5</v>
      </c>
      <c r="B13" s="110" t="s">
        <v>6</v>
      </c>
      <c r="C13" s="116">
        <f>VLOOKUP(B13,Log!$B$2:$C$8,2,)</f>
        <v>0.45</v>
      </c>
      <c r="D13" s="112">
        <v>2.12</v>
      </c>
      <c r="E13" s="114">
        <v>0</v>
      </c>
      <c r="F13" s="114">
        <v>0</v>
      </c>
      <c r="H13" s="63">
        <v>2</v>
      </c>
      <c r="I13" s="60" t="s">
        <v>4</v>
      </c>
      <c r="J13" s="68">
        <f>VLOOKUP(I13,Log!$B$2:$C$8,2,)</f>
        <v>1</v>
      </c>
      <c r="K13" s="4">
        <v>1.92</v>
      </c>
      <c r="L13" s="32">
        <v>0</v>
      </c>
      <c r="M13" s="32">
        <v>0</v>
      </c>
      <c r="N13" s="13"/>
      <c r="O13" s="109">
        <v>11</v>
      </c>
      <c r="P13" s="110" t="s">
        <v>5</v>
      </c>
      <c r="Q13" s="116">
        <f>VLOOKUP(P13,Log!$B$2:$C$8,2,)</f>
        <v>0.38</v>
      </c>
      <c r="R13" s="113">
        <v>3.52</v>
      </c>
      <c r="S13" s="114">
        <v>0</v>
      </c>
      <c r="T13" s="114">
        <v>0</v>
      </c>
    </row>
    <row r="14" spans="1:20" x14ac:dyDescent="0.25">
      <c r="A14" s="4">
        <v>9</v>
      </c>
      <c r="B14" s="54" t="s">
        <v>5</v>
      </c>
      <c r="C14" s="68">
        <f>VLOOKUP(B14,Log!$B$2:$C$8,2,)</f>
        <v>0.38</v>
      </c>
      <c r="D14" s="5">
        <v>3.52</v>
      </c>
      <c r="E14" s="32">
        <f>IF(OR(AND(B14="Motorbike",D14-D13&lt;Log!$C$13),AND(B14&lt;&gt;"Motorbike",D14-D13&lt;Log!$C$12)),0,D14-D13)</f>
        <v>1.4</v>
      </c>
      <c r="F14" s="32">
        <f>IF(E15&lt;&gt;0,C14*E14,IF(E16=0,(C14+C15+C16)*E14,(C14+C15)*E14))</f>
        <v>0.53199999999999992</v>
      </c>
      <c r="H14" s="71">
        <v>4</v>
      </c>
      <c r="I14" s="60" t="s">
        <v>4</v>
      </c>
      <c r="J14" s="68">
        <f>VLOOKUP(I14,Log!$B$2:$C$8,2,)</f>
        <v>1</v>
      </c>
      <c r="K14" s="4">
        <v>4.08</v>
      </c>
      <c r="L14" s="32">
        <f>IF(OR(AND(I14="Motorbike",K14-K13&lt;Log!$C$13),AND(I14&lt;&gt;"Motorbike",K14-K13&lt;Log!$C$12)),0,K14-K13)</f>
        <v>2.16</v>
      </c>
      <c r="M14" s="104">
        <f>IF(L15&lt;&gt;0,J14*L14,IF(L16=0,(J14+J15+J16)*L14,(J14+J15)*L14))</f>
        <v>2.16</v>
      </c>
      <c r="N14" s="13"/>
      <c r="O14" s="71">
        <v>12</v>
      </c>
      <c r="P14" s="117" t="s">
        <v>5</v>
      </c>
      <c r="Q14" s="68">
        <f>VLOOKUP(P14,Log!$B$2:$C$8,2,)</f>
        <v>0.38</v>
      </c>
      <c r="R14" s="4">
        <v>4.12</v>
      </c>
      <c r="S14" s="32">
        <f>IF(OR(AND(P14="Motorbike",R14-R13&lt;Log!$C$13),AND(P14&lt;&gt;"Motorbike",R14-R13&lt;Log!$C$12)),0,R14-R13)</f>
        <v>0.60000000000000009</v>
      </c>
      <c r="T14" s="104">
        <f>IF(S15&lt;&gt;0,Q14*S14,IF(S16=0,(Q14+Q15+Q16)*S14,(Q14+Q15)*S14))</f>
        <v>0.22800000000000004</v>
      </c>
    </row>
    <row r="15" spans="1:20" x14ac:dyDescent="0.25">
      <c r="A15" s="4">
        <v>37</v>
      </c>
      <c r="B15" s="54" t="s">
        <v>5</v>
      </c>
      <c r="C15" s="68">
        <f>VLOOKUP(B15,Log!$B$2:$C$8,2,)</f>
        <v>0.38</v>
      </c>
      <c r="D15" s="5">
        <v>4.32</v>
      </c>
      <c r="E15" s="32">
        <f>IF(OR(AND(B15="Motorbike",D15-D14&lt;Log!$C$13),AND(B15&lt;&gt;"Motorbike",D15-D14&lt;Log!$C$12)),0,D15-D14)</f>
        <v>0.80000000000000027</v>
      </c>
      <c r="F15" s="32">
        <f t="shared" ref="F15:F43" si="3">IF(E16&lt;&gt;0,C15*E15,IF(E17=0,(C15+C16+C17)*E15,(C15+C16)*E15))</f>
        <v>0.3040000000000001</v>
      </c>
      <c r="H15" s="71">
        <v>7</v>
      </c>
      <c r="I15" s="60" t="s">
        <v>4</v>
      </c>
      <c r="J15" s="68">
        <f>VLOOKUP(I15,Log!$B$2:$C$8,2,)</f>
        <v>1</v>
      </c>
      <c r="K15" s="4">
        <v>6</v>
      </c>
      <c r="L15" s="32">
        <f>IF(OR(AND(I15="Motorbike",K15-K14&lt;Log!$C$13),AND(I15&lt;&gt;"Motorbike",K15-K14&lt;Log!$C$12)),0,K15-K14)</f>
        <v>1.92</v>
      </c>
      <c r="M15" s="104">
        <f t="shared" ref="M15:M28" si="4">IF(L16&lt;&gt;0,J15*L15,IF(L17=0,(J15+J16+J17)*L15,(J15+J16)*L15))</f>
        <v>1.92</v>
      </c>
      <c r="N15" s="13"/>
      <c r="O15" s="71">
        <v>44</v>
      </c>
      <c r="P15" s="117" t="s">
        <v>5</v>
      </c>
      <c r="Q15" s="68">
        <f>VLOOKUP(P15,Log!$B$2:$C$8,2,)</f>
        <v>0.38</v>
      </c>
      <c r="R15" s="4">
        <v>4.88</v>
      </c>
      <c r="S15" s="32">
        <f>IF(OR(AND(P15="Motorbike",R15-R14&lt;Log!$C$13),AND(P15&lt;&gt;"Motorbike",R15-R14&lt;Log!$C$12)),0,R15-R14)</f>
        <v>0.75999999999999979</v>
      </c>
      <c r="T15" s="104">
        <f t="shared" ref="T15:T40" si="5">IF(S16&lt;&gt;0,Q15*S15,IF(S17=0,(Q15+Q16+Q17)*S15,(Q15+Q16)*S15))</f>
        <v>0.28879999999999995</v>
      </c>
    </row>
    <row r="16" spans="1:20" ht="15.75" thickBot="1" x14ac:dyDescent="0.3">
      <c r="A16" s="4">
        <v>32</v>
      </c>
      <c r="B16" s="54" t="s">
        <v>5</v>
      </c>
      <c r="C16" s="68">
        <f>VLOOKUP(B16,Log!$B$2:$C$8,2,)</f>
        <v>0.38</v>
      </c>
      <c r="D16" s="5">
        <v>5.2</v>
      </c>
      <c r="E16" s="32">
        <f>IF(OR(AND(OR(B16="Motorbike",B16="CNG",B16="Bicycle",B16="NMV"),D16-D15&lt;Log!$C$13),AND(NOT(OR(B16="Motorbike",B16="CNG",B16="Bicycle",B16="NMV")),D16-D15&lt;Log!$C$12)),0,IF(E15&lt;&gt;0,D16-D15,IF(E14=0,D16-D13,D16-D14)))</f>
        <v>0.87999999999999989</v>
      </c>
      <c r="F16" s="32">
        <f t="shared" si="3"/>
        <v>0.33439999999999998</v>
      </c>
      <c r="H16" s="64">
        <v>24</v>
      </c>
      <c r="I16" s="60" t="s">
        <v>6</v>
      </c>
      <c r="J16" s="68">
        <f>VLOOKUP(I16,Log!$B$2:$C$8,2,)</f>
        <v>0.45</v>
      </c>
      <c r="K16" s="4">
        <v>7.88</v>
      </c>
      <c r="L16" s="32">
        <f>IF(OR(AND(OR(I16="Motorbike",I16="CNG",I16="Bicycle",I16="NMV"),K16-K15&lt;Log!$C$13),AND(NOT(OR(I16="Motorbike",I16="CNG",I16="Bicycle",I16="NMV")),K16-K15&lt;Log!$C$12)),0,IF(L15&lt;&gt;0,K16-K15,IF(L14=0,K16-K13,K16-K14)))</f>
        <v>1.88</v>
      </c>
      <c r="M16" s="104">
        <f t="shared" si="4"/>
        <v>0.84599999999999997</v>
      </c>
      <c r="N16" s="13"/>
      <c r="O16" s="58">
        <v>30</v>
      </c>
      <c r="P16" s="117" t="s">
        <v>5</v>
      </c>
      <c r="Q16" s="68">
        <f>VLOOKUP(P16,Log!$B$2:$C$8,2,)</f>
        <v>0.38</v>
      </c>
      <c r="R16" s="4">
        <v>5.68</v>
      </c>
      <c r="S16" s="32">
        <f>IF(OR(AND(OR(P16="Motorbike",P16="CNG",P16="Bicycle",P16="NMV"),R16-R15&lt;Log!$C$13),AND(NOT(OR(P16="Motorbike",P16="CNG",P16="Bicycle",P16="NMV")),R16-R15&lt;Log!$C$12)),0,IF(S15&lt;&gt;0,R16-R15,IF(S14=0,R16-R13,R16-R14)))</f>
        <v>0.79999999999999982</v>
      </c>
      <c r="T16" s="104">
        <f t="shared" si="5"/>
        <v>0.30399999999999994</v>
      </c>
    </row>
    <row r="17" spans="1:23" ht="15.75" thickBot="1" x14ac:dyDescent="0.3">
      <c r="A17" s="4">
        <v>42</v>
      </c>
      <c r="B17" s="54" t="s">
        <v>5</v>
      </c>
      <c r="C17" s="68">
        <f>VLOOKUP(B17,Log!$B$2:$C$8,2,)</f>
        <v>0.38</v>
      </c>
      <c r="D17" s="5">
        <v>6.2</v>
      </c>
      <c r="E17" s="32">
        <f>IF(OR(AND(OR(B17="Motorbike",B17="CNG",B17="Bicycle",B17="NMV"),D17-D16&lt;Log!$C$13),AND(NOT(OR(B17="Motorbike",B17="CNG",B17="Bicycle",B17="NMV")),D17-D16&lt;Log!$C$12)),0,IF(E16&lt;&gt;0,D17-D16,IF(E15=0,D17-D14,D17-D15)))</f>
        <v>1</v>
      </c>
      <c r="F17" s="32">
        <f t="shared" si="3"/>
        <v>0.38</v>
      </c>
      <c r="H17" s="88">
        <v>47</v>
      </c>
      <c r="I17" s="4" t="s">
        <v>6</v>
      </c>
      <c r="J17" s="68">
        <f>VLOOKUP(I17,Log!$B$2:$C$8,2,)</f>
        <v>0.45</v>
      </c>
      <c r="K17" s="4">
        <v>11.72</v>
      </c>
      <c r="L17" s="32">
        <f>IF(OR(AND(OR(I17="Motorbike",I17="CNG",I17="Bicycle",I17="NMV"),K17-K16&lt;Log!$C$13),AND(NOT(OR(I17="Motorbike",I17="CNG",I17="Bicycle",I17="NMV")),K17-K16&lt;Log!$C$12)),0,IF(L16&lt;&gt;0,K17-K16,IF(L15=0,K17-K14,K17-K15)))</f>
        <v>3.8400000000000007</v>
      </c>
      <c r="M17" s="104">
        <f t="shared" si="4"/>
        <v>1.7280000000000004</v>
      </c>
      <c r="N17" s="13"/>
      <c r="O17" s="58">
        <v>35</v>
      </c>
      <c r="P17" s="117" t="s">
        <v>5</v>
      </c>
      <c r="Q17" s="68">
        <f>VLOOKUP(P17,Log!$B$2:$C$8,2,)</f>
        <v>0.38</v>
      </c>
      <c r="R17" s="4">
        <v>6.68</v>
      </c>
      <c r="S17" s="32">
        <f>IF(OR(AND(OR(P17="Motorbike",P17="CNG",P17="Bicycle",P17="NMV"),R17-R16&lt;Log!$C$13),AND(NOT(OR(P17="Motorbike",P17="CNG",P17="Bicycle",P17="NMV")),R17-R16&lt;Log!$C$12)),0,IF(S16&lt;&gt;0,R17-R16,IF(S15=0,R17-R14,R17-R15)))</f>
        <v>1</v>
      </c>
      <c r="T17" s="104">
        <f t="shared" si="5"/>
        <v>0.38</v>
      </c>
    </row>
    <row r="18" spans="1:23" ht="15.75" thickBot="1" x14ac:dyDescent="0.3">
      <c r="A18" s="49">
        <v>17</v>
      </c>
      <c r="B18" s="54" t="s">
        <v>4</v>
      </c>
      <c r="C18" s="68">
        <f>VLOOKUP(B18,Log!$B$2:$C$8,2,)</f>
        <v>1</v>
      </c>
      <c r="D18" s="5">
        <v>8.32</v>
      </c>
      <c r="E18" s="32">
        <f>IF(OR(AND(OR(B18="Motorbike",B18="CNG",B18="Bicycle",B18="NMV"),D18-D17&lt;Log!$C$13),AND(NOT(OR(B18="Motorbike",B18="CNG",B18="Bicycle",B18="NMV")),D18-D17&lt;Log!$C$12)),0,IF(E17&lt;&gt;0,D18-D17,IF(E16=0,D18-D15,D18-D16)))</f>
        <v>2.12</v>
      </c>
      <c r="F18" s="32">
        <f t="shared" si="3"/>
        <v>2.12</v>
      </c>
      <c r="H18" s="63">
        <v>36</v>
      </c>
      <c r="I18" s="54" t="s">
        <v>4</v>
      </c>
      <c r="J18" s="68">
        <f>VLOOKUP(I18,Log!$B$2:$C$8,2,)</f>
        <v>1</v>
      </c>
      <c r="K18" s="4">
        <v>13.2</v>
      </c>
      <c r="L18" s="32">
        <f>IF(OR(AND(OR(I18="Motorbike",I18="CNG",I18="Bicycle",I18="NMV"),K18-K17&lt;Log!$C$13),AND(NOT(OR(I18="Motorbike",I18="CNG",I18="Bicycle",I18="NMV")),K18-K17&lt;Log!$C$12)),0,IF(L17&lt;&gt;0,K18-K17,IF(L16=0,K18-K15,K18-K16)))</f>
        <v>1.4799999999999986</v>
      </c>
      <c r="M18" s="104">
        <f t="shared" si="4"/>
        <v>1.4799999999999986</v>
      </c>
      <c r="N18" s="13"/>
      <c r="O18" s="58">
        <v>24</v>
      </c>
      <c r="P18" s="69" t="s">
        <v>6</v>
      </c>
      <c r="Q18" s="68">
        <f>VLOOKUP(P18,Log!$B$2:$C$8,2,)</f>
        <v>0.45</v>
      </c>
      <c r="R18" s="4">
        <v>8</v>
      </c>
      <c r="S18" s="32">
        <f>IF(OR(AND(OR(P18="Motorbike",P18="CNG",P18="Bicycle",P18="NMV"),R18-R17&lt;Log!$C$13),AND(NOT(OR(P18="Motorbike",P18="CNG",P18="Bicycle",P18="NMV")),R18-R17&lt;Log!$C$12)),0,IF(S17&lt;&gt;0,R18-R17,IF(S16=0,R18-R15,R18-R16)))</f>
        <v>1.3200000000000003</v>
      </c>
      <c r="T18" s="104">
        <f t="shared" si="5"/>
        <v>0.59400000000000019</v>
      </c>
    </row>
    <row r="19" spans="1:23" ht="15.75" thickBot="1" x14ac:dyDescent="0.3">
      <c r="A19" s="57">
        <v>58</v>
      </c>
      <c r="B19" s="69" t="s">
        <v>5</v>
      </c>
      <c r="C19" s="68">
        <f>VLOOKUP(B19,Log!$B$2:$C$8,2,)</f>
        <v>0.38</v>
      </c>
      <c r="D19" s="5">
        <v>9.92</v>
      </c>
      <c r="E19" s="32">
        <f>IF(OR(AND(OR(B19="Motorbike",B19="CNG",B19="Bicycle",B19="NMV"),D19-D18&lt;Log!$C$13),AND(NOT(OR(B19="Motorbike",B19="CNG",B19="Bicycle",B19="NMV")),D19-D18&lt;Log!$C$12)),0,IF(E18&lt;&gt;0,D19-D18,IF(E17=0,D19-D16,D19-D17)))</f>
        <v>1.5999999999999996</v>
      </c>
      <c r="F19" s="32">
        <f t="shared" si="3"/>
        <v>0.60799999999999987</v>
      </c>
      <c r="H19" s="71">
        <v>70</v>
      </c>
      <c r="I19" s="69" t="s">
        <v>4</v>
      </c>
      <c r="J19" s="68">
        <f>VLOOKUP(I19,Log!$B$2:$C$8,2,)</f>
        <v>1</v>
      </c>
      <c r="K19" s="4">
        <v>14.92</v>
      </c>
      <c r="L19" s="32">
        <f>IF(OR(AND(OR(I19="Motorbike",I19="CNG",I19="Bicycle",I19="NMV"),K19-K18&lt;Log!$C$13),AND(NOT(OR(I19="Motorbike",I19="CNG",I19="Bicycle",I19="NMV")),K19-K18&lt;Log!$C$12)),0,IF(L18&lt;&gt;0,K19-K18,IF(L17=0,K19-K16,K19-K17)))</f>
        <v>1.7200000000000006</v>
      </c>
      <c r="M19" s="104">
        <f t="shared" si="4"/>
        <v>1.7200000000000006</v>
      </c>
      <c r="N19" s="13"/>
      <c r="O19" s="58">
        <v>20</v>
      </c>
      <c r="P19" s="85" t="s">
        <v>6</v>
      </c>
      <c r="Q19" s="68">
        <f>VLOOKUP(P19,Log!$B$2:$C$8,2,)</f>
        <v>0.45</v>
      </c>
      <c r="R19" s="4">
        <v>9.52</v>
      </c>
      <c r="S19" s="32">
        <f>IF(OR(AND(OR(P19="Motorbike",P19="CNG",P19="Bicycle",P19="NMV"),R19-R18&lt;Log!$C$13),AND(NOT(OR(P19="Motorbike",P19="CNG",P19="Bicycle",P19="NMV")),R19-R18&lt;Log!$C$12)),0,IF(S18&lt;&gt;0,R19-R18,IF(S17=0,R19-R16,R19-R17)))</f>
        <v>1.5199999999999996</v>
      </c>
      <c r="T19" s="104">
        <f t="shared" si="5"/>
        <v>1.3679999999999997</v>
      </c>
    </row>
    <row r="20" spans="1:23" ht="15.75" thickBot="1" x14ac:dyDescent="0.3">
      <c r="A20" s="58">
        <v>22</v>
      </c>
      <c r="B20" s="85" t="s">
        <v>4</v>
      </c>
      <c r="C20" s="68">
        <f>VLOOKUP(B20,Log!$B$2:$C$8,2,)</f>
        <v>1</v>
      </c>
      <c r="D20" s="5">
        <v>11</v>
      </c>
      <c r="E20" s="32">
        <f>IF(OR(AND(OR(B20="Motorbike",B20="CNG",B20="Bicycle",B20="NMV"),D20-D19&lt;Log!$C$13),AND(NOT(OR(B20="Motorbike",B20="CNG",B20="Bicycle",B20="NMV")),D20-D19&lt;Log!$C$12)),0,IF(E19&lt;&gt;0,D20-D19,IF(E18=0,D20-D17,D20-D18)))</f>
        <v>1.08</v>
      </c>
      <c r="F20" s="32">
        <f t="shared" si="3"/>
        <v>1.08</v>
      </c>
      <c r="H20" s="71">
        <v>69</v>
      </c>
      <c r="I20" s="57" t="s">
        <v>4</v>
      </c>
      <c r="J20" s="68">
        <f>VLOOKUP(I20,Log!$B$2:$C$8,2,)</f>
        <v>1</v>
      </c>
      <c r="K20" s="4">
        <v>16.12</v>
      </c>
      <c r="L20" s="32">
        <f>IF(OR(AND(OR(I20="Motorbike",I20="CNG",I20="Bicycle",I20="NMV"),K20-K19&lt;Log!$C$13),AND(NOT(OR(I20="Motorbike",I20="CNG",I20="Bicycle",I20="NMV")),K20-K19&lt;Log!$C$12)),0,IF(L19&lt;&gt;0,K20-K19,IF(L18=0,K20-K17,K20-K18)))</f>
        <v>1.2000000000000011</v>
      </c>
      <c r="M20" s="104">
        <f t="shared" si="4"/>
        <v>2.4000000000000021</v>
      </c>
      <c r="N20" s="13"/>
      <c r="O20" s="58">
        <v>56</v>
      </c>
      <c r="P20" s="86" t="s">
        <v>6</v>
      </c>
      <c r="Q20" s="84">
        <f>VLOOKUP(P20,Log!$B$2:$C$8,2,)</f>
        <v>0.45</v>
      </c>
      <c r="R20" s="49">
        <v>9.68</v>
      </c>
      <c r="S20" s="32">
        <f>IF(OR(AND(OR(P20="Motorbike",P20="CNG",P20="Bicycle",P20="NMV"),R20-R19&lt;Log!$C$13),AND(NOT(OR(P20="Motorbike",P20="CNG",P20="Bicycle",P20="NMV")),R20-R19&lt;Log!$C$12)),0,IF(S19&lt;&gt;0,R20-R19,IF(S18=0,R20-R17,R20-R18)))</f>
        <v>0</v>
      </c>
      <c r="T20" s="104">
        <f t="shared" si="5"/>
        <v>0</v>
      </c>
    </row>
    <row r="21" spans="1:23" ht="15.75" thickBot="1" x14ac:dyDescent="0.3">
      <c r="A21" s="58">
        <v>8</v>
      </c>
      <c r="B21" s="87" t="s">
        <v>4</v>
      </c>
      <c r="C21" s="68">
        <f>VLOOKUP(B21,Log!$B$2:$C$8,2,)</f>
        <v>1</v>
      </c>
      <c r="D21" s="5">
        <v>12.12</v>
      </c>
      <c r="E21" s="32">
        <f>IF(OR(AND(OR(B21="Motorbike",B21="CNG",B21="Bicycle",B21="NMV"),D21-D20&lt;Log!$C$13),AND(NOT(OR(B21="Motorbike",B21="CNG",B21="Bicycle",B21="NMV")),D21-D20&lt;Log!$C$12)),0,IF(E20&lt;&gt;0,D21-D20,IF(E19=0,D21-D18,D21-D19)))</f>
        <v>1.1199999999999992</v>
      </c>
      <c r="F21" s="32">
        <f t="shared" si="3"/>
        <v>1.6239999999999988</v>
      </c>
      <c r="H21" s="64">
        <v>93</v>
      </c>
      <c r="I21" s="59" t="s">
        <v>4</v>
      </c>
      <c r="J21" s="68">
        <f>VLOOKUP(I21,Log!$B$2:$C$8,2,)</f>
        <v>1</v>
      </c>
      <c r="K21" s="4">
        <v>16.48</v>
      </c>
      <c r="L21" s="32">
        <f>IF(OR(AND(OR(I21="Motorbike",I21="CNG",I21="Bicycle",I21="NMV"),K21-K20&lt;Log!$C$13),AND(NOT(OR(I21="Motorbike",I21="CNG",I21="Bicycle",I21="NMV")),K21-K20&lt;Log!$C$12)),0,IF(L20&lt;&gt;0,K21-K20,IF(L19=0,K21-K18,K21-K19)))</f>
        <v>0</v>
      </c>
      <c r="M21" s="104">
        <f t="shared" si="4"/>
        <v>0</v>
      </c>
      <c r="N21" s="13"/>
      <c r="O21" s="58">
        <v>60</v>
      </c>
      <c r="P21" s="81" t="s">
        <v>6</v>
      </c>
      <c r="Q21" s="68">
        <f>VLOOKUP(P21,Log!$B$2:$C$8,2,)</f>
        <v>0.45</v>
      </c>
      <c r="R21" s="4">
        <v>11.32</v>
      </c>
      <c r="S21" s="32">
        <f>IF(OR(AND(OR(P21="Motorbike",P21="CNG",P21="Bicycle",P21="NMV"),R21-R20&lt;Log!$C$13),AND(NOT(OR(P21="Motorbike",P21="CNG",P21="Bicycle",P21="NMV")),R21-R20&lt;Log!$C$12)),0,IF(S20&lt;&gt;0,R21-R20,IF(S19=0,R21-R18,R21-R19)))</f>
        <v>1.8000000000000007</v>
      </c>
      <c r="T21" s="104">
        <f t="shared" si="5"/>
        <v>0.81000000000000039</v>
      </c>
    </row>
    <row r="22" spans="1:23" ht="15.75" thickBot="1" x14ac:dyDescent="0.3">
      <c r="A22" s="58">
        <v>47</v>
      </c>
      <c r="B22" s="86" t="s">
        <v>6</v>
      </c>
      <c r="C22" s="68">
        <f>VLOOKUP(B22,Log!$B$2:$C$8,2,)</f>
        <v>0.45</v>
      </c>
      <c r="D22" s="5">
        <v>12.12</v>
      </c>
      <c r="E22" s="32">
        <f>IF(OR(AND(OR(B22="Motorbike",B22="CNG",B22="Bicycle",B22="NMV"),D22-D21&lt;Log!$C$13),AND(NOT(OR(B22="Motorbike",B22="CNG",B22="Bicycle",B22="NMV")),D22-D21&lt;Log!$C$12)),0,IF(E21&lt;&gt;0,D22-D21,IF(E20=0,D22-D19,D22-D20)))</f>
        <v>0</v>
      </c>
      <c r="F22" s="32">
        <f t="shared" si="3"/>
        <v>0</v>
      </c>
      <c r="H22" s="62">
        <v>118</v>
      </c>
      <c r="I22" s="56" t="s">
        <v>4</v>
      </c>
      <c r="J22" s="68">
        <f>VLOOKUP(I22,Log!$B$2:$C$8,2,)</f>
        <v>1</v>
      </c>
      <c r="K22" s="4">
        <v>20.8</v>
      </c>
      <c r="L22" s="32">
        <f>IF(OR(AND(OR(I22="Motorbike",I22="CNG",I22="Bicycle",I22="NMV"),K22-K21&lt;Log!$C$13),AND(NOT(OR(I22="Motorbike",I22="CNG",I22="Bicycle",I22="NMV")),K22-K21&lt;Log!$C$12)),0,IF(L21&lt;&gt;0,K22-K21,IF(L20=0,K22-K19,K22-K20)))</f>
        <v>4.68</v>
      </c>
      <c r="M22" s="32">
        <f t="shared" si="4"/>
        <v>4.68</v>
      </c>
      <c r="N22" s="13"/>
      <c r="O22" s="58">
        <v>59</v>
      </c>
      <c r="P22" s="85" t="s">
        <v>4</v>
      </c>
      <c r="Q22" s="68">
        <f>VLOOKUP(P22,Log!$B$2:$C$8,2,)</f>
        <v>1</v>
      </c>
      <c r="R22" s="4">
        <v>12.92</v>
      </c>
      <c r="S22" s="32">
        <f>IF(OR(AND(OR(P22="Motorbike",P22="CNG",P22="Bicycle",P22="NMV"),R22-R21&lt;Log!$C$13),AND(NOT(OR(P22="Motorbike",P22="CNG",P22="Bicycle",P22="NMV")),R22-R21&lt;Log!$C$12)),0,IF(S21&lt;&gt;0,R22-R21,IF(S20=0,R22-R19,R22-R20)))</f>
        <v>1.5999999999999996</v>
      </c>
      <c r="T22" s="104">
        <f t="shared" si="5"/>
        <v>3.1999999999999993</v>
      </c>
    </row>
    <row r="23" spans="1:23" ht="15.75" thickBot="1" x14ac:dyDescent="0.3">
      <c r="A23" s="58">
        <v>103</v>
      </c>
      <c r="B23" s="70" t="s">
        <v>5</v>
      </c>
      <c r="C23" s="68">
        <f>VLOOKUP(B23,Log!$B$2:$C$8,2,)</f>
        <v>0.38</v>
      </c>
      <c r="D23" s="5">
        <v>14.8</v>
      </c>
      <c r="E23" s="32">
        <f>IF(OR(AND(OR(B23="Motorbike",B23="CNG",B23="Bicycle",B23="NMV"),D23-D22&lt;Log!$C$13),AND(NOT(OR(B23="Motorbike",B23="CNG",B23="Bicycle",B23="NMV")),D23-D22&lt;Log!$C$12)),0,IF(E22&lt;&gt;0,D23-D22,IF(E21=0,D23-D20,D23-D21)))</f>
        <v>2.6800000000000015</v>
      </c>
      <c r="F23" s="32">
        <f t="shared" si="3"/>
        <v>1.0184000000000006</v>
      </c>
      <c r="H23" s="14">
        <v>104</v>
      </c>
      <c r="I23" s="4" t="s">
        <v>4</v>
      </c>
      <c r="J23" s="68">
        <f>VLOOKUP(I23,Log!$B$2:$C$8,2,)</f>
        <v>1</v>
      </c>
      <c r="K23" s="4">
        <v>22.12</v>
      </c>
      <c r="L23" s="32">
        <f>IF(OR(AND(OR(I23="Motorbike",I23="CNG",I23="Bicycle",I23="NMV"),K23-K22&lt;Log!$C$13),AND(NOT(OR(I23="Motorbike",I23="CNG",I23="Bicycle",I23="NMV")),K23-K22&lt;Log!$C$12)),0,IF(L22&lt;&gt;0,K23-K22,IF(L21=0,K23-K20,K23-K21)))</f>
        <v>1.3200000000000003</v>
      </c>
      <c r="M23" s="32">
        <f t="shared" si="4"/>
        <v>1.3200000000000003</v>
      </c>
      <c r="N23" s="13"/>
      <c r="O23" s="58">
        <v>65</v>
      </c>
      <c r="P23" s="89" t="s">
        <v>4</v>
      </c>
      <c r="Q23" s="68">
        <f>VLOOKUP(P23,Log!$B$2:$C$8,2,)</f>
        <v>1</v>
      </c>
      <c r="R23" s="4">
        <v>13.08</v>
      </c>
      <c r="S23" s="32">
        <f>IF(OR(AND(OR(P23="Motorbike",P23="CNG",P23="Bicycle",P23="NMV"),R23-R22&lt;Log!$C$13),AND(NOT(OR(P23="Motorbike",P23="CNG",P23="Bicycle",P23="NMV")),R23-R22&lt;Log!$C$12)),0,IF(S22&lt;&gt;0,R23-R22,IF(S21=0,R23-R20,R23-R21)))</f>
        <v>0</v>
      </c>
      <c r="T23" s="104">
        <f t="shared" si="5"/>
        <v>0</v>
      </c>
    </row>
    <row r="24" spans="1:23" ht="15.75" thickBot="1" x14ac:dyDescent="0.3">
      <c r="A24" s="59">
        <v>78</v>
      </c>
      <c r="B24" s="54" t="s">
        <v>4</v>
      </c>
      <c r="C24" s="68">
        <f>VLOOKUP(B24,Log!$B$2:$C$8,2,)</f>
        <v>1</v>
      </c>
      <c r="D24" s="5">
        <v>16.88</v>
      </c>
      <c r="E24" s="32">
        <f>IF(OR(AND(OR(B24="Motorbike",B24="CNG",B24="Bicycle",B24="NMV"),D24-D23&lt;Log!$C$13),AND(NOT(OR(B24="Motorbike",B24="CNG",B24="Bicycle",B24="NMV")),D24-D23&lt;Log!$C$12)),0,IF(E23&lt;&gt;0,D24-D23,IF(E22=0,D24-D21,D24-D22)))</f>
        <v>2.0799999999999983</v>
      </c>
      <c r="F24" s="32">
        <f t="shared" si="3"/>
        <v>2.0799999999999983</v>
      </c>
      <c r="H24" s="14">
        <v>163</v>
      </c>
      <c r="I24" s="4" t="s">
        <v>4</v>
      </c>
      <c r="J24" s="68">
        <f>VLOOKUP(I24,Log!$B$2:$C$8,2,)</f>
        <v>1</v>
      </c>
      <c r="K24" s="4">
        <v>26.92</v>
      </c>
      <c r="L24" s="32">
        <f>IF(OR(AND(OR(I24="Motorbike",I24="CNG",I24="Bicycle",I24="NMV"),K24-K23&lt;Log!$C$13),AND(NOT(OR(I24="Motorbike",I24="CNG",I24="Bicycle",I24="NMV")),K24-K23&lt;Log!$C$12)),0,IF(L23&lt;&gt;0,K24-K23,IF(L22=0,K24-K21,K24-K22)))</f>
        <v>4.8000000000000007</v>
      </c>
      <c r="M24" s="32">
        <f t="shared" si="4"/>
        <v>4.8000000000000007</v>
      </c>
      <c r="N24" s="13"/>
      <c r="O24" s="58">
        <v>70</v>
      </c>
      <c r="P24" s="85" t="s">
        <v>4</v>
      </c>
      <c r="Q24" s="68">
        <f>VLOOKUP(P24,Log!$B$2:$C$8,2,)</f>
        <v>1</v>
      </c>
      <c r="R24" s="4">
        <v>15.2</v>
      </c>
      <c r="S24" s="32">
        <f>IF(OR(AND(OR(P24="Motorbike",P24="CNG",P24="Bicycle",P24="NMV"),R24-R23&lt;Log!$C$13),AND(NOT(OR(P24="Motorbike",P24="CNG",P24="Bicycle",P24="NMV")),R24-R23&lt;Log!$C$12)),0,IF(S23&lt;&gt;0,R24-R23,IF(S22=0,R24-R21,R24-R22)))</f>
        <v>2.2799999999999994</v>
      </c>
      <c r="T24" s="104">
        <f t="shared" si="5"/>
        <v>3.146399999999999</v>
      </c>
    </row>
    <row r="25" spans="1:23" ht="15.75" thickBot="1" x14ac:dyDescent="0.3">
      <c r="A25" s="41">
        <v>55</v>
      </c>
      <c r="B25" s="4" t="s">
        <v>4</v>
      </c>
      <c r="C25" s="68">
        <f>VLOOKUP(B25,Log!$B$2:$C$8,2,)</f>
        <v>1</v>
      </c>
      <c r="D25" s="5">
        <v>19.88</v>
      </c>
      <c r="E25" s="32">
        <f>IF(OR(AND(OR(B25="Motorbike",B25="CNG",B25="Bicycle",B25="NMV"),D25-D24&lt;Log!$C$13),AND(NOT(OR(B25="Motorbike",B25="CNG",B25="Bicycle",B25="NMV")),D25-D24&lt;Log!$C$12)),0,IF(E24&lt;&gt;0,D25-D24,IF(E23=0,D25-D22,D25-D23)))</f>
        <v>3</v>
      </c>
      <c r="F25" s="32">
        <f t="shared" si="3"/>
        <v>3</v>
      </c>
      <c r="H25" s="14">
        <v>191</v>
      </c>
      <c r="I25" s="4" t="s">
        <v>5</v>
      </c>
      <c r="J25" s="68">
        <f>VLOOKUP(I25,Log!$B$2:$C$8,2,)</f>
        <v>0.38</v>
      </c>
      <c r="K25" s="4">
        <v>32.799999999999997</v>
      </c>
      <c r="L25" s="32">
        <f>IF(OR(AND(OR(I25="Motorbike",I25="CNG",I25="Bicycle",I25="NMV"),K25-K24&lt;Log!$C$13),AND(NOT(OR(I25="Motorbike",I25="CNG",I25="Bicycle",I25="NMV")),K25-K24&lt;Log!$C$12)),0,IF(L24&lt;&gt;0,K25-K24,IF(L23=0,K25-K22,K25-K23)))</f>
        <v>5.8799999999999955</v>
      </c>
      <c r="M25" s="32">
        <f t="shared" si="4"/>
        <v>2.2343999999999982</v>
      </c>
      <c r="N25" s="13"/>
      <c r="O25" s="58">
        <v>90</v>
      </c>
      <c r="P25" s="86" t="s">
        <v>5</v>
      </c>
      <c r="Q25" s="68">
        <f>VLOOKUP(P25,Log!$B$2:$C$8,2,)</f>
        <v>0.38</v>
      </c>
      <c r="R25" s="4">
        <v>15.2</v>
      </c>
      <c r="S25" s="32">
        <f>IF(OR(AND(OR(P25="Motorbike",P25="CNG",P25="Bicycle",P25="NMV"),R25-R24&lt;Log!$C$13),AND(NOT(OR(P25="Motorbike",P25="CNG",P25="Bicycle",P25="NMV")),R25-R24&lt;Log!$C$12)),0,IF(S24&lt;&gt;0,R25-R24,IF(S23=0,R25-R22,R25-R23)))</f>
        <v>0</v>
      </c>
      <c r="T25" s="104">
        <f t="shared" si="5"/>
        <v>0</v>
      </c>
    </row>
    <row r="26" spans="1:23" x14ac:dyDescent="0.25">
      <c r="A26" s="57">
        <v>95</v>
      </c>
      <c r="B26" s="54" t="s">
        <v>4</v>
      </c>
      <c r="C26" s="68">
        <f>VLOOKUP(B26,Log!$B$2:$C$8,2,)</f>
        <v>1</v>
      </c>
      <c r="D26" s="5">
        <v>22.4</v>
      </c>
      <c r="E26" s="32">
        <f>IF(OR(AND(OR(B26="Motorbike",B26="CNG",B26="Bicycle",B26="NMV"),D26-D25&lt;Log!$C$13),AND(NOT(OR(B26="Motorbike",B26="CNG",B26="Bicycle",B26="NMV")),D26-D25&lt;Log!$C$12)),0,IF(E25&lt;&gt;0,D26-D25,IF(E24=0,D26-D23,D26-D24)))</f>
        <v>2.5199999999999996</v>
      </c>
      <c r="F26" s="32">
        <f t="shared" si="3"/>
        <v>2.5199999999999996</v>
      </c>
      <c r="H26" s="14">
        <v>184</v>
      </c>
      <c r="I26" s="4" t="s">
        <v>4</v>
      </c>
      <c r="J26" s="68">
        <f>VLOOKUP(I26,Log!$B$2:$C$8,2,)</f>
        <v>1</v>
      </c>
      <c r="K26" s="4">
        <v>34.880000000000003</v>
      </c>
      <c r="L26" s="32">
        <f>IF(OR(AND(OR(I26="Motorbike",I26="CNG",I26="Bicycle",I26="NMV"),K26-K25&lt;Log!$C$13),AND(NOT(OR(I26="Motorbike",I26="CNG",I26="Bicycle",I26="NMV")),K26-K25&lt;Log!$C$12)),0,IF(L25&lt;&gt;0,K26-K25,IF(L24=0,K26-K23,K26-K24)))</f>
        <v>2.0800000000000054</v>
      </c>
      <c r="M26" s="32">
        <f t="shared" si="4"/>
        <v>2.0800000000000054</v>
      </c>
      <c r="N26" s="13"/>
      <c r="O26" s="58">
        <v>93</v>
      </c>
      <c r="P26" s="70" t="s">
        <v>4</v>
      </c>
      <c r="Q26" s="68">
        <f>VLOOKUP(P26,Log!$B$2:$C$8,2,)</f>
        <v>1</v>
      </c>
      <c r="R26" s="4">
        <v>16.68</v>
      </c>
      <c r="S26" s="32">
        <f>IF(OR(AND(OR(P26="Motorbike",P26="CNG",P26="Bicycle",P26="NMV"),R26-R25&lt;Log!$C$13),AND(NOT(OR(P26="Motorbike",P26="CNG",P26="Bicycle",P26="NMV")),R26-R25&lt;Log!$C$12)),0,IF(S25&lt;&gt;0,R26-R25,IF(S24=0,R26-R23,R26-R24)))</f>
        <v>1.4800000000000004</v>
      </c>
      <c r="T26" s="104">
        <f t="shared" si="5"/>
        <v>1.4800000000000004</v>
      </c>
    </row>
    <row r="27" spans="1:23" ht="15.75" thickBot="1" x14ac:dyDescent="0.3">
      <c r="A27" s="58">
        <v>148</v>
      </c>
      <c r="B27" s="54" t="s">
        <v>4</v>
      </c>
      <c r="C27" s="68">
        <f>VLOOKUP(B27,Log!$B$2:$C$8,2,)</f>
        <v>1</v>
      </c>
      <c r="D27" s="5">
        <v>23.88</v>
      </c>
      <c r="E27" s="32">
        <f>IF(OR(AND(OR(B27="Motorbike",B27="CNG",B27="Bicycle",B27="NMV"),D27-D26&lt;Log!$C$13),AND(NOT(OR(B27="Motorbike",B27="CNG",B27="Bicycle",B27="NMV")),D27-D26&lt;Log!$C$12)),0,IF(E26&lt;&gt;0,D27-D26,IF(E25=0,D27-D24,D27-D25)))</f>
        <v>1.4800000000000004</v>
      </c>
      <c r="F27" s="104">
        <f t="shared" si="3"/>
        <v>1.4800000000000004</v>
      </c>
      <c r="H27" s="14">
        <v>236</v>
      </c>
      <c r="I27" s="4" t="s">
        <v>4</v>
      </c>
      <c r="J27" s="68">
        <f>VLOOKUP(I27,Log!$B$2:$C$8,2,)</f>
        <v>1</v>
      </c>
      <c r="K27" s="4">
        <v>37.799999999999997</v>
      </c>
      <c r="L27" s="32">
        <f>IF(OR(AND(OR(I27="Motorbike",I27="CNG",I27="Bicycle",I27="NMV"),K27-K26&lt;Log!$C$13),AND(NOT(OR(I27="Motorbike",I27="CNG",I27="Bicycle",I27="NMV")),K27-K26&lt;Log!$C$12)),0,IF(L26&lt;&gt;0,K27-K26,IF(L25=0,K27-K24,K27-K25)))</f>
        <v>2.9199999999999946</v>
      </c>
      <c r="M27" s="32">
        <f t="shared" si="4"/>
        <v>2.9199999999999946</v>
      </c>
      <c r="N27" s="13"/>
      <c r="O27" s="58">
        <v>110</v>
      </c>
      <c r="P27" s="69" t="s">
        <v>6</v>
      </c>
      <c r="Q27" s="68">
        <f>VLOOKUP(P27,Log!$B$2:$C$8,2,)</f>
        <v>0.45</v>
      </c>
      <c r="R27" s="4">
        <v>19.48</v>
      </c>
      <c r="S27" s="32">
        <f>IF(OR(AND(OR(P27="Motorbike",P27="CNG",P27="Bicycle",P27="NMV"),R27-R26&lt;Log!$C$13),AND(NOT(OR(P27="Motorbike",P27="CNG",P27="Bicycle",P27="NMV")),R27-R26&lt;Log!$C$12)),0,IF(S26&lt;&gt;0,R27-R26,IF(S25=0,R27-R24,R27-R25)))</f>
        <v>2.8000000000000007</v>
      </c>
      <c r="T27" s="104">
        <f t="shared" si="5"/>
        <v>1.2600000000000005</v>
      </c>
    </row>
    <row r="28" spans="1:23" ht="15.75" thickBot="1" x14ac:dyDescent="0.3">
      <c r="A28" s="58">
        <v>154</v>
      </c>
      <c r="B28" s="69" t="s">
        <v>4</v>
      </c>
      <c r="C28" s="68">
        <f>VLOOKUP(B28,Log!$B$2:$C$8,2,)</f>
        <v>1</v>
      </c>
      <c r="D28" s="5">
        <v>25.8</v>
      </c>
      <c r="E28" s="32">
        <f>IF(OR(AND(OR(B28="Motorbike",B28="CNG",B28="Bicycle",B28="NMV"),D28-D27&lt;Log!$C$13),AND(NOT(OR(B28="Motorbike",B28="CNG",B28="Bicycle",B28="NMV")),D28-D27&lt;Log!$C$12)),0,IF(E27&lt;&gt;0,D28-D27,IF(E26=0,D28-D25,D28-D26)))</f>
        <v>1.9200000000000017</v>
      </c>
      <c r="F28" s="104">
        <f t="shared" si="3"/>
        <v>1.9200000000000017</v>
      </c>
      <c r="H28" s="4">
        <v>262</v>
      </c>
      <c r="I28" s="4" t="s">
        <v>5</v>
      </c>
      <c r="J28" s="68">
        <f>VLOOKUP(I28,Log!$B$2:$C$8,2,)</f>
        <v>0.38</v>
      </c>
      <c r="K28" s="4">
        <v>39.08</v>
      </c>
      <c r="L28" s="32">
        <f>IF(OR(AND(OR(I28="Motorbike",I28="CNG",I28="Bicycle",I28="NMV"),K28-K27&lt;Log!$C$13),AND(NOT(OR(I28="Motorbike",I28="CNG",I28="Bicycle",I28="NMV")),K28-K27&lt;Log!$C$12)),0,IF(L27&lt;&gt;0,K28-K27,IF(L26=0,K28-K25,K28-K26)))</f>
        <v>1.2800000000000011</v>
      </c>
      <c r="M28" s="32">
        <f t="shared" si="4"/>
        <v>0.48640000000000044</v>
      </c>
      <c r="N28" s="13"/>
      <c r="O28" s="58">
        <v>134</v>
      </c>
      <c r="P28" s="85" t="s">
        <v>5</v>
      </c>
      <c r="Q28" s="68">
        <f>VLOOKUP(P28,Log!$B$2:$C$8,2,)</f>
        <v>0.38</v>
      </c>
      <c r="R28" s="4">
        <v>20.12</v>
      </c>
      <c r="S28" s="32">
        <f>IF(OR(AND(OR(P28="Motorbike",P28="CNG",P28="Bicycle",P28="NMV"),R28-R27&lt;Log!$C$13),AND(NOT(OR(P28="Motorbike",P28="CNG",P28="Bicycle",P28="NMV")),R28-R27&lt;Log!$C$12)),0,IF(S27&lt;&gt;0,R28-R27,IF(S26=0,R28-R25,R28-R26)))</f>
        <v>0.64000000000000057</v>
      </c>
      <c r="T28" s="104">
        <f t="shared" si="5"/>
        <v>0.48640000000000044</v>
      </c>
    </row>
    <row r="29" spans="1:23" ht="15.75" thickBot="1" x14ac:dyDescent="0.3">
      <c r="A29" s="58">
        <v>149</v>
      </c>
      <c r="B29" s="85" t="s">
        <v>4</v>
      </c>
      <c r="C29" s="68">
        <f>VLOOKUP(B29,Log!$B$2:$C$8,2,)</f>
        <v>1</v>
      </c>
      <c r="D29" s="5">
        <v>27.92</v>
      </c>
      <c r="E29" s="32">
        <f>IF(OR(AND(OR(B29="Motorbike",B29="CNG",B29="Bicycle",B29="NMV"),D29-D28&lt;Log!$C$13),AND(NOT(OR(B29="Motorbike",B29="CNG",B29="Bicycle",B29="NMV")),D29-D28&lt;Log!$C$12)),0,IF(E28&lt;&gt;0,D29-D28,IF(E27=0,D29-D26,D29-D27)))</f>
        <v>2.120000000000001</v>
      </c>
      <c r="F29" s="104">
        <f t="shared" si="3"/>
        <v>4.240000000000002</v>
      </c>
      <c r="N29" s="13"/>
      <c r="O29" s="58">
        <v>141</v>
      </c>
      <c r="P29" s="86" t="s">
        <v>5</v>
      </c>
      <c r="Q29" s="68">
        <f>VLOOKUP(P29,Log!$B$2:$C$8,2,)</f>
        <v>0.38</v>
      </c>
      <c r="R29" s="4">
        <v>20.399999999999999</v>
      </c>
      <c r="S29" s="32">
        <f>IF(OR(AND(OR(P29="Motorbike",P29="CNG",P29="Bicycle",P29="NMV"),R29-R28&lt;Log!$C$13),AND(NOT(OR(P29="Motorbike",P29="CNG",P29="Bicycle",P29="NMV")),R29-R28&lt;Log!$C$12)),0,IF(S28&lt;&gt;0,R29-R28,IF(S27=0,R29-R26,R29-R27)))</f>
        <v>0</v>
      </c>
      <c r="T29" s="104">
        <f t="shared" si="5"/>
        <v>0</v>
      </c>
      <c r="W29" s="11"/>
    </row>
    <row r="30" spans="1:23" ht="15.75" thickBot="1" x14ac:dyDescent="0.3">
      <c r="A30" s="58">
        <v>164</v>
      </c>
      <c r="B30" s="86" t="s">
        <v>4</v>
      </c>
      <c r="C30" s="68">
        <f>VLOOKUP(B30,Log!$B$2:$C$8,2,)</f>
        <v>1</v>
      </c>
      <c r="D30" s="5">
        <v>28.12</v>
      </c>
      <c r="E30" s="32">
        <f>IF(OR(AND(OR(B30="Motorbike",B30="CNG",B30="Bicycle",B30="NMV"),D30-D29&lt;Log!$C$13),AND(NOT(OR(B30="Motorbike",B30="CNG",B30="Bicycle",B30="NMV")),D30-D29&lt;Log!$C$12)),0,IF(E29&lt;&gt;0,D30-D29,IF(E28=0,D30-D27,D30-D28)))</f>
        <v>0</v>
      </c>
      <c r="F30" s="104">
        <f t="shared" si="3"/>
        <v>0</v>
      </c>
      <c r="N30" s="13"/>
      <c r="O30" s="58">
        <v>120</v>
      </c>
      <c r="P30" s="85" t="s">
        <v>4</v>
      </c>
      <c r="Q30" s="68">
        <f>VLOOKUP(P30,Log!$B$2:$C$8,2,)</f>
        <v>1</v>
      </c>
      <c r="R30" s="4">
        <v>22.2</v>
      </c>
      <c r="S30" s="32">
        <f>IF(OR(AND(OR(P30="Motorbike",P30="CNG",P30="Bicycle",P30="NMV"),R30-R29&lt;Log!$C$13),AND(NOT(OR(P30="Motorbike",P30="CNG",P30="Bicycle",P30="NMV")),R30-R29&lt;Log!$C$12)),0,IF(S29&lt;&gt;0,R30-R29,IF(S28=0,R30-R27,R30-R28)))</f>
        <v>2.0799999999999983</v>
      </c>
      <c r="T30" s="104">
        <f t="shared" si="5"/>
        <v>5.9071999999999951</v>
      </c>
      <c r="W30" s="11"/>
    </row>
    <row r="31" spans="1:23" ht="15.75" thickBot="1" x14ac:dyDescent="0.3">
      <c r="A31" s="58">
        <v>174</v>
      </c>
      <c r="B31" s="85" t="s">
        <v>6</v>
      </c>
      <c r="C31" s="68">
        <f>VLOOKUP(B31,Log!$B$2:$C$8,2,)</f>
        <v>0.45</v>
      </c>
      <c r="D31" s="5">
        <v>29.6</v>
      </c>
      <c r="E31" s="32">
        <f>IF(OR(AND(OR(B31="Motorbike",B31="CNG",B31="Bicycle",B31="NMV"),D31-D30&lt;Log!$C$13),AND(NOT(OR(B31="Motorbike",B31="CNG",B31="Bicycle",B31="NMV")),D31-D30&lt;Log!$C$12)),0,IF(E30&lt;&gt;0,D31-D30,IF(E29=0,D31-D28,D31-D29)))</f>
        <v>1.6799999999999997</v>
      </c>
      <c r="F31" s="104">
        <f t="shared" si="3"/>
        <v>2.4359999999999995</v>
      </c>
      <c r="N31" s="13"/>
      <c r="O31" s="58">
        <v>153</v>
      </c>
      <c r="P31" s="86" t="s">
        <v>23</v>
      </c>
      <c r="Q31" s="68">
        <f>VLOOKUP(P31,Log!$B$2:$C$8,2,)</f>
        <v>1.84</v>
      </c>
      <c r="R31" s="4">
        <v>22.28</v>
      </c>
      <c r="S31" s="32">
        <f>IF(OR(AND(OR(P31="Motorbike",P31="CNG",P31="Bicycle",P31="NMV"),R31-R30&lt;Log!$C$13),AND(NOT(OR(P31="Motorbike",P31="CNG",P31="Bicycle",P31="NMV")),R31-R30&lt;Log!$C$12)),0,IF(S30&lt;&gt;0,R31-R30,IF(S29=0,R31-R28,R31-R29)))</f>
        <v>0</v>
      </c>
      <c r="T31" s="104">
        <f t="shared" si="5"/>
        <v>0</v>
      </c>
      <c r="W31" s="11"/>
    </row>
    <row r="32" spans="1:23" ht="15.75" thickBot="1" x14ac:dyDescent="0.3">
      <c r="A32" s="58">
        <v>126</v>
      </c>
      <c r="B32" s="86" t="s">
        <v>4</v>
      </c>
      <c r="C32" s="68">
        <f>VLOOKUP(B32,Log!$B$2:$C$8,2,)</f>
        <v>1</v>
      </c>
      <c r="D32" s="5">
        <v>30.12</v>
      </c>
      <c r="E32" s="32">
        <f>IF(OR(AND(OR(B32="Motorbike",B32="CNG",B32="Bicycle",B32="NMV"),D32-D31&lt;Log!$C$13),AND(NOT(OR(B32="Motorbike",B32="CNG",B32="Bicycle",B32="NMV")),D32-D31&lt;Log!$C$12)),0,IF(E31&lt;&gt;0,D32-D31,IF(E30=0,D32-D29,D32-D30)))</f>
        <v>0</v>
      </c>
      <c r="F32" s="104">
        <f t="shared" si="3"/>
        <v>0</v>
      </c>
      <c r="N32" s="13"/>
      <c r="O32" s="58">
        <v>166</v>
      </c>
      <c r="P32" s="85" t="s">
        <v>7</v>
      </c>
      <c r="Q32" s="68">
        <f>VLOOKUP(P32,Log!$B$2:$C$8,2,)</f>
        <v>0.33</v>
      </c>
      <c r="R32" s="4">
        <v>23.72</v>
      </c>
      <c r="S32" s="32">
        <f>IF(OR(AND(OR(P32="Motorbike",P32="CNG",P32="Bicycle",P32="NMV"),R32-R31&lt;Log!$C$13),AND(NOT(OR(P32="Motorbike",P32="CNG",P32="Bicycle",P32="NMV")),R32-R31&lt;Log!$C$12)),0,IF(S31&lt;&gt;0,R32-R31,IF(S30=0,R32-R29,R32-R30)))</f>
        <v>1.5199999999999996</v>
      </c>
      <c r="T32" s="104">
        <f t="shared" si="5"/>
        <v>2.0215999999999994</v>
      </c>
      <c r="W32" s="11"/>
    </row>
    <row r="33" spans="1:23" ht="15.75" thickBot="1" x14ac:dyDescent="0.3">
      <c r="A33" s="58">
        <v>181</v>
      </c>
      <c r="B33" s="85" t="s">
        <v>6</v>
      </c>
      <c r="C33" s="68">
        <f>VLOOKUP(B33,Log!$B$2:$C$8,2,)</f>
        <v>0.45</v>
      </c>
      <c r="D33" s="5">
        <v>31.08</v>
      </c>
      <c r="E33" s="32">
        <f>IF(OR(AND(OR(B33="Motorbike",B33="CNG",B33="Bicycle",B33="NMV"),D33-D32&lt;Log!$C$13),AND(NOT(OR(B33="Motorbike",B33="CNG",B33="Bicycle",B33="NMV")),D33-D32&lt;Log!$C$12)),0,IF(E32&lt;&gt;0,D33-D32,IF(E31=0,D33-D30,D33-D31)))</f>
        <v>1.4799999999999969</v>
      </c>
      <c r="F33" s="104">
        <f t="shared" si="3"/>
        <v>0.66599999999999859</v>
      </c>
      <c r="N33" s="13"/>
      <c r="O33" s="58">
        <v>132</v>
      </c>
      <c r="P33" s="86" t="s">
        <v>4</v>
      </c>
      <c r="Q33" s="68">
        <f>VLOOKUP(P33,Log!$B$2:$C$8,2,)</f>
        <v>1</v>
      </c>
      <c r="R33" s="4">
        <v>24</v>
      </c>
      <c r="S33" s="32">
        <f>IF(OR(AND(OR(P33="Motorbike",P33="CNG",P33="Bicycle",P33="NMV"),R33-R32&lt;Log!$C$13),AND(NOT(OR(P33="Motorbike",P33="CNG",P33="Bicycle",P33="NMV")),R33-R32&lt;Log!$C$12)),0,IF(S32&lt;&gt;0,R33-R32,IF(S31=0,R33-R30,R33-R31)))</f>
        <v>0</v>
      </c>
      <c r="T33" s="104">
        <f t="shared" si="5"/>
        <v>0</v>
      </c>
      <c r="W33" s="11"/>
    </row>
    <row r="34" spans="1:23" ht="15.75" thickBot="1" x14ac:dyDescent="0.3">
      <c r="A34" s="58">
        <v>203</v>
      </c>
      <c r="B34" s="86" t="s">
        <v>6</v>
      </c>
      <c r="C34" s="68">
        <f>VLOOKUP(B34,Log!$B$2:$C$8,2,)</f>
        <v>0.45</v>
      </c>
      <c r="D34" s="5">
        <v>31.6</v>
      </c>
      <c r="E34" s="32">
        <f>IF(OR(AND(OR(B34="Motorbike",B34="CNG",B34="Bicycle",B34="NMV"),D34-D33&lt;Log!$C$13),AND(NOT(OR(B34="Motorbike",B34="CNG",B34="Bicycle",B34="NMV")),D34-D33&lt;Log!$C$12)),0,IF(E33&lt;&gt;0,D34-D33,IF(E32=0,D34-D31,D34-D32)))</f>
        <v>0.52000000000000313</v>
      </c>
      <c r="F34" s="104">
        <f t="shared" si="3"/>
        <v>0.2340000000000014</v>
      </c>
      <c r="N34" s="13"/>
      <c r="O34" s="58">
        <v>165</v>
      </c>
      <c r="P34" s="70" t="s">
        <v>6</v>
      </c>
      <c r="Q34" s="68">
        <f>VLOOKUP(P34,Log!$B$2:$C$8,2,)</f>
        <v>0.45</v>
      </c>
      <c r="R34" s="4">
        <v>26</v>
      </c>
      <c r="S34" s="32">
        <f>IF(OR(AND(OR(P34="Motorbike",P34="CNG",P34="Bicycle",P34="NMV"),R34-R33&lt;Log!$C$13),AND(NOT(OR(P34="Motorbike",P34="CNG",P34="Bicycle",P34="NMV")),R34-R33&lt;Log!$C$12)),0,IF(S33&lt;&gt;0,R34-R33,IF(S32=0,R34-R31,R34-R32)))</f>
        <v>2.2800000000000011</v>
      </c>
      <c r="T34" s="104">
        <f t="shared" si="5"/>
        <v>1.0260000000000005</v>
      </c>
      <c r="W34" s="11"/>
    </row>
    <row r="35" spans="1:23" ht="15.75" thickBot="1" x14ac:dyDescent="0.3">
      <c r="A35" s="58">
        <v>204</v>
      </c>
      <c r="B35" s="85" t="s">
        <v>5</v>
      </c>
      <c r="C35" s="68">
        <f>VLOOKUP(B35,Log!$B$2:$C$8,2,)</f>
        <v>0.38</v>
      </c>
      <c r="D35" s="5">
        <v>32.799999999999997</v>
      </c>
      <c r="E35" s="32">
        <f>IF(OR(AND(OR(B35="Motorbike",B35="CNG",B35="Bicycle",B35="NMV"),D35-D34&lt;Log!$C$13),AND(NOT(OR(B35="Motorbike",B35="CNG",B35="Bicycle",B35="NMV")),D35-D34&lt;Log!$C$12)),0,IF(E34&lt;&gt;0,D35-D34,IF(E33=0,D35-D32,D35-D33)))</f>
        <v>1.1999999999999957</v>
      </c>
      <c r="F35" s="104">
        <f t="shared" si="3"/>
        <v>2.1119999999999921</v>
      </c>
      <c r="O35" s="59">
        <v>176</v>
      </c>
      <c r="P35" s="54" t="s">
        <v>5</v>
      </c>
      <c r="Q35" s="68">
        <f>VLOOKUP(P35,Log!$B$2:$C$8,2,)</f>
        <v>0.38</v>
      </c>
      <c r="R35" s="4">
        <v>27.92</v>
      </c>
      <c r="S35" s="32">
        <f>IF(OR(AND(OR(P35="Motorbike",P35="CNG",P35="Bicycle",P35="NMV"),R35-R34&lt;Log!$C$13),AND(NOT(OR(P35="Motorbike",P35="CNG",P35="Bicycle",P35="NMV")),R35-R34&lt;Log!$C$12)),0,IF(S34&lt;&gt;0,R35-R34,IF(S33=0,R35-R32,R35-R33)))</f>
        <v>1.9200000000000017</v>
      </c>
      <c r="T35" s="104">
        <f t="shared" si="5"/>
        <v>0.72960000000000069</v>
      </c>
      <c r="W35" s="11"/>
    </row>
    <row r="36" spans="1:23" x14ac:dyDescent="0.25">
      <c r="A36" s="58">
        <v>189</v>
      </c>
      <c r="B36" s="87" t="s">
        <v>4</v>
      </c>
      <c r="C36" s="68">
        <f>VLOOKUP(B36,Log!$B$2:$C$8,2,)</f>
        <v>1</v>
      </c>
      <c r="D36" s="5">
        <v>33.479999999999997</v>
      </c>
      <c r="E36" s="32">
        <f>IF(OR(AND(OR(B36="Motorbike",B36="CNG",B36="Bicycle",B36="NMV"),D36-D35&lt;Log!$C$13),AND(NOT(OR(B36="Motorbike",B36="CNG",B36="Bicycle",B36="NMV")),D36-D35&lt;Log!$C$12)),0,IF(E35&lt;&gt;0,D36-D35,IF(E34=0,D36-D33,D36-D34)))</f>
        <v>0</v>
      </c>
      <c r="F36" s="104">
        <f t="shared" si="3"/>
        <v>0</v>
      </c>
      <c r="H36" s="53"/>
      <c r="J36" s="13"/>
      <c r="L36" s="52"/>
      <c r="M36" s="52"/>
      <c r="O36" s="56">
        <v>143</v>
      </c>
      <c r="P36" s="4" t="s">
        <v>4</v>
      </c>
      <c r="Q36" s="68">
        <f>VLOOKUP(P36,Log!$B$2:$C$8,2,)</f>
        <v>1</v>
      </c>
      <c r="R36" s="4">
        <v>31.6</v>
      </c>
      <c r="S36" s="32">
        <f>IF(OR(AND(OR(P36="Motorbike",P36="CNG",P36="Bicycle",P36="NMV"),R36-R35&lt;Log!$C$13),AND(NOT(OR(P36="Motorbike",P36="CNG",P36="Bicycle",P36="NMV")),R36-R35&lt;Log!$C$12)),0,IF(S35&lt;&gt;0,R36-R35,IF(S34=0,R36-R33,R36-R34)))</f>
        <v>3.6799999999999997</v>
      </c>
      <c r="T36" s="32">
        <f t="shared" si="5"/>
        <v>3.6799999999999997</v>
      </c>
      <c r="W36" s="11"/>
    </row>
    <row r="37" spans="1:23" ht="15.75" thickBot="1" x14ac:dyDescent="0.3">
      <c r="A37" s="58">
        <v>217</v>
      </c>
      <c r="B37" s="86" t="s">
        <v>5</v>
      </c>
      <c r="C37" s="68">
        <f>VLOOKUP(B37,Log!$B$2:$C$8,2,)</f>
        <v>0.38</v>
      </c>
      <c r="D37" s="5">
        <v>33.92</v>
      </c>
      <c r="E37" s="32">
        <f>IF(OR(AND(OR(B37="Motorbike",B37="CNG",B37="Bicycle",B37="NMV"),D37-D36&lt;Log!$C$13),AND(NOT(OR(B37="Motorbike",B37="CNG",B37="Bicycle",B37="NMV")),D37-D36&lt;Log!$C$12)),0,IF(E36&lt;&gt;0,D37-D36,IF(E35=0,D37-D34,D37-D35)))</f>
        <v>0</v>
      </c>
      <c r="F37" s="104">
        <f t="shared" si="3"/>
        <v>0</v>
      </c>
      <c r="H37" s="53"/>
      <c r="J37" s="13"/>
      <c r="L37" s="52"/>
      <c r="M37" s="52"/>
      <c r="O37" s="4">
        <v>178</v>
      </c>
      <c r="P37" s="49" t="s">
        <v>4</v>
      </c>
      <c r="Q37" s="68">
        <f>VLOOKUP(P37,Log!$B$2:$C$8,2,)</f>
        <v>1</v>
      </c>
      <c r="R37" s="4">
        <v>32.68</v>
      </c>
      <c r="S37" s="32">
        <f>IF(OR(AND(OR(P37="Motorbike",P37="CNG",P37="Bicycle",P37="NMV"),R37-R36&lt;Log!$C$13),AND(NOT(OR(P37="Motorbike",P37="CNG",P37="Bicycle",P37="NMV")),R37-R36&lt;Log!$C$12)),0,IF(S36&lt;&gt;0,R37-R36,IF(S35=0,R37-R34,R37-R35)))</f>
        <v>1.0799999999999983</v>
      </c>
      <c r="T37" s="32">
        <f t="shared" si="5"/>
        <v>1.0799999999999983</v>
      </c>
      <c r="W37" s="11"/>
    </row>
    <row r="38" spans="1:23" x14ac:dyDescent="0.25">
      <c r="A38" s="58">
        <v>199</v>
      </c>
      <c r="B38" s="70" t="s">
        <v>4</v>
      </c>
      <c r="C38" s="68">
        <f>VLOOKUP(B38,Log!$B$2:$C$8,2,)</f>
        <v>1</v>
      </c>
      <c r="D38" s="5">
        <v>35.08</v>
      </c>
      <c r="E38" s="32">
        <f>IF(OR(AND(OR(B38="Motorbike",B38="CNG",B38="Bicycle",B38="NMV"),D38-D37&lt;Log!$C$13),AND(NOT(OR(B38="Motorbike",B38="CNG",B38="Bicycle",B38="NMV")),D38-D37&lt;Log!$C$12)),0,IF(E37&lt;&gt;0,D38-D37,IF(E36=0,D38-D35,D38-D36)))</f>
        <v>2.2800000000000011</v>
      </c>
      <c r="F38" s="104">
        <f t="shared" si="3"/>
        <v>2.2800000000000011</v>
      </c>
      <c r="O38" s="17">
        <v>223</v>
      </c>
      <c r="P38" s="57" t="s">
        <v>5</v>
      </c>
      <c r="Q38" s="68">
        <f>VLOOKUP(P38,Log!$B$2:$C$8,2,)</f>
        <v>0.38</v>
      </c>
      <c r="R38" s="4">
        <v>33.68</v>
      </c>
      <c r="S38" s="32">
        <f>IF(OR(AND(OR(P38="Motorbike",P38="CNG",P38="Bicycle",P38="NMV"),R38-R37&lt;Log!$C$13),AND(NOT(OR(P38="Motorbike",P38="CNG",P38="Bicycle",P38="NMV")),R38-R37&lt;Log!$C$12)),0,IF(S37&lt;&gt;0,R38-R37,IF(S36=0,R38-R35,R38-R36)))</f>
        <v>1</v>
      </c>
      <c r="T38" s="32">
        <f t="shared" si="5"/>
        <v>0.76</v>
      </c>
      <c r="W38" s="11"/>
    </row>
    <row r="39" spans="1:23" ht="15.75" thickBot="1" x14ac:dyDescent="0.3">
      <c r="A39" s="58">
        <v>195</v>
      </c>
      <c r="B39" s="69" t="s">
        <v>4</v>
      </c>
      <c r="C39" s="68">
        <f>VLOOKUP(B39,Log!$B$2:$C$8,2,)</f>
        <v>1</v>
      </c>
      <c r="D39" s="5">
        <v>36.32</v>
      </c>
      <c r="E39" s="32">
        <f>IF(OR(AND(OR(B39="Motorbike",B39="CNG",B39="Bicycle",B39="NMV"),D39-D38&lt;Log!$C$13),AND(NOT(OR(B39="Motorbike",B39="CNG",B39="Bicycle",B39="NMV")),D39-D38&lt;Log!$C$12)),0,IF(E38&lt;&gt;0,D39-D38,IF(E37=0,D39-D36,D39-D37)))</f>
        <v>1.240000000000002</v>
      </c>
      <c r="F39" s="104">
        <f t="shared" si="3"/>
        <v>1.240000000000002</v>
      </c>
      <c r="O39" s="17">
        <v>207</v>
      </c>
      <c r="P39" s="59" t="s">
        <v>5</v>
      </c>
      <c r="Q39" s="68">
        <f>VLOOKUP(P39,Log!$B$2:$C$8,2,)</f>
        <v>0.38</v>
      </c>
      <c r="R39" s="4">
        <v>34.119999999999997</v>
      </c>
      <c r="S39" s="32">
        <f>IF(OR(AND(OR(P39="Motorbike",P39="CNG",P39="Bicycle",P39="NMV"),R39-R38&lt;Log!$C$13),AND(NOT(OR(P39="Motorbike",P39="CNG",P39="Bicycle",P39="NMV")),R39-R38&lt;Log!$C$12)),0,IF(S38&lt;&gt;0,R39-R38,IF(S37=0,R39-R36,R39-R37)))</f>
        <v>0</v>
      </c>
      <c r="T39" s="32">
        <f t="shared" si="5"/>
        <v>0</v>
      </c>
      <c r="W39" s="11"/>
    </row>
    <row r="40" spans="1:23" x14ac:dyDescent="0.25">
      <c r="A40" s="58">
        <v>209</v>
      </c>
      <c r="B40" s="85" t="s">
        <v>6</v>
      </c>
      <c r="C40" s="68">
        <f>VLOOKUP(B40,Log!$B$2:$C$8,2,)</f>
        <v>0.45</v>
      </c>
      <c r="D40" s="5">
        <v>37.119999999999997</v>
      </c>
      <c r="E40" s="32">
        <f>IF(OR(AND(OR(B40="Motorbike",B40="CNG",B40="Bicycle",B40="NMV"),D40-D39&lt;Log!$C$13),AND(NOT(OR(B40="Motorbike",B40="CNG",B40="Bicycle",B40="NMV")),D40-D39&lt;Log!$C$12)),0,IF(E39&lt;&gt;0,D40-D39,IF(E38=0,D40-D37,D40-D38)))</f>
        <v>0.79999999999999716</v>
      </c>
      <c r="F40" s="104">
        <f t="shared" si="3"/>
        <v>0.6639999999999977</v>
      </c>
      <c r="O40" s="4">
        <v>239</v>
      </c>
      <c r="P40" s="56" t="s">
        <v>5</v>
      </c>
      <c r="Q40" s="68">
        <f>VLOOKUP(P40,Log!$B$2:$C$8,2,)</f>
        <v>0.38</v>
      </c>
      <c r="R40" s="4">
        <v>37.28</v>
      </c>
      <c r="S40" s="32">
        <f>IF(OR(AND(OR(P40="Motorbike",P40="CNG",P40="Bicycle",P40="NMV"),R40-R39&lt;Log!$C$13),AND(NOT(OR(P40="Motorbike",P40="CNG",P40="Bicycle",P40="NMV")),R40-R39&lt;Log!$C$12)),0,IF(S39&lt;&gt;0,R40-R39,IF(S38=0,R40-R37,R40-R38)))</f>
        <v>3.6000000000000014</v>
      </c>
      <c r="T40" s="32">
        <f t="shared" si="5"/>
        <v>1.3680000000000005</v>
      </c>
      <c r="W40" s="11"/>
    </row>
    <row r="41" spans="1:23" ht="15.75" thickBot="1" x14ac:dyDescent="0.3">
      <c r="A41" s="58">
        <v>255</v>
      </c>
      <c r="B41" s="86" t="s">
        <v>5</v>
      </c>
      <c r="C41" s="68">
        <f>VLOOKUP(B41,Log!$B$2:$C$8,2,)</f>
        <v>0.38</v>
      </c>
      <c r="D41" s="5">
        <v>37.32</v>
      </c>
      <c r="E41" s="32">
        <f>IF(OR(AND(OR(B41="Motorbike",B41="CNG",B41="Bicycle",B41="NMV"),D41-D40&lt;Log!$C$13),AND(NOT(OR(B41="Motorbike",B41="CNG",B41="Bicycle",B41="NMV")),D41-D40&lt;Log!$C$12)),0,IF(E40&lt;&gt;0,D41-D40,IF(E39=0,D41-D38,D41-D39)))</f>
        <v>0</v>
      </c>
      <c r="F41" s="104">
        <f t="shared" si="3"/>
        <v>0</v>
      </c>
      <c r="W41" s="11"/>
    </row>
    <row r="42" spans="1:23" x14ac:dyDescent="0.25">
      <c r="A42" s="58">
        <v>221</v>
      </c>
      <c r="B42" s="70" t="s">
        <v>4</v>
      </c>
      <c r="C42" s="68">
        <f>VLOOKUP(B42,Log!$B$2:$C$8,2,)</f>
        <v>1</v>
      </c>
      <c r="D42" s="5">
        <v>39.68</v>
      </c>
      <c r="E42" s="32">
        <f>IF(OR(AND(OR(B42="Motorbike",B42="CNG",B42="Bicycle",B42="NMV"),D42-D41&lt;Log!$C$13),AND(NOT(OR(B42="Motorbike",B42="CNG",B42="Bicycle",B42="NMV")),D42-D41&lt;Log!$C$12)),0,IF(E41&lt;&gt;0,D42-D41,IF(E40=0,D42-D39,D42-D40)))</f>
        <v>2.5600000000000023</v>
      </c>
      <c r="F42" s="104">
        <f t="shared" si="3"/>
        <v>2.5600000000000023</v>
      </c>
      <c r="W42" s="11"/>
    </row>
    <row r="43" spans="1:23" ht="15.75" thickBot="1" x14ac:dyDescent="0.3">
      <c r="A43" s="59">
        <v>264</v>
      </c>
      <c r="B43" s="54" t="s">
        <v>5</v>
      </c>
      <c r="C43" s="68">
        <f>VLOOKUP(B43,Log!$B$2:$C$8,2,)</f>
        <v>0.38</v>
      </c>
      <c r="D43" s="5">
        <v>41.88</v>
      </c>
      <c r="E43" s="32">
        <f>IF(OR(AND(OR(B43="Motorbike",B43="CNG",B43="Bicycle",B43="NMV"),D43-D42&lt;Log!$C$13),AND(NOT(OR(B43="Motorbike",B43="CNG",B43="Bicycle",B43="NMV")),D43-D42&lt;Log!$C$12)),0,IF(E42&lt;&gt;0,D43-D42,IF(E41=0,D43-D40,D43-D41)))</f>
        <v>2.2000000000000028</v>
      </c>
      <c r="F43" s="104">
        <f t="shared" si="3"/>
        <v>0.83600000000000108</v>
      </c>
      <c r="W43" s="11"/>
    </row>
    <row r="44" spans="1:23" x14ac:dyDescent="0.25">
      <c r="W44" s="11"/>
    </row>
    <row r="52" spans="19:20" x14ac:dyDescent="0.25">
      <c r="S52" s="9">
        <f>AVERAGE(S30:S34)</f>
        <v>1.1759999999999997</v>
      </c>
      <c r="T52" s="9">
        <f>AVERAGE(T30:T34)</f>
        <v>1.790959999999999</v>
      </c>
    </row>
    <row r="53" spans="19:20" x14ac:dyDescent="0.25">
      <c r="S53" s="10">
        <f>3600/S52</f>
        <v>3061.224489795919</v>
      </c>
      <c r="T53" s="10">
        <f>3600/T52</f>
        <v>2010.0951445035075</v>
      </c>
    </row>
  </sheetData>
  <mergeCells count="4">
    <mergeCell ref="C1:D1"/>
    <mergeCell ref="A11:F11"/>
    <mergeCell ref="H11:M11"/>
    <mergeCell ref="O11:T11"/>
  </mergeCells>
  <conditionalFormatting sqref="E15:E43">
    <cfRule type="cellIs" dxfId="11" priority="8" operator="greaterThanOrEqual">
      <formula>4</formula>
    </cfRule>
  </conditionalFormatting>
  <conditionalFormatting sqref="E13:F13">
    <cfRule type="cellIs" dxfId="10" priority="52" operator="greaterThan">
      <formula>4</formula>
    </cfRule>
  </conditionalFormatting>
  <conditionalFormatting sqref="F14:F43">
    <cfRule type="cellIs" dxfId="9" priority="27" operator="greaterThan">
      <formula>4</formula>
    </cfRule>
  </conditionalFormatting>
  <conditionalFormatting sqref="L15:L28">
    <cfRule type="cellIs" dxfId="8" priority="5" operator="greaterThanOrEqual">
      <formula>4</formula>
    </cfRule>
  </conditionalFormatting>
  <conditionalFormatting sqref="L13:M13">
    <cfRule type="cellIs" dxfId="7" priority="49" operator="greaterThan">
      <formula>4</formula>
    </cfRule>
  </conditionalFormatting>
  <conditionalFormatting sqref="L36:M37">
    <cfRule type="cellIs" dxfId="6" priority="54" operator="greaterThan">
      <formula>4</formula>
    </cfRule>
  </conditionalFormatting>
  <conditionalFormatting sqref="M14:M28">
    <cfRule type="cellIs" dxfId="5" priority="20" operator="greaterThan">
      <formula>4</formula>
    </cfRule>
  </conditionalFormatting>
  <conditionalFormatting sqref="S15:S40">
    <cfRule type="cellIs" dxfId="4" priority="2" operator="greaterThanOrEqual">
      <formula>4</formula>
    </cfRule>
  </conditionalFormatting>
  <conditionalFormatting sqref="S13:T13">
    <cfRule type="cellIs" dxfId="3" priority="47" operator="greaterThan">
      <formula>4</formula>
    </cfRule>
  </conditionalFormatting>
  <conditionalFormatting sqref="T14:T40">
    <cfRule type="cellIs" dxfId="2" priority="13" operator="greaterThan">
      <formula>4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BC2CD78-9BE6-4C85-A358-F7334B28E536}">
            <xm:f>AND(OFFSET(E14,0,-3)="Motorbike", E14&lt;Log!$C$13)</xm:f>
            <x14:dxf>
              <font>
                <color theme="4" tint="-0.499984740745262"/>
              </font>
              <fill>
                <patternFill>
                  <bgColor rgb="FFAFEAFF"/>
                </patternFill>
              </fill>
            </x14:dxf>
          </x14:cfRule>
          <x14:cfRule type="expression" priority="9" id="{286C6531-3748-491F-A49E-7A09E0BE7DCF}">
            <xm:f>AND(OFFSET(E14,0,-3)&lt;&gt;"Motorbike", E14&lt;Log!$C$12)</xm:f>
            <x14:dxf>
              <font>
                <color rgb="FF002060"/>
              </font>
              <fill>
                <patternFill>
                  <bgColor theme="8" tint="0.59996337778862885"/>
                </patternFill>
              </fill>
            </x14:dxf>
          </x14:cfRule>
          <xm:sqref>E14:E43 L14:L28 S14:S40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Log</vt:lpstr>
      <vt:lpstr>8.15</vt:lpstr>
      <vt:lpstr>08.58</vt:lpstr>
      <vt:lpstr>9.03</vt:lpstr>
      <vt:lpstr>12.07</vt:lpstr>
      <vt:lpstr>12.16</vt:lpstr>
      <vt:lpstr>1.00</vt:lpstr>
      <vt:lpstr>1.04</vt:lpstr>
      <vt:lpstr>3.01</vt:lpstr>
      <vt:lpstr>3.35</vt:lpstr>
      <vt:lpstr>3.40</vt:lpstr>
      <vt:lpstr>5.02</vt:lpstr>
      <vt:lpstr>5.11</vt:lpstr>
      <vt:lpstr>5.21</vt:lpstr>
      <vt:lpstr>Log!Print_Area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Ishayeet</dc:creator>
  <cp:lastModifiedBy>Author</cp:lastModifiedBy>
  <cp:lastPrinted>2026-04-05T12:20:30Z</cp:lastPrinted>
  <dcterms:created xsi:type="dcterms:W3CDTF">2015-06-05T18:17:20Z</dcterms:created>
  <dcterms:modified xsi:type="dcterms:W3CDTF">2026-04-07T21:50:01Z</dcterms:modified>
</cp:coreProperties>
</file>