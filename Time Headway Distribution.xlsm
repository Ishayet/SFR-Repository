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5.xml" ContentType="application/vnd.openxmlformats-officedocument.themeOverrid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6.xml" ContentType="application/vnd.openxmlformats-officedocument.themeOverrid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7.xml" ContentType="application/vnd.openxmlformats-officedocument.themeOverrid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8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9.xml" ContentType="application/vnd.openxmlformats-officedocument.themeOverrid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0.xml" ContentType="application/vnd.openxmlformats-officedocument.themeOverrid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1.xml" ContentType="application/vnd.openxmlformats-officedocument.themeOverrid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Saturation Flow Calculation\"/>
    </mc:Choice>
  </mc:AlternateContent>
  <xr:revisionPtr revIDLastSave="0" documentId="13_ncr:1_{C6922698-9740-405E-A029-3AB22B7D3E56}" xr6:coauthVersionLast="47" xr6:coauthVersionMax="47" xr10:uidLastSave="{00000000-0000-0000-0000-000000000000}"/>
  <bookViews>
    <workbookView xWindow="2925" yWindow="2655" windowWidth="24270" windowHeight="11940" xr2:uid="{00000000-000D-0000-FFFF-FFFF00000000}"/>
  </bookViews>
  <sheets>
    <sheet name="Sheet1" sheetId="23" r:id="rId1"/>
    <sheet name="3 lanes" sheetId="21" r:id="rId2"/>
    <sheet name="Startup delay" sheetId="22" r:id="rId3"/>
    <sheet name="Log" sheetId="7" r:id="rId4"/>
    <sheet name="08.58" sheetId="20" r:id="rId5"/>
    <sheet name="8.15" sheetId="11" r:id="rId6"/>
    <sheet name="9.03" sheetId="12" r:id="rId7"/>
    <sheet name="12.07" sheetId="13" r:id="rId8"/>
    <sheet name="12.16" sheetId="14" r:id="rId9"/>
    <sheet name="1.00" sheetId="15" r:id="rId10"/>
    <sheet name="1.04" sheetId="16" r:id="rId11"/>
    <sheet name="3.01" sheetId="8" r:id="rId12"/>
    <sheet name="3.35" sheetId="5" r:id="rId13"/>
    <sheet name="3.40" sheetId="6" r:id="rId14"/>
    <sheet name="5.02" sheetId="17" r:id="rId15"/>
    <sheet name="5.11" sheetId="18" r:id="rId16"/>
    <sheet name="5.21" sheetId="19" r:id="rId17"/>
  </sheets>
  <definedNames>
    <definedName name="_xlchart.v1.0" hidden="1">Sheet1!$C$17</definedName>
    <definedName name="_xlchart.v1.1" hidden="1">Sheet1!$C$18:$C$30</definedName>
    <definedName name="_xlchart.v1.10" hidden="1">Sheet1!$H$17</definedName>
    <definedName name="_xlchart.v1.100" hidden="1">'3 lanes'!$D$13:$D$86</definedName>
    <definedName name="_xlchart.v1.11" hidden="1">Sheet1!$H$18:$H$30</definedName>
    <definedName name="_xlchart.v1.12" hidden="1">Sheet1!$I$17</definedName>
    <definedName name="_xlchart.v1.13" hidden="1">Sheet1!$I$18:$I$30</definedName>
    <definedName name="_xlchart.v1.14" hidden="1">Sheet1!$J$17</definedName>
    <definedName name="_xlchart.v1.15" hidden="1">Sheet1!$J$18:$J$30</definedName>
    <definedName name="_xlchart.v1.16" hidden="1">Sheet1!$K$17</definedName>
    <definedName name="_xlchart.v1.17" hidden="1">Sheet1!$K$18:$K$30</definedName>
    <definedName name="_xlchart.v1.18" hidden="1">Sheet1!$L$17</definedName>
    <definedName name="_xlchart.v1.19" hidden="1">Sheet1!$L$18:$L$30</definedName>
    <definedName name="_xlchart.v1.2" hidden="1">Sheet1!$D$17</definedName>
    <definedName name="_xlchart.v1.20" hidden="1">Sheet1!$C$52</definedName>
    <definedName name="_xlchart.v1.21" hidden="1">Sheet1!$C$53:$C$65</definedName>
    <definedName name="_xlchart.v1.22" hidden="1">Sheet1!$D$52</definedName>
    <definedName name="_xlchart.v1.23" hidden="1">Sheet1!$D$53:$D$65</definedName>
    <definedName name="_xlchart.v1.24" hidden="1">Sheet1!$E$52</definedName>
    <definedName name="_xlchart.v1.25" hidden="1">Sheet1!$E$53:$E$65</definedName>
    <definedName name="_xlchart.v1.26" hidden="1">Sheet1!$F$52</definedName>
    <definedName name="_xlchart.v1.27" hidden="1">Sheet1!$F$53:$F$65</definedName>
    <definedName name="_xlchart.v1.28" hidden="1">Sheet1!$G$52</definedName>
    <definedName name="_xlchart.v1.29" hidden="1">Sheet1!$G$53:$G$65</definedName>
    <definedName name="_xlchart.v1.3" hidden="1">Sheet1!$D$18:$D$30</definedName>
    <definedName name="_xlchart.v1.30" hidden="1">Sheet1!$H$52</definedName>
    <definedName name="_xlchart.v1.31" hidden="1">Sheet1!$H$53:$H$65</definedName>
    <definedName name="_xlchart.v1.32" hidden="1">Sheet1!$I$52</definedName>
    <definedName name="_xlchart.v1.33" hidden="1">Sheet1!$I$53:$I$65</definedName>
    <definedName name="_xlchart.v1.34" hidden="1">Sheet1!$J$52</definedName>
    <definedName name="_xlchart.v1.35" hidden="1">Sheet1!$J$53:$J$65</definedName>
    <definedName name="_xlchart.v1.36" hidden="1">Sheet1!$K$52</definedName>
    <definedName name="_xlchart.v1.37" hidden="1">Sheet1!$K$53:$K$65</definedName>
    <definedName name="_xlchart.v1.38" hidden="1">Sheet1!$L$52</definedName>
    <definedName name="_xlchart.v1.39" hidden="1">Sheet1!$L$53:$L$65</definedName>
    <definedName name="_xlchart.v1.4" hidden="1">Sheet1!$E$17</definedName>
    <definedName name="_xlchart.v1.40" hidden="1">Sheet1!$C$111:$C$123</definedName>
    <definedName name="_xlchart.v1.41" hidden="1">Sheet1!$C$111:$C$136</definedName>
    <definedName name="_xlchart.v1.42" hidden="1">Sheet1!$C$17</definedName>
    <definedName name="_xlchart.v1.43" hidden="1">Sheet1!$C$18:$C$30</definedName>
    <definedName name="_xlchart.v1.44" hidden="1">Sheet1!$D$111:$D$123</definedName>
    <definedName name="_xlchart.v1.45" hidden="1">Sheet1!$D$111:$D$136</definedName>
    <definedName name="_xlchart.v1.46" hidden="1">Sheet1!$D$17</definedName>
    <definedName name="_xlchart.v1.47" hidden="1">Sheet1!$D$18:$D$30</definedName>
    <definedName name="_xlchart.v1.48" hidden="1">Sheet1!$E$111:$E$123</definedName>
    <definedName name="_xlchart.v1.49" hidden="1">Sheet1!$E$111:$E$136</definedName>
    <definedName name="_xlchart.v1.5" hidden="1">Sheet1!$E$18:$E$30</definedName>
    <definedName name="_xlchart.v1.50" hidden="1">Sheet1!$E$17</definedName>
    <definedName name="_xlchart.v1.51" hidden="1">Sheet1!$E$18:$E$30</definedName>
    <definedName name="_xlchart.v1.52" hidden="1">Sheet1!$F$111:$F$123</definedName>
    <definedName name="_xlchart.v1.53" hidden="1">Sheet1!$F$111:$F$136</definedName>
    <definedName name="_xlchart.v1.54" hidden="1">Sheet1!$F$17</definedName>
    <definedName name="_xlchart.v1.55" hidden="1">Sheet1!$F$18:$F$30</definedName>
    <definedName name="_xlchart.v1.56" hidden="1">Sheet1!$G$111:$G$123</definedName>
    <definedName name="_xlchart.v1.57" hidden="1">Sheet1!$G$111:$G$136</definedName>
    <definedName name="_xlchart.v1.58" hidden="1">Sheet1!$G$17</definedName>
    <definedName name="_xlchart.v1.59" hidden="1">Sheet1!$G$18:$G$30</definedName>
    <definedName name="_xlchart.v1.6" hidden="1">Sheet1!$F$17</definedName>
    <definedName name="_xlchart.v1.60" hidden="1">Sheet1!$H$111:$H$123</definedName>
    <definedName name="_xlchart.v1.61" hidden="1">Sheet1!$H$111:$H$136</definedName>
    <definedName name="_xlchart.v1.62" hidden="1">Sheet1!$H$17</definedName>
    <definedName name="_xlchart.v1.63" hidden="1">Sheet1!$H$18:$H$30</definedName>
    <definedName name="_xlchart.v1.64" hidden="1">Sheet1!$I$111:$I$123</definedName>
    <definedName name="_xlchart.v1.65" hidden="1">Sheet1!$I$111:$I$136</definedName>
    <definedName name="_xlchart.v1.66" hidden="1">Sheet1!$I$17</definedName>
    <definedName name="_xlchart.v1.67" hidden="1">Sheet1!$I$18:$I$30</definedName>
    <definedName name="_xlchart.v1.68" hidden="1">Sheet1!$J$111:$J$123</definedName>
    <definedName name="_xlchart.v1.69" hidden="1">Sheet1!$J$111:$J$136</definedName>
    <definedName name="_xlchart.v1.7" hidden="1">Sheet1!$F$18:$F$30</definedName>
    <definedName name="_xlchart.v1.70" hidden="1">Sheet1!$J$17</definedName>
    <definedName name="_xlchart.v1.71" hidden="1">Sheet1!$J$18:$J$30</definedName>
    <definedName name="_xlchart.v1.72" hidden="1">Sheet1!$K$111:$K$123</definedName>
    <definedName name="_xlchart.v1.73" hidden="1">Sheet1!$K$111:$K$136</definedName>
    <definedName name="_xlchart.v1.74" hidden="1">Sheet1!$K$17</definedName>
    <definedName name="_xlchart.v1.75" hidden="1">Sheet1!$K$18:$K$30</definedName>
    <definedName name="_xlchart.v1.76" hidden="1">Sheet1!$L$111:$L$123</definedName>
    <definedName name="_xlchart.v1.77" hidden="1">Sheet1!$L$111:$L$136</definedName>
    <definedName name="_xlchart.v1.78" hidden="1">Sheet1!$L$17</definedName>
    <definedName name="_xlchart.v1.79" hidden="1">Sheet1!$L$18:$L$30</definedName>
    <definedName name="_xlchart.v1.8" hidden="1">Sheet1!$G$17</definedName>
    <definedName name="_xlchart.v1.80" hidden="1">Sheet1!$C$17</definedName>
    <definedName name="_xlchart.v1.81" hidden="1">Sheet1!$C$18:$C$30</definedName>
    <definedName name="_xlchart.v1.82" hidden="1">Sheet1!$D$17</definedName>
    <definedName name="_xlchart.v1.83" hidden="1">Sheet1!$D$18:$D$30</definedName>
    <definedName name="_xlchart.v1.84" hidden="1">Sheet1!$E$17</definedName>
    <definedName name="_xlchart.v1.85" hidden="1">Sheet1!$E$18:$E$30</definedName>
    <definedName name="_xlchart.v1.86" hidden="1">Sheet1!$F$17</definedName>
    <definedName name="_xlchart.v1.87" hidden="1">Sheet1!$F$18:$F$30</definedName>
    <definedName name="_xlchart.v1.88" hidden="1">Sheet1!$G$17</definedName>
    <definedName name="_xlchart.v1.89" hidden="1">Sheet1!$G$18:$G$30</definedName>
    <definedName name="_xlchart.v1.9" hidden="1">Sheet1!$G$18:$G$30</definedName>
    <definedName name="_xlchart.v1.90" hidden="1">Sheet1!$H$17</definedName>
    <definedName name="_xlchart.v1.91" hidden="1">Sheet1!$H$18:$H$30</definedName>
    <definedName name="_xlchart.v1.92" hidden="1">Sheet1!$I$17</definedName>
    <definedName name="_xlchart.v1.93" hidden="1">Sheet1!$I$18:$I$30</definedName>
    <definedName name="_xlchart.v1.94" hidden="1">Sheet1!$J$17</definedName>
    <definedName name="_xlchart.v1.95" hidden="1">Sheet1!$J$18:$J$30</definedName>
    <definedName name="_xlchart.v1.96" hidden="1">Sheet1!$K$17</definedName>
    <definedName name="_xlchart.v1.97" hidden="1">Sheet1!$K$18:$K$30</definedName>
    <definedName name="_xlchart.v1.98" hidden="1">Sheet1!$L$17</definedName>
    <definedName name="_xlchart.v1.99" hidden="1">Sheet1!$L$18:$L$30</definedName>
    <definedName name="_xleta.COUNT" hidden="1" xlm="1">#NAME?</definedName>
    <definedName name="_xleta.COUNTA" hidden="1" xlm="1">#NAME?</definedName>
    <definedName name="_xleta.TYPE" hidden="1" xlm="1">#NAME?</definedName>
    <definedName name="_xlpm.data" hidden="1" xlm="1">#NAME?</definedName>
    <definedName name="_xlpm.s" hidden="1" xlm="1">#NAME?</definedName>
    <definedName name="_xlpm.type" hidden="1" xlm="1">#NAME?</definedName>
    <definedName name="_xlnm.Print_Area" localSheetId="3">Log!$B$17:$J$34</definedName>
    <definedName name="solver_adj" localSheetId="1" hidden="1">'3 lanes'!$I$90:$I$96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'3 lanes'!$I$90</definedName>
    <definedName name="solver_lhs10" localSheetId="1" hidden="1">'3 lanes'!$I$95</definedName>
    <definedName name="solver_lhs11" localSheetId="1" hidden="1">'3 lanes'!$I$95</definedName>
    <definedName name="solver_lhs12" localSheetId="1" hidden="1">'3 lanes'!$I$96</definedName>
    <definedName name="solver_lhs13" localSheetId="1" hidden="1">'3 lanes'!$I$96</definedName>
    <definedName name="solver_lhs14" localSheetId="1" hidden="1">'3 lanes'!$I$97</definedName>
    <definedName name="solver_lhs2" localSheetId="1" hidden="1">'3 lanes'!$I$91</definedName>
    <definedName name="solver_lhs3" localSheetId="1" hidden="1">'3 lanes'!$I$91</definedName>
    <definedName name="solver_lhs4" localSheetId="1" hidden="1">'3 lanes'!$I$92</definedName>
    <definedName name="solver_lhs5" localSheetId="1" hidden="1">'3 lanes'!$I$92</definedName>
    <definedName name="solver_lhs6" localSheetId="1" hidden="1">'3 lanes'!$I$93</definedName>
    <definedName name="solver_lhs7" localSheetId="1" hidden="1">'3 lanes'!$I$93</definedName>
    <definedName name="solver_lhs8" localSheetId="1" hidden="1">'3 lanes'!$I$94</definedName>
    <definedName name="solver_lhs9" localSheetId="1" hidden="1">'3 lanes'!$I$94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14</definedName>
    <definedName name="solver_nwt" localSheetId="1" hidden="1">1</definedName>
    <definedName name="solver_opt" localSheetId="1" hidden="1">'3 lanes'!$I$100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3</definedName>
    <definedName name="solver_rel2" localSheetId="1" hidden="1">1</definedName>
    <definedName name="solver_rel3" localSheetId="1" hidden="1">3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1</definedName>
    <definedName name="solver_rhs10" localSheetId="1" hidden="1">0.5</definedName>
    <definedName name="solver_rhs11" localSheetId="1" hidden="1">0.1</definedName>
    <definedName name="solver_rhs12" localSheetId="1" hidden="1">2</definedName>
    <definedName name="solver_rhs13" localSheetId="1" hidden="1">0.9</definedName>
    <definedName name="solver_rhs14" localSheetId="1" hidden="1">0.001</definedName>
    <definedName name="solver_rhs2" localSheetId="1" hidden="1">2</definedName>
    <definedName name="solver_rhs3" localSheetId="1" hidden="1">1</definedName>
    <definedName name="solver_rhs4" localSheetId="1" hidden="1">0.6</definedName>
    <definedName name="solver_rhs5" localSheetId="1" hidden="1">0.4</definedName>
    <definedName name="solver_rhs6" localSheetId="1" hidden="1">0.6</definedName>
    <definedName name="solver_rhs7" localSheetId="1" hidden="1">0.3</definedName>
    <definedName name="solver_rhs8" localSheetId="1" hidden="1">2</definedName>
    <definedName name="solver_rhs9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7" l="1"/>
  <c r="C33" i="7"/>
  <c r="E31" i="7"/>
  <c r="E32" i="7"/>
  <c r="E29" i="7"/>
  <c r="E27" i="7"/>
  <c r="E22" i="7"/>
  <c r="D22" i="7"/>
  <c r="E33" i="7"/>
  <c r="D33" i="7"/>
  <c r="E23" i="7"/>
  <c r="D34" i="7"/>
  <c r="D32" i="7"/>
  <c r="D31" i="7"/>
  <c r="D29" i="7"/>
  <c r="D27" i="7"/>
  <c r="D25" i="7"/>
  <c r="D24" i="7"/>
  <c r="D23" i="7"/>
  <c r="S72" i="23" a="1"/>
  <c r="S72" i="23" s="1"/>
  <c r="R72" i="23" a="1"/>
  <c r="R72" i="23" s="1"/>
  <c r="Q72" i="23" a="1"/>
  <c r="Q72" i="23" s="1"/>
  <c r="P72" i="23" a="1"/>
  <c r="P72" i="23" s="1"/>
  <c r="O72" i="23" a="1"/>
  <c r="O72" i="23" s="1"/>
  <c r="N72" i="23" a="1"/>
  <c r="N72" i="23" s="1"/>
  <c r="M72" i="23" a="1"/>
  <c r="M72" i="23" s="1"/>
  <c r="L72" i="23" a="1"/>
  <c r="L72" i="23" s="1"/>
  <c r="K72" i="23" a="1"/>
  <c r="K72" i="23" s="1"/>
  <c r="J72" i="23" a="1"/>
  <c r="J72" i="23" s="1"/>
  <c r="I72" i="23" a="1"/>
  <c r="I72" i="23" s="1"/>
  <c r="H72" i="23" a="1"/>
  <c r="H72" i="23" s="1"/>
  <c r="G72" i="23" a="1"/>
  <c r="G72" i="23" s="1"/>
  <c r="F72" i="23" a="1"/>
  <c r="F72" i="23" s="1"/>
  <c r="E72" i="23" a="1"/>
  <c r="E72" i="23" s="1"/>
  <c r="D72" i="23" a="1"/>
  <c r="D72" i="23" s="1"/>
  <c r="C72" i="23" a="1"/>
  <c r="C72" i="23" s="1"/>
  <c r="S36" i="23" a="1"/>
  <c r="S36" i="23" s="1"/>
  <c r="R36" i="23" a="1"/>
  <c r="R36" i="23" s="1"/>
  <c r="Q36" i="23" a="1"/>
  <c r="Q36" i="23" s="1"/>
  <c r="P36" i="23" a="1"/>
  <c r="P36" i="23" s="1"/>
  <c r="O36" i="23" a="1"/>
  <c r="O36" i="23" s="1"/>
  <c r="N36" i="23" a="1"/>
  <c r="N36" i="23" s="1"/>
  <c r="M36" i="23" a="1"/>
  <c r="M36" i="23" s="1"/>
  <c r="L36" i="23" a="1"/>
  <c r="L36" i="23" s="1"/>
  <c r="K36" i="23" a="1"/>
  <c r="K36" i="23" s="1"/>
  <c r="J36" i="23" a="1"/>
  <c r="J36" i="23" s="1"/>
  <c r="I36" i="23" a="1"/>
  <c r="I36" i="23" s="1"/>
  <c r="H36" i="23" a="1"/>
  <c r="H36" i="23" s="1"/>
  <c r="G36" i="23" a="1"/>
  <c r="G36" i="23" s="1"/>
  <c r="F36" i="23" a="1"/>
  <c r="F36" i="23" s="1"/>
  <c r="E36" i="23" a="1"/>
  <c r="E36" i="23" s="1"/>
  <c r="D36" i="23" a="1"/>
  <c r="D36" i="23" s="1"/>
  <c r="C36" i="23" a="1"/>
  <c r="C36" i="23" s="1"/>
  <c r="S2" i="23" a="1"/>
  <c r="S2" i="23" s="1"/>
  <c r="R2" i="23" a="1"/>
  <c r="R2" i="23" s="1"/>
  <c r="Q2" i="23" a="1"/>
  <c r="Q2" i="23" s="1"/>
  <c r="P2" i="23" a="1"/>
  <c r="P2" i="23" s="1"/>
  <c r="O2" i="23" a="1"/>
  <c r="O2" i="23" s="1"/>
  <c r="N2" i="23" a="1"/>
  <c r="N2" i="23" s="1"/>
  <c r="M2" i="23" a="1"/>
  <c r="M2" i="23" s="1"/>
  <c r="L2" i="23" a="1"/>
  <c r="L2" i="23" s="1"/>
  <c r="K2" i="23" a="1"/>
  <c r="K2" i="23" s="1"/>
  <c r="J2" i="23" a="1"/>
  <c r="J2" i="23" s="1"/>
  <c r="I2" i="23" a="1"/>
  <c r="I2" i="23" s="1"/>
  <c r="H2" i="23" a="1"/>
  <c r="H2" i="23" s="1"/>
  <c r="G2" i="23" a="1"/>
  <c r="G2" i="23" s="1"/>
  <c r="F2" i="23" a="1"/>
  <c r="F2" i="23" s="1"/>
  <c r="E2" i="23" a="1"/>
  <c r="E2" i="23" s="1"/>
  <c r="D2" i="23" a="1"/>
  <c r="D2" i="23" s="1"/>
  <c r="C2" i="23" a="1"/>
  <c r="C2" i="23" s="1"/>
  <c r="E42" i="7"/>
  <c r="E48" i="7" s="1"/>
  <c r="E43" i="7"/>
  <c r="E44" i="7"/>
  <c r="E45" i="7"/>
  <c r="E46" i="7"/>
  <c r="E47" i="7"/>
  <c r="E41" i="7"/>
  <c r="D42" i="7"/>
  <c r="D43" i="7"/>
  <c r="D44" i="7"/>
  <c r="D45" i="7"/>
  <c r="D46" i="7"/>
  <c r="D47" i="7"/>
  <c r="D41" i="7"/>
  <c r="C42" i="7"/>
  <c r="C43" i="7"/>
  <c r="C44" i="7"/>
  <c r="C45" i="7"/>
  <c r="C46" i="7"/>
  <c r="C47" i="7"/>
  <c r="C41" i="7"/>
  <c r="B4" i="11"/>
  <c r="C48" i="7" l="1"/>
  <c r="D48" i="7"/>
  <c r="P5" i="19"/>
  <c r="P6" i="19"/>
  <c r="P7" i="19"/>
  <c r="P8" i="19"/>
  <c r="P9" i="19"/>
  <c r="P9" i="18"/>
  <c r="P8" i="18"/>
  <c r="P9" i="17"/>
  <c r="P8" i="17"/>
  <c r="P9" i="6"/>
  <c r="P8" i="6"/>
  <c r="P8" i="5"/>
  <c r="P7" i="5"/>
  <c r="P9" i="8"/>
  <c r="P8" i="8"/>
  <c r="P9" i="16"/>
  <c r="P8" i="16"/>
  <c r="P9" i="15"/>
  <c r="P8" i="15"/>
  <c r="P9" i="14"/>
  <c r="P8" i="14"/>
  <c r="P9" i="13"/>
  <c r="P8" i="13"/>
  <c r="P9" i="12"/>
  <c r="P8" i="12"/>
  <c r="P9" i="20"/>
  <c r="P8" i="20"/>
  <c r="P9" i="11"/>
  <c r="P8" i="11"/>
  <c r="P4" i="19"/>
  <c r="I7" i="19"/>
  <c r="I6" i="19"/>
  <c r="I5" i="19"/>
  <c r="I4" i="19"/>
  <c r="B7" i="19"/>
  <c r="B6" i="19"/>
  <c r="B5" i="19"/>
  <c r="B4" i="19"/>
  <c r="P5" i="18"/>
  <c r="P6" i="18"/>
  <c r="P7" i="18"/>
  <c r="P4" i="18"/>
  <c r="I7" i="18"/>
  <c r="I6" i="18"/>
  <c r="I5" i="18"/>
  <c r="I4" i="18"/>
  <c r="B7" i="18"/>
  <c r="B6" i="18"/>
  <c r="B5" i="18"/>
  <c r="B4" i="18"/>
  <c r="P7" i="17"/>
  <c r="P6" i="17"/>
  <c r="P5" i="17"/>
  <c r="P4" i="17"/>
  <c r="I7" i="17"/>
  <c r="I6" i="17"/>
  <c r="I5" i="17"/>
  <c r="I4" i="17"/>
  <c r="B7" i="17"/>
  <c r="B6" i="17"/>
  <c r="B5" i="17"/>
  <c r="B4" i="17"/>
  <c r="P7" i="6"/>
  <c r="P6" i="6"/>
  <c r="P5" i="6"/>
  <c r="P4" i="6"/>
  <c r="I7" i="6"/>
  <c r="I6" i="6"/>
  <c r="I5" i="6"/>
  <c r="I4" i="6"/>
  <c r="B7" i="6"/>
  <c r="B6" i="6"/>
  <c r="B5" i="6"/>
  <c r="B4" i="6"/>
  <c r="P6" i="5"/>
  <c r="P5" i="5"/>
  <c r="P4" i="5"/>
  <c r="P3" i="5"/>
  <c r="I4" i="5"/>
  <c r="I5" i="5"/>
  <c r="I6" i="5"/>
  <c r="I3" i="5"/>
  <c r="B6" i="5"/>
  <c r="B5" i="5"/>
  <c r="B4" i="5"/>
  <c r="B3" i="5"/>
  <c r="P7" i="8"/>
  <c r="P6" i="8"/>
  <c r="P5" i="8"/>
  <c r="P4" i="8"/>
  <c r="I7" i="8"/>
  <c r="I6" i="8"/>
  <c r="I5" i="8"/>
  <c r="I4" i="8"/>
  <c r="B5" i="8"/>
  <c r="B6" i="8"/>
  <c r="B7" i="8"/>
  <c r="B4" i="8"/>
  <c r="P7" i="16"/>
  <c r="P6" i="16"/>
  <c r="P5" i="16"/>
  <c r="P4" i="16"/>
  <c r="I7" i="16"/>
  <c r="I6" i="16"/>
  <c r="I5" i="16"/>
  <c r="I4" i="16"/>
  <c r="B7" i="16"/>
  <c r="B6" i="16"/>
  <c r="B5" i="16"/>
  <c r="B4" i="16"/>
  <c r="P5" i="15"/>
  <c r="P6" i="15"/>
  <c r="P7" i="15"/>
  <c r="P4" i="15"/>
  <c r="I7" i="15"/>
  <c r="I6" i="15"/>
  <c r="I5" i="15"/>
  <c r="I4" i="15"/>
  <c r="B7" i="15"/>
  <c r="B6" i="15"/>
  <c r="B5" i="15"/>
  <c r="B4" i="15"/>
  <c r="P7" i="14"/>
  <c r="P6" i="14"/>
  <c r="P5" i="14"/>
  <c r="P4" i="14"/>
  <c r="I5" i="14"/>
  <c r="I6" i="14"/>
  <c r="I7" i="14"/>
  <c r="I4" i="14"/>
  <c r="B7" i="14"/>
  <c r="B6" i="14"/>
  <c r="B5" i="14"/>
  <c r="B4" i="14"/>
  <c r="P5" i="13"/>
  <c r="P6" i="13"/>
  <c r="P7" i="13"/>
  <c r="P4" i="13"/>
  <c r="I5" i="13"/>
  <c r="I6" i="13"/>
  <c r="I7" i="13"/>
  <c r="I4" i="13"/>
  <c r="B7" i="13"/>
  <c r="B6" i="13"/>
  <c r="B5" i="13"/>
  <c r="B4" i="13"/>
  <c r="E29" i="11"/>
  <c r="S6" i="5"/>
  <c r="L6" i="5"/>
  <c r="E6" i="5"/>
  <c r="E6" i="21"/>
  <c r="P118" i="21"/>
  <c r="P119" i="21"/>
  <c r="P120" i="21"/>
  <c r="P121" i="21"/>
  <c r="P122" i="21"/>
  <c r="P123" i="21"/>
  <c r="P124" i="21"/>
  <c r="P125" i="21"/>
  <c r="P126" i="21"/>
  <c r="P117" i="21"/>
  <c r="L16" i="11"/>
  <c r="F4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F59" i="22"/>
  <c r="F58" i="22"/>
  <c r="F57" i="22"/>
  <c r="F56" i="22"/>
  <c r="F55" i="22"/>
  <c r="F54" i="22"/>
  <c r="F53" i="22"/>
  <c r="F52" i="22"/>
  <c r="F51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A51" i="11"/>
  <c r="A52" i="11" s="1"/>
  <c r="I27" i="21"/>
  <c r="I28" i="21" s="1"/>
  <c r="I29" i="21" s="1"/>
  <c r="I30" i="21" s="1"/>
  <c r="I31" i="21" s="1"/>
  <c r="I32" i="21" s="1"/>
  <c r="I33" i="21" s="1"/>
  <c r="I34" i="21" s="1"/>
  <c r="I35" i="21" s="1"/>
  <c r="I36" i="21" s="1"/>
  <c r="N3" i="7"/>
  <c r="N7" i="7" s="1"/>
  <c r="C99" i="21"/>
  <c r="F99" i="21" s="1"/>
  <c r="C100" i="21"/>
  <c r="C101" i="21"/>
  <c r="F101" i="21" s="1"/>
  <c r="C102" i="21"/>
  <c r="F102" i="21" s="1"/>
  <c r="C103" i="21"/>
  <c r="F103" i="21" s="1"/>
  <c r="C104" i="21"/>
  <c r="F104" i="21" s="1"/>
  <c r="C105" i="21"/>
  <c r="F105" i="21" s="1"/>
  <c r="C106" i="21"/>
  <c r="F106" i="21" s="1"/>
  <c r="C107" i="21"/>
  <c r="F107" i="21" s="1"/>
  <c r="C108" i="21"/>
  <c r="F108" i="21" s="1"/>
  <c r="C109" i="21"/>
  <c r="F109" i="21" s="1"/>
  <c r="C110" i="21"/>
  <c r="F110" i="21" s="1"/>
  <c r="C111" i="21"/>
  <c r="F111" i="21" s="1"/>
  <c r="C112" i="21"/>
  <c r="F112" i="21" s="1"/>
  <c r="C113" i="21"/>
  <c r="F113" i="21" s="1"/>
  <c r="C114" i="21"/>
  <c r="F114" i="21" s="1"/>
  <c r="C115" i="21"/>
  <c r="F115" i="21" s="1"/>
  <c r="C116" i="21"/>
  <c r="F116" i="21" s="1"/>
  <c r="C117" i="21"/>
  <c r="F117" i="21" s="1"/>
  <c r="C118" i="21"/>
  <c r="F118" i="21" s="1"/>
  <c r="C119" i="21"/>
  <c r="F119" i="21" s="1"/>
  <c r="C120" i="21"/>
  <c r="F120" i="21" s="1"/>
  <c r="C121" i="21"/>
  <c r="F121" i="21" s="1"/>
  <c r="C122" i="21"/>
  <c r="F122" i="21" s="1"/>
  <c r="C123" i="21"/>
  <c r="F123" i="21" s="1"/>
  <c r="C124" i="21"/>
  <c r="F124" i="21" s="1"/>
  <c r="C125" i="21"/>
  <c r="F125" i="21" s="1"/>
  <c r="C98" i="21"/>
  <c r="F98" i="21" s="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L117" i="21" s="1"/>
  <c r="E118" i="21"/>
  <c r="E119" i="21"/>
  <c r="E120" i="21"/>
  <c r="E121" i="21"/>
  <c r="E122" i="21"/>
  <c r="E123" i="21"/>
  <c r="E124" i="21"/>
  <c r="E125" i="21"/>
  <c r="E98" i="21"/>
  <c r="P4" i="11"/>
  <c r="P5" i="11"/>
  <c r="P6" i="11"/>
  <c r="P7" i="11"/>
  <c r="B5" i="12"/>
  <c r="B6" i="12"/>
  <c r="B7" i="12"/>
  <c r="B4" i="12"/>
  <c r="I5" i="12"/>
  <c r="I6" i="12"/>
  <c r="I7" i="12"/>
  <c r="I4" i="12"/>
  <c r="P5" i="12"/>
  <c r="P6" i="12"/>
  <c r="P7" i="12"/>
  <c r="P4" i="12"/>
  <c r="B5" i="20"/>
  <c r="B6" i="20"/>
  <c r="B7" i="20"/>
  <c r="B4" i="20"/>
  <c r="I5" i="20"/>
  <c r="I6" i="20"/>
  <c r="I7" i="20"/>
  <c r="I4" i="20"/>
  <c r="P5" i="20"/>
  <c r="P6" i="20"/>
  <c r="P7" i="20"/>
  <c r="P4" i="20"/>
  <c r="I5" i="11"/>
  <c r="I6" i="11"/>
  <c r="I7" i="11"/>
  <c r="I4" i="11"/>
  <c r="B6" i="11"/>
  <c r="B7" i="11"/>
  <c r="B5" i="1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6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15" i="21"/>
  <c r="E16" i="21"/>
  <c r="E17" i="21"/>
  <c r="E18" i="21"/>
  <c r="E14" i="21"/>
  <c r="C86" i="21"/>
  <c r="F86" i="21" s="1"/>
  <c r="C85" i="21"/>
  <c r="F85" i="21" s="1"/>
  <c r="C84" i="21"/>
  <c r="F84" i="21" s="1"/>
  <c r="C83" i="21"/>
  <c r="F83" i="21" s="1"/>
  <c r="C79" i="21"/>
  <c r="C81" i="21"/>
  <c r="C82" i="21"/>
  <c r="F82" i="21" s="1"/>
  <c r="C77" i="21"/>
  <c r="C76" i="21"/>
  <c r="C80" i="21"/>
  <c r="C72" i="21"/>
  <c r="C74" i="21"/>
  <c r="C78" i="21"/>
  <c r="C70" i="21"/>
  <c r="C71" i="21"/>
  <c r="C75" i="21"/>
  <c r="C66" i="21"/>
  <c r="C68" i="21"/>
  <c r="C73" i="21"/>
  <c r="C64" i="21"/>
  <c r="C65" i="21"/>
  <c r="C69" i="21"/>
  <c r="C62" i="21"/>
  <c r="C59" i="21"/>
  <c r="C67" i="21"/>
  <c r="C60" i="21"/>
  <c r="C54" i="21"/>
  <c r="C63" i="21"/>
  <c r="C58" i="21"/>
  <c r="C51" i="21"/>
  <c r="C61" i="21"/>
  <c r="C56" i="21"/>
  <c r="C48" i="21"/>
  <c r="C57" i="21"/>
  <c r="C52" i="21"/>
  <c r="C47" i="21"/>
  <c r="C55" i="21"/>
  <c r="C49" i="21"/>
  <c r="C44" i="21"/>
  <c r="C53" i="21"/>
  <c r="C45" i="21"/>
  <c r="C42" i="21"/>
  <c r="C50" i="21"/>
  <c r="C41" i="21"/>
  <c r="C39" i="21"/>
  <c r="C46" i="21"/>
  <c r="C40" i="21"/>
  <c r="C35" i="21"/>
  <c r="C43" i="21"/>
  <c r="C37" i="21"/>
  <c r="C31" i="21"/>
  <c r="C38" i="21"/>
  <c r="C36" i="21"/>
  <c r="C29" i="21"/>
  <c r="C33" i="21"/>
  <c r="C34" i="21"/>
  <c r="C28" i="21"/>
  <c r="C26" i="21"/>
  <c r="C32" i="21"/>
  <c r="C27" i="21"/>
  <c r="C21" i="21"/>
  <c r="C30" i="21"/>
  <c r="C23" i="21"/>
  <c r="C19" i="21"/>
  <c r="C25" i="21"/>
  <c r="C22" i="21"/>
  <c r="C17" i="21"/>
  <c r="C24" i="21"/>
  <c r="C20" i="21"/>
  <c r="C15" i="21"/>
  <c r="C16" i="21"/>
  <c r="C18" i="21"/>
  <c r="C14" i="21"/>
  <c r="C13" i="21"/>
  <c r="A34" i="7"/>
  <c r="A33" i="7"/>
  <c r="A32" i="7"/>
  <c r="A30" i="7"/>
  <c r="A29" i="7"/>
  <c r="A28" i="7"/>
  <c r="A27" i="7"/>
  <c r="A26" i="7"/>
  <c r="A25" i="7"/>
  <c r="A24" i="7"/>
  <c r="A23" i="7"/>
  <c r="A22" i="7"/>
  <c r="E31" i="18"/>
  <c r="E22" i="17"/>
  <c r="E21" i="17"/>
  <c r="E23" i="17"/>
  <c r="Q15" i="5"/>
  <c r="S14" i="5"/>
  <c r="Q14" i="5"/>
  <c r="S15" i="5"/>
  <c r="E33" i="8"/>
  <c r="E16" i="16"/>
  <c r="E15" i="16"/>
  <c r="L21" i="15"/>
  <c r="S19" i="11"/>
  <c r="S21" i="11"/>
  <c r="S22" i="11"/>
  <c r="S23" i="11"/>
  <c r="S24" i="11"/>
  <c r="S25" i="11"/>
  <c r="S27" i="11"/>
  <c r="S28" i="11"/>
  <c r="S29" i="11"/>
  <c r="S46" i="12"/>
  <c r="S48" i="12"/>
  <c r="L32" i="12"/>
  <c r="S20" i="19"/>
  <c r="S23" i="19"/>
  <c r="S25" i="19"/>
  <c r="S29" i="19"/>
  <c r="S31" i="19"/>
  <c r="S33" i="19"/>
  <c r="L21" i="19"/>
  <c r="E22" i="19"/>
  <c r="E30" i="19"/>
  <c r="E32" i="19"/>
  <c r="E36" i="19"/>
  <c r="E41" i="19"/>
  <c r="S40" i="18"/>
  <c r="S31" i="18"/>
  <c r="S29" i="18"/>
  <c r="S25" i="18"/>
  <c r="S22" i="18"/>
  <c r="S19" i="18"/>
  <c r="L23" i="18"/>
  <c r="L27" i="18"/>
  <c r="L31" i="18"/>
  <c r="E21" i="18"/>
  <c r="E23" i="18"/>
  <c r="E26" i="18"/>
  <c r="E28" i="18"/>
  <c r="E34" i="18"/>
  <c r="E35" i="18"/>
  <c r="E25" i="17"/>
  <c r="E27" i="17"/>
  <c r="E16" i="17"/>
  <c r="S19" i="6"/>
  <c r="S29" i="6"/>
  <c r="S31" i="6"/>
  <c r="L27" i="6"/>
  <c r="E27" i="6"/>
  <c r="E31" i="6"/>
  <c r="E32" i="6"/>
  <c r="E36" i="6"/>
  <c r="S26" i="5"/>
  <c r="E18" i="16"/>
  <c r="S32" i="15"/>
  <c r="S33" i="15"/>
  <c r="Q27" i="15"/>
  <c r="S15" i="14"/>
  <c r="L15" i="6"/>
  <c r="E15" i="6"/>
  <c r="E15" i="5"/>
  <c r="E15" i="8"/>
  <c r="S15" i="8"/>
  <c r="E15" i="12"/>
  <c r="L15" i="12"/>
  <c r="S15" i="12"/>
  <c r="E15" i="13"/>
  <c r="L15" i="13"/>
  <c r="S15" i="13"/>
  <c r="L15" i="14"/>
  <c r="E15" i="14"/>
  <c r="E15" i="15"/>
  <c r="L15" i="15"/>
  <c r="S15" i="15"/>
  <c r="S15" i="16"/>
  <c r="L15" i="17"/>
  <c r="S15" i="18"/>
  <c r="L15" i="18"/>
  <c r="E15" i="18"/>
  <c r="E16" i="18" s="1"/>
  <c r="E17" i="18" s="1"/>
  <c r="E18" i="18" s="1"/>
  <c r="E19" i="18" s="1"/>
  <c r="E20" i="18" s="1"/>
  <c r="E15" i="19"/>
  <c r="E16" i="19" s="1"/>
  <c r="E17" i="19" s="1"/>
  <c r="E18" i="19" s="1"/>
  <c r="E19" i="19" s="1"/>
  <c r="E20" i="19" s="1"/>
  <c r="E21" i="19" s="1"/>
  <c r="L15" i="19"/>
  <c r="L16" i="19" s="1"/>
  <c r="L17" i="19" s="1"/>
  <c r="L18" i="19" s="1"/>
  <c r="L19" i="19" s="1"/>
  <c r="L20" i="19" s="1"/>
  <c r="S15" i="19"/>
  <c r="E15" i="11"/>
  <c r="L15" i="11"/>
  <c r="S15" i="11"/>
  <c r="S16" i="11" s="1"/>
  <c r="S17" i="11" s="1"/>
  <c r="S15" i="20"/>
  <c r="L15" i="20"/>
  <c r="E15" i="20"/>
  <c r="S15" i="6"/>
  <c r="S16" i="6" s="1"/>
  <c r="S17" i="6" s="1"/>
  <c r="S18" i="6" s="1"/>
  <c r="S14" i="6"/>
  <c r="L14" i="6"/>
  <c r="E14" i="6"/>
  <c r="L15" i="5"/>
  <c r="L14" i="5"/>
  <c r="E14" i="5"/>
  <c r="S21" i="8"/>
  <c r="S14" i="8"/>
  <c r="L15" i="8"/>
  <c r="L16" i="8" s="1"/>
  <c r="L17" i="8" s="1"/>
  <c r="L14" i="8"/>
  <c r="E28" i="8"/>
  <c r="E31" i="8"/>
  <c r="E38" i="8"/>
  <c r="E14" i="8"/>
  <c r="E16" i="12"/>
  <c r="S40" i="12"/>
  <c r="S37" i="12"/>
  <c r="S16" i="12"/>
  <c r="S14" i="12"/>
  <c r="L14" i="12"/>
  <c r="E14" i="12"/>
  <c r="S15" i="17"/>
  <c r="S16" i="17" s="1"/>
  <c r="S17" i="17" s="1"/>
  <c r="S18" i="17" s="1"/>
  <c r="S19" i="17" s="1"/>
  <c r="S20" i="17" s="1"/>
  <c r="S21" i="17" s="1"/>
  <c r="S22" i="17" s="1"/>
  <c r="S23" i="17" s="1"/>
  <c r="S24" i="17" s="1"/>
  <c r="S25" i="17" s="1"/>
  <c r="S26" i="17" s="1"/>
  <c r="S27" i="17" s="1"/>
  <c r="E15" i="17"/>
  <c r="L15" i="16"/>
  <c r="L16" i="16" s="1"/>
  <c r="L17" i="16" s="1"/>
  <c r="L18" i="16" s="1"/>
  <c r="E29" i="13"/>
  <c r="S14" i="13"/>
  <c r="L14" i="13"/>
  <c r="E14" i="13"/>
  <c r="S18" i="14"/>
  <c r="L16" i="14"/>
  <c r="S14" i="14"/>
  <c r="L14" i="14"/>
  <c r="E26" i="14"/>
  <c r="E14" i="14"/>
  <c r="S16" i="15"/>
  <c r="S14" i="15"/>
  <c r="L14" i="15"/>
  <c r="E30" i="15"/>
  <c r="E14" i="15"/>
  <c r="S14" i="16"/>
  <c r="L14" i="16"/>
  <c r="E14" i="16"/>
  <c r="S14" i="17"/>
  <c r="L14" i="17"/>
  <c r="E14" i="17"/>
  <c r="S14" i="18"/>
  <c r="L14" i="18"/>
  <c r="E14" i="18"/>
  <c r="S14" i="19"/>
  <c r="L14" i="19"/>
  <c r="E14" i="19"/>
  <c r="S14" i="11"/>
  <c r="L14" i="11"/>
  <c r="E14" i="11"/>
  <c r="J23" i="20"/>
  <c r="L14" i="20"/>
  <c r="S21" i="20"/>
  <c r="S33" i="20"/>
  <c r="S42" i="20"/>
  <c r="Q20" i="20"/>
  <c r="F6" i="21" l="1"/>
  <c r="L16" i="18"/>
  <c r="A53" i="11"/>
  <c r="A54" i="11" s="1"/>
  <c r="J37" i="21" a="1"/>
  <c r="J37" i="21" s="1"/>
  <c r="I37" i="21"/>
  <c r="L118" i="21"/>
  <c r="L115" i="21"/>
  <c r="L113" i="21"/>
  <c r="L114" i="21"/>
  <c r="L112" i="21"/>
  <c r="L110" i="21"/>
  <c r="L109" i="21"/>
  <c r="L119" i="21"/>
  <c r="L116" i="21"/>
  <c r="L111" i="21"/>
  <c r="F100" i="21"/>
  <c r="K98" i="21" a="1"/>
  <c r="L108" i="21" s="1"/>
  <c r="J30" i="21" a="1"/>
  <c r="J30" i="21" s="1"/>
  <c r="J29" i="21" a="1"/>
  <c r="J29" i="21" s="1"/>
  <c r="J28" i="21" a="1"/>
  <c r="J28" i="21" s="1"/>
  <c r="J27" i="21" a="1"/>
  <c r="J27" i="21" s="1"/>
  <c r="J35" i="21" a="1"/>
  <c r="J35" i="21" s="1"/>
  <c r="J34" i="21" a="1"/>
  <c r="J34" i="21" s="1"/>
  <c r="J33" i="21" a="1"/>
  <c r="J33" i="21" s="1"/>
  <c r="J32" i="21" a="1"/>
  <c r="J32" i="21" s="1"/>
  <c r="J31" i="21" a="1"/>
  <c r="J31" i="21" s="1"/>
  <c r="J36" i="21" a="1"/>
  <c r="J36" i="21" s="1"/>
  <c r="S16" i="13"/>
  <c r="S17" i="13" s="1"/>
  <c r="S18" i="13" s="1"/>
  <c r="F19" i="21"/>
  <c r="F14" i="21"/>
  <c r="F17" i="21"/>
  <c r="F15" i="21"/>
  <c r="E23" i="19"/>
  <c r="E24" i="19" s="1"/>
  <c r="E25" i="19" s="1"/>
  <c r="E26" i="19" s="1"/>
  <c r="E27" i="19" s="1"/>
  <c r="E28" i="19" s="1"/>
  <c r="E29" i="19" s="1"/>
  <c r="E31" i="19" s="1"/>
  <c r="E33" i="19" s="1"/>
  <c r="E34" i="19" s="1"/>
  <c r="E35" i="19" s="1"/>
  <c r="E37" i="19" s="1"/>
  <c r="E38" i="19" s="1"/>
  <c r="E39" i="19" s="1"/>
  <c r="E40" i="19" s="1"/>
  <c r="E42" i="19" s="1"/>
  <c r="E43" i="19" s="1"/>
  <c r="S16" i="19"/>
  <c r="S17" i="19" s="1"/>
  <c r="S18" i="19" s="1"/>
  <c r="S19" i="19" s="1"/>
  <c r="S21" i="19" s="1"/>
  <c r="S22" i="19" s="1"/>
  <c r="S24" i="19" s="1"/>
  <c r="S26" i="19" s="1"/>
  <c r="S27" i="19" s="1"/>
  <c r="S28" i="19" s="1"/>
  <c r="S30" i="19" s="1"/>
  <c r="S32" i="19" s="1"/>
  <c r="S34" i="19" s="1"/>
  <c r="S35" i="19" s="1"/>
  <c r="S36" i="19" s="1"/>
  <c r="S37" i="19" s="1"/>
  <c r="S38" i="19" s="1"/>
  <c r="S18" i="11"/>
  <c r="S20" i="11" s="1"/>
  <c r="E16" i="5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S30" i="11"/>
  <c r="S31" i="11" s="1"/>
  <c r="S26" i="11"/>
  <c r="E33" i="6"/>
  <c r="E34" i="6" s="1"/>
  <c r="E35" i="6" s="1"/>
  <c r="E37" i="6" s="1"/>
  <c r="E38" i="6" s="1"/>
  <c r="E24" i="17"/>
  <c r="E26" i="17" s="1"/>
  <c r="E28" i="17" s="1"/>
  <c r="E36" i="18"/>
  <c r="E37" i="18" s="1"/>
  <c r="E38" i="18" s="1"/>
  <c r="S16" i="18"/>
  <c r="S17" i="18" s="1"/>
  <c r="S18" i="18" s="1"/>
  <c r="S20" i="18" s="1"/>
  <c r="S21" i="18" s="1"/>
  <c r="S23" i="18" s="1"/>
  <c r="S24" i="18" s="1"/>
  <c r="S26" i="18" s="1"/>
  <c r="S27" i="18" s="1"/>
  <c r="S28" i="18" s="1"/>
  <c r="S30" i="18" s="1"/>
  <c r="S32" i="18" s="1"/>
  <c r="S33" i="18" s="1"/>
  <c r="S34" i="18" s="1"/>
  <c r="S35" i="18" s="1"/>
  <c r="S36" i="18" s="1"/>
  <c r="S37" i="18" s="1"/>
  <c r="S38" i="18" s="1"/>
  <c r="S39" i="18" s="1"/>
  <c r="S41" i="18" s="1"/>
  <c r="S42" i="18" s="1"/>
  <c r="S43" i="18" s="1"/>
  <c r="L17" i="18"/>
  <c r="L18" i="18" s="1"/>
  <c r="L19" i="18" s="1"/>
  <c r="L20" i="18" s="1"/>
  <c r="L22" i="19"/>
  <c r="L23" i="19" s="1"/>
  <c r="L24" i="19" s="1"/>
  <c r="L25" i="19" s="1"/>
  <c r="L26" i="19" s="1"/>
  <c r="L27" i="19" s="1"/>
  <c r="L28" i="19" s="1"/>
  <c r="E22" i="18"/>
  <c r="E24" i="18" s="1"/>
  <c r="E25" i="18" s="1"/>
  <c r="E27" i="18" s="1"/>
  <c r="E29" i="18" s="1"/>
  <c r="E30" i="18" s="1"/>
  <c r="E32" i="18" s="1"/>
  <c r="E33" i="18" s="1"/>
  <c r="E17" i="17"/>
  <c r="E18" i="17" s="1"/>
  <c r="E19" i="17" s="1"/>
  <c r="E20" i="17" s="1"/>
  <c r="S34" i="15"/>
  <c r="S20" i="6"/>
  <c r="S21" i="6" s="1"/>
  <c r="S22" i="6" s="1"/>
  <c r="S23" i="6" s="1"/>
  <c r="S24" i="6" s="1"/>
  <c r="S25" i="6" s="1"/>
  <c r="S26" i="6" s="1"/>
  <c r="S27" i="6" s="1"/>
  <c r="S28" i="6" s="1"/>
  <c r="S30" i="6" s="1"/>
  <c r="S32" i="6" s="1"/>
  <c r="L16" i="12"/>
  <c r="L17" i="12" s="1"/>
  <c r="L18" i="12" s="1"/>
  <c r="S16" i="14"/>
  <c r="S17" i="14" s="1"/>
  <c r="S19" i="14" s="1"/>
  <c r="E16" i="6"/>
  <c r="L16" i="6"/>
  <c r="L17" i="6" s="1"/>
  <c r="E16" i="14"/>
  <c r="S16" i="8"/>
  <c r="S17" i="8" s="1"/>
  <c r="S18" i="8" s="1"/>
  <c r="S16" i="16"/>
  <c r="S17" i="16" s="1"/>
  <c r="E16" i="13"/>
  <c r="E17" i="13" s="1"/>
  <c r="E18" i="13" s="1"/>
  <c r="E19" i="13" s="1"/>
  <c r="E17" i="12"/>
  <c r="E18" i="12" s="1"/>
  <c r="E19" i="12" s="1"/>
  <c r="L17" i="11"/>
  <c r="L18" i="11" s="1"/>
  <c r="L16" i="15"/>
  <c r="L17" i="15" s="1"/>
  <c r="L18" i="15" s="1"/>
  <c r="E16" i="15"/>
  <c r="E17" i="15" s="1"/>
  <c r="E18" i="15" s="1"/>
  <c r="L16" i="17"/>
  <c r="L17" i="17" s="1"/>
  <c r="L18" i="17" s="1"/>
  <c r="L8" i="17" s="1"/>
  <c r="E17" i="6"/>
  <c r="L16" i="13"/>
  <c r="E16" i="8"/>
  <c r="E17" i="8" s="1"/>
  <c r="E18" i="8" s="1"/>
  <c r="S28" i="17"/>
  <c r="E16" i="11"/>
  <c r="E17" i="11" s="1"/>
  <c r="E18" i="11" s="1"/>
  <c r="E19" i="11" s="1"/>
  <c r="E20" i="11" s="1"/>
  <c r="S16" i="5"/>
  <c r="T14" i="5" s="1"/>
  <c r="L16" i="5"/>
  <c r="L17" i="5" s="1"/>
  <c r="S17" i="15"/>
  <c r="S18" i="15" s="1"/>
  <c r="S19" i="15" s="1"/>
  <c r="S20" i="15" s="1"/>
  <c r="L17" i="14"/>
  <c r="L18" i="14" s="1"/>
  <c r="L19" i="14" s="1"/>
  <c r="L20" i="14" s="1"/>
  <c r="L21" i="14" s="1"/>
  <c r="L16" i="20"/>
  <c r="L17" i="20" s="1"/>
  <c r="L18" i="20" s="1"/>
  <c r="L19" i="20" s="1"/>
  <c r="L20" i="20" s="1"/>
  <c r="S17" i="12"/>
  <c r="E17" i="16"/>
  <c r="L18" i="8"/>
  <c r="L19" i="16"/>
  <c r="C22" i="20"/>
  <c r="C14" i="20"/>
  <c r="E14" i="20"/>
  <c r="E16" i="20" s="1"/>
  <c r="C19" i="19"/>
  <c r="C29" i="19"/>
  <c r="C31" i="19"/>
  <c r="C35" i="19"/>
  <c r="C39" i="19"/>
  <c r="S14" i="20"/>
  <c r="S16" i="20" s="1"/>
  <c r="S8" i="17"/>
  <c r="B23" i="7"/>
  <c r="Q41" i="20"/>
  <c r="Q42" i="20"/>
  <c r="Q43" i="20"/>
  <c r="Q44" i="20"/>
  <c r="Q45" i="20"/>
  <c r="Q46" i="20"/>
  <c r="Q47" i="20"/>
  <c r="Q48" i="20"/>
  <c r="J22" i="20"/>
  <c r="J29" i="20"/>
  <c r="J30" i="20"/>
  <c r="C28" i="20"/>
  <c r="Q40" i="20"/>
  <c r="Q39" i="20"/>
  <c r="Q38" i="20"/>
  <c r="Q37" i="20"/>
  <c r="Q36" i="20"/>
  <c r="Q35" i="20"/>
  <c r="Q34" i="20"/>
  <c r="C34" i="20"/>
  <c r="Q33" i="20"/>
  <c r="C33" i="20"/>
  <c r="Q32" i="20"/>
  <c r="C32" i="20"/>
  <c r="Q31" i="20"/>
  <c r="C31" i="20"/>
  <c r="Q30" i="20"/>
  <c r="C30" i="20"/>
  <c r="Q29" i="20"/>
  <c r="C29" i="20"/>
  <c r="Q28" i="20"/>
  <c r="J28" i="20"/>
  <c r="Q27" i="20"/>
  <c r="J27" i="20"/>
  <c r="C27" i="20"/>
  <c r="Q26" i="20"/>
  <c r="J26" i="20"/>
  <c r="C26" i="20"/>
  <c r="Q25" i="20"/>
  <c r="J25" i="20"/>
  <c r="C25" i="20"/>
  <c r="Q24" i="20"/>
  <c r="J24" i="20"/>
  <c r="C24" i="20"/>
  <c r="Q23" i="20"/>
  <c r="C23" i="20"/>
  <c r="Q22" i="20"/>
  <c r="Q21" i="20"/>
  <c r="J21" i="20"/>
  <c r="C21" i="20"/>
  <c r="J20" i="20"/>
  <c r="C20" i="20"/>
  <c r="Q19" i="20"/>
  <c r="J19" i="20"/>
  <c r="C19" i="20"/>
  <c r="Q18" i="20"/>
  <c r="J18" i="20"/>
  <c r="C18" i="20"/>
  <c r="Q17" i="20"/>
  <c r="J17" i="20"/>
  <c r="C17" i="20"/>
  <c r="Q16" i="20"/>
  <c r="J16" i="20"/>
  <c r="C16" i="20"/>
  <c r="Q15" i="20"/>
  <c r="J15" i="20"/>
  <c r="C15" i="20"/>
  <c r="Q14" i="20"/>
  <c r="J14" i="20"/>
  <c r="Q13" i="20"/>
  <c r="J13" i="20"/>
  <c r="C13" i="20"/>
  <c r="B34" i="7"/>
  <c r="B33" i="7"/>
  <c r="B32" i="7"/>
  <c r="B28" i="7"/>
  <c r="B27" i="7"/>
  <c r="Q13" i="19"/>
  <c r="Q14" i="19"/>
  <c r="T14" i="19" s="1"/>
  <c r="Q15" i="19"/>
  <c r="Q16" i="19"/>
  <c r="Q17" i="19"/>
  <c r="Q18" i="19"/>
  <c r="C40" i="19"/>
  <c r="C41" i="19"/>
  <c r="C42" i="19"/>
  <c r="C43" i="19"/>
  <c r="Q40" i="19"/>
  <c r="Q39" i="19"/>
  <c r="Q38" i="19"/>
  <c r="C38" i="19"/>
  <c r="Q37" i="19"/>
  <c r="C37" i="19"/>
  <c r="Q36" i="19"/>
  <c r="C36" i="19"/>
  <c r="Q35" i="19"/>
  <c r="Q34" i="19"/>
  <c r="C34" i="19"/>
  <c r="Q33" i="19"/>
  <c r="C33" i="19"/>
  <c r="Q32" i="19"/>
  <c r="C32" i="19"/>
  <c r="Q31" i="19"/>
  <c r="Q30" i="19"/>
  <c r="C30" i="19"/>
  <c r="Q29" i="19"/>
  <c r="Q28" i="19"/>
  <c r="J28" i="19"/>
  <c r="C28" i="19"/>
  <c r="Q27" i="19"/>
  <c r="J27" i="19"/>
  <c r="C27" i="19"/>
  <c r="Q26" i="19"/>
  <c r="J26" i="19"/>
  <c r="C26" i="19"/>
  <c r="Q25" i="19"/>
  <c r="J25" i="19"/>
  <c r="C25" i="19"/>
  <c r="Q24" i="19"/>
  <c r="J24" i="19"/>
  <c r="C24" i="19"/>
  <c r="Q23" i="19"/>
  <c r="J23" i="19"/>
  <c r="C23" i="19"/>
  <c r="Q22" i="19"/>
  <c r="J22" i="19"/>
  <c r="C22" i="19"/>
  <c r="Q21" i="19"/>
  <c r="J21" i="19"/>
  <c r="C21" i="19"/>
  <c r="Q20" i="19"/>
  <c r="J20" i="19"/>
  <c r="C20" i="19"/>
  <c r="Q19" i="19"/>
  <c r="J19" i="19"/>
  <c r="J18" i="19"/>
  <c r="C18" i="19"/>
  <c r="J17" i="19"/>
  <c r="C17" i="19"/>
  <c r="J16" i="19"/>
  <c r="C16" i="19"/>
  <c r="J15" i="19"/>
  <c r="C15" i="19"/>
  <c r="J14" i="19"/>
  <c r="M14" i="19" s="1"/>
  <c r="C14" i="19"/>
  <c r="F14" i="19" s="1"/>
  <c r="J13" i="19"/>
  <c r="C13" i="19"/>
  <c r="Q39" i="18"/>
  <c r="Q42" i="18"/>
  <c r="Q43" i="18"/>
  <c r="Q29" i="18"/>
  <c r="Q30" i="18"/>
  <c r="Q31" i="18"/>
  <c r="Q32" i="18"/>
  <c r="Q33" i="18"/>
  <c r="Q34" i="18"/>
  <c r="Q35" i="18"/>
  <c r="Q36" i="18"/>
  <c r="Q37" i="18"/>
  <c r="Q38" i="18"/>
  <c r="Q40" i="18"/>
  <c r="Q41" i="18"/>
  <c r="C20" i="18"/>
  <c r="J28" i="18"/>
  <c r="J29" i="18"/>
  <c r="J30" i="18"/>
  <c r="J31" i="18"/>
  <c r="J32" i="18"/>
  <c r="J33" i="18"/>
  <c r="J34" i="18"/>
  <c r="J35" i="18"/>
  <c r="C37" i="18"/>
  <c r="C38" i="18"/>
  <c r="C36" i="18"/>
  <c r="C35" i="18"/>
  <c r="C34" i="18"/>
  <c r="C33" i="18"/>
  <c r="C32" i="18"/>
  <c r="C31" i="18"/>
  <c r="C30" i="18"/>
  <c r="C29" i="18"/>
  <c r="Q28" i="18"/>
  <c r="C28" i="18"/>
  <c r="Q27" i="18"/>
  <c r="J27" i="18"/>
  <c r="C27" i="18"/>
  <c r="Q26" i="18"/>
  <c r="J26" i="18"/>
  <c r="C26" i="18"/>
  <c r="Q25" i="18"/>
  <c r="J25" i="18"/>
  <c r="C25" i="18"/>
  <c r="Q24" i="18"/>
  <c r="J24" i="18"/>
  <c r="C24" i="18"/>
  <c r="Q23" i="18"/>
  <c r="J23" i="18"/>
  <c r="C23" i="18"/>
  <c r="Q22" i="18"/>
  <c r="J22" i="18"/>
  <c r="C22" i="18"/>
  <c r="Q21" i="18"/>
  <c r="J21" i="18"/>
  <c r="C21" i="18"/>
  <c r="Q20" i="18"/>
  <c r="J20" i="18"/>
  <c r="Q19" i="18"/>
  <c r="J19" i="18"/>
  <c r="C19" i="18"/>
  <c r="Q18" i="18"/>
  <c r="J18" i="18"/>
  <c r="C18" i="18"/>
  <c r="Q17" i="18"/>
  <c r="J17" i="18"/>
  <c r="C17" i="18"/>
  <c r="Q16" i="18"/>
  <c r="J16" i="18"/>
  <c r="C16" i="18"/>
  <c r="Q15" i="18"/>
  <c r="J15" i="18"/>
  <c r="C15" i="18"/>
  <c r="Q14" i="18"/>
  <c r="J14" i="18"/>
  <c r="C14" i="18"/>
  <c r="F14" i="18" s="1"/>
  <c r="Q13" i="18"/>
  <c r="J13" i="18"/>
  <c r="C13" i="18"/>
  <c r="Q27" i="17"/>
  <c r="Q13" i="17"/>
  <c r="C15" i="17"/>
  <c r="J20" i="17"/>
  <c r="C20" i="17"/>
  <c r="C32" i="17"/>
  <c r="C33" i="17"/>
  <c r="C34" i="17"/>
  <c r="C35" i="17"/>
  <c r="C36" i="17"/>
  <c r="C31" i="17"/>
  <c r="S52" i="17"/>
  <c r="S53" i="17" s="1"/>
  <c r="C30" i="17"/>
  <c r="C29" i="17"/>
  <c r="Q28" i="17"/>
  <c r="C28" i="17"/>
  <c r="J27" i="17"/>
  <c r="C27" i="17"/>
  <c r="Q26" i="17"/>
  <c r="T26" i="17" s="1"/>
  <c r="J26" i="17"/>
  <c r="C26" i="17"/>
  <c r="Q25" i="17"/>
  <c r="T25" i="17" s="1"/>
  <c r="J25" i="17"/>
  <c r="C25" i="17"/>
  <c r="Q24" i="17"/>
  <c r="T24" i="17" s="1"/>
  <c r="J24" i="17"/>
  <c r="C24" i="17"/>
  <c r="Q23" i="17"/>
  <c r="T23" i="17" s="1"/>
  <c r="J23" i="17"/>
  <c r="C23" i="17"/>
  <c r="Q22" i="17"/>
  <c r="T22" i="17" s="1"/>
  <c r="J22" i="17"/>
  <c r="C22" i="17"/>
  <c r="S7" i="17"/>
  <c r="Q21" i="17"/>
  <c r="T21" i="17" s="1"/>
  <c r="J21" i="17"/>
  <c r="C21" i="17"/>
  <c r="Q20" i="17"/>
  <c r="T20" i="17" s="1"/>
  <c r="Q19" i="17"/>
  <c r="T19" i="17" s="1"/>
  <c r="J19" i="17"/>
  <c r="C19" i="17"/>
  <c r="Q18" i="17"/>
  <c r="T18" i="17" s="1"/>
  <c r="J18" i="17"/>
  <c r="C18" i="17"/>
  <c r="Q17" i="17"/>
  <c r="T17" i="17" s="1"/>
  <c r="J17" i="17"/>
  <c r="C17" i="17"/>
  <c r="Q16" i="17"/>
  <c r="T16" i="17" s="1"/>
  <c r="J16" i="17"/>
  <c r="C16" i="17"/>
  <c r="Q15" i="17"/>
  <c r="T15" i="17" s="1"/>
  <c r="J15" i="17"/>
  <c r="Q14" i="17"/>
  <c r="T14" i="17" s="1"/>
  <c r="J14" i="17"/>
  <c r="M14" i="17" s="1"/>
  <c r="C14" i="17"/>
  <c r="F14" i="17" s="1"/>
  <c r="J13" i="17"/>
  <c r="C13" i="17"/>
  <c r="C31" i="16"/>
  <c r="Q29" i="16"/>
  <c r="C30" i="16"/>
  <c r="Q28" i="16"/>
  <c r="J29" i="16"/>
  <c r="C29" i="16"/>
  <c r="Q27" i="16"/>
  <c r="J28" i="16"/>
  <c r="C28" i="16"/>
  <c r="Q26" i="16"/>
  <c r="J27" i="16"/>
  <c r="C27" i="16"/>
  <c r="J26" i="16"/>
  <c r="C26" i="16"/>
  <c r="Q25" i="16"/>
  <c r="J25" i="16"/>
  <c r="C25" i="16"/>
  <c r="Q24" i="16"/>
  <c r="J24" i="16"/>
  <c r="C24" i="16"/>
  <c r="Q23" i="16"/>
  <c r="J23" i="16"/>
  <c r="C23" i="16"/>
  <c r="Q22" i="16"/>
  <c r="J22" i="16"/>
  <c r="C22" i="16"/>
  <c r="Q21" i="16"/>
  <c r="J21" i="16"/>
  <c r="C21" i="16"/>
  <c r="Q20" i="16"/>
  <c r="J20" i="16"/>
  <c r="C20" i="16"/>
  <c r="Q19" i="16"/>
  <c r="J19" i="16"/>
  <c r="C19" i="16"/>
  <c r="Q18" i="16"/>
  <c r="J18" i="16"/>
  <c r="C18" i="16"/>
  <c r="Q17" i="16"/>
  <c r="J17" i="16"/>
  <c r="C17" i="16"/>
  <c r="Q16" i="16"/>
  <c r="J16" i="16"/>
  <c r="M16" i="16" s="1"/>
  <c r="C16" i="16"/>
  <c r="Q15" i="16"/>
  <c r="J15" i="16"/>
  <c r="M15" i="16" s="1"/>
  <c r="C15" i="16"/>
  <c r="Q14" i="16"/>
  <c r="T14" i="16" s="1"/>
  <c r="J14" i="16"/>
  <c r="M14" i="16" s="1"/>
  <c r="C14" i="16"/>
  <c r="Q13" i="16"/>
  <c r="J13" i="16"/>
  <c r="C13" i="16"/>
  <c r="Q32" i="15"/>
  <c r="Q33" i="15"/>
  <c r="Q34" i="15"/>
  <c r="Q35" i="15"/>
  <c r="Q36" i="15"/>
  <c r="Q37" i="15"/>
  <c r="Q38" i="15"/>
  <c r="J20" i="15"/>
  <c r="J24" i="15"/>
  <c r="J26" i="15"/>
  <c r="C35" i="15"/>
  <c r="C34" i="15"/>
  <c r="C33" i="15"/>
  <c r="C32" i="15"/>
  <c r="C31" i="15"/>
  <c r="Q31" i="15"/>
  <c r="J30" i="15"/>
  <c r="C30" i="15"/>
  <c r="Q30" i="15"/>
  <c r="J29" i="15"/>
  <c r="C29" i="15"/>
  <c r="Q29" i="15"/>
  <c r="J28" i="15"/>
  <c r="C28" i="15"/>
  <c r="Q28" i="15"/>
  <c r="J27" i="15"/>
  <c r="C27" i="15"/>
  <c r="Q26" i="15"/>
  <c r="C26" i="15"/>
  <c r="Q25" i="15"/>
  <c r="J25" i="15"/>
  <c r="C25" i="15"/>
  <c r="Q24" i="15"/>
  <c r="C24" i="15"/>
  <c r="Q23" i="15"/>
  <c r="J23" i="15"/>
  <c r="C23" i="15"/>
  <c r="Q22" i="15"/>
  <c r="J22" i="15"/>
  <c r="C22" i="15"/>
  <c r="Q21" i="15"/>
  <c r="J21" i="15"/>
  <c r="C21" i="15"/>
  <c r="Q20" i="15"/>
  <c r="C20" i="15"/>
  <c r="Q19" i="15"/>
  <c r="J19" i="15"/>
  <c r="C19" i="15"/>
  <c r="Q18" i="15"/>
  <c r="J18" i="15"/>
  <c r="C18" i="15"/>
  <c r="Q17" i="15"/>
  <c r="J17" i="15"/>
  <c r="C17" i="15"/>
  <c r="Q16" i="15"/>
  <c r="J16" i="15"/>
  <c r="C16" i="15"/>
  <c r="Q15" i="15"/>
  <c r="J15" i="15"/>
  <c r="C15" i="15"/>
  <c r="Q14" i="15"/>
  <c r="T14" i="15" s="1"/>
  <c r="J14" i="15"/>
  <c r="M14" i="15" s="1"/>
  <c r="C14" i="15"/>
  <c r="F14" i="15" s="1"/>
  <c r="Q13" i="15"/>
  <c r="J13" i="15"/>
  <c r="C13" i="15"/>
  <c r="Q17" i="14"/>
  <c r="J15" i="14"/>
  <c r="J25" i="14"/>
  <c r="J28" i="14"/>
  <c r="J31" i="14"/>
  <c r="J29" i="14"/>
  <c r="J30" i="14"/>
  <c r="J32" i="14"/>
  <c r="J33" i="14"/>
  <c r="C22" i="14"/>
  <c r="C25" i="14"/>
  <c r="C27" i="14"/>
  <c r="C34" i="14"/>
  <c r="C32" i="14"/>
  <c r="C29" i="14"/>
  <c r="C14" i="14"/>
  <c r="F14" i="14" s="1"/>
  <c r="B26" i="7"/>
  <c r="C36" i="14"/>
  <c r="C35" i="14"/>
  <c r="C33" i="14"/>
  <c r="C31" i="14"/>
  <c r="Q30" i="14"/>
  <c r="C30" i="14"/>
  <c r="Q29" i="14"/>
  <c r="Q28" i="14"/>
  <c r="C28" i="14"/>
  <c r="Q27" i="14"/>
  <c r="J27" i="14"/>
  <c r="Q26" i="14"/>
  <c r="J26" i="14"/>
  <c r="C26" i="14"/>
  <c r="Q25" i="14"/>
  <c r="Q24" i="14"/>
  <c r="J24" i="14"/>
  <c r="C24" i="14"/>
  <c r="Q23" i="14"/>
  <c r="J23" i="14"/>
  <c r="C23" i="14"/>
  <c r="Q22" i="14"/>
  <c r="J22" i="14"/>
  <c r="Q21" i="14"/>
  <c r="J21" i="14"/>
  <c r="C21" i="14"/>
  <c r="Q20" i="14"/>
  <c r="J20" i="14"/>
  <c r="C20" i="14"/>
  <c r="Q19" i="14"/>
  <c r="J19" i="14"/>
  <c r="C19" i="14"/>
  <c r="Q18" i="14"/>
  <c r="J18" i="14"/>
  <c r="C18" i="14"/>
  <c r="J17" i="14"/>
  <c r="C17" i="14"/>
  <c r="Q16" i="14"/>
  <c r="J16" i="14"/>
  <c r="C16" i="14"/>
  <c r="Q15" i="14"/>
  <c r="C15" i="14"/>
  <c r="Q14" i="14"/>
  <c r="J14" i="14"/>
  <c r="M14" i="14" s="1"/>
  <c r="Q13" i="14"/>
  <c r="J13" i="14"/>
  <c r="C13" i="14"/>
  <c r="Q15" i="13"/>
  <c r="Q21" i="13"/>
  <c r="Q20" i="13"/>
  <c r="C27" i="13"/>
  <c r="C28" i="13"/>
  <c r="C29" i="13"/>
  <c r="C30" i="13"/>
  <c r="C31" i="13"/>
  <c r="C32" i="13"/>
  <c r="C33" i="13"/>
  <c r="C34" i="13"/>
  <c r="C35" i="13"/>
  <c r="C36" i="13"/>
  <c r="C37" i="13"/>
  <c r="B25" i="7"/>
  <c r="Q32" i="13"/>
  <c r="Q31" i="13"/>
  <c r="Q30" i="13"/>
  <c r="Q29" i="13"/>
  <c r="Q28" i="13"/>
  <c r="Q27" i="13"/>
  <c r="J27" i="13"/>
  <c r="Q26" i="13"/>
  <c r="J26" i="13"/>
  <c r="C26" i="13"/>
  <c r="Q25" i="13"/>
  <c r="J25" i="13"/>
  <c r="C25" i="13"/>
  <c r="Q24" i="13"/>
  <c r="J24" i="13"/>
  <c r="C24" i="13"/>
  <c r="Q23" i="13"/>
  <c r="J23" i="13"/>
  <c r="C23" i="13"/>
  <c r="Q22" i="13"/>
  <c r="J22" i="13"/>
  <c r="C22" i="13"/>
  <c r="J21" i="13"/>
  <c r="C21" i="13"/>
  <c r="J20" i="13"/>
  <c r="C20" i="13"/>
  <c r="Q19" i="13"/>
  <c r="J19" i="13"/>
  <c r="C19" i="13"/>
  <c r="Q18" i="13"/>
  <c r="J18" i="13"/>
  <c r="C18" i="13"/>
  <c r="Q17" i="13"/>
  <c r="J17" i="13"/>
  <c r="C17" i="13"/>
  <c r="Q16" i="13"/>
  <c r="J16" i="13"/>
  <c r="C16" i="13"/>
  <c r="J15" i="13"/>
  <c r="C15" i="13"/>
  <c r="Q14" i="13"/>
  <c r="J14" i="13"/>
  <c r="M14" i="13" s="1"/>
  <c r="C14" i="13"/>
  <c r="F14" i="13" s="1"/>
  <c r="Q13" i="13"/>
  <c r="J13" i="13"/>
  <c r="C13" i="13"/>
  <c r="B24" i="7"/>
  <c r="Q14" i="12"/>
  <c r="Q47" i="12"/>
  <c r="Q44" i="12"/>
  <c r="Q39" i="12"/>
  <c r="Q37" i="12"/>
  <c r="Q33" i="12"/>
  <c r="Q29" i="12"/>
  <c r="Q27" i="12"/>
  <c r="Q24" i="12"/>
  <c r="Q21" i="12"/>
  <c r="Q17" i="12"/>
  <c r="N4" i="7"/>
  <c r="N10" i="7" s="1"/>
  <c r="N8" i="7"/>
  <c r="C28" i="11"/>
  <c r="C27" i="11"/>
  <c r="C14" i="11"/>
  <c r="D13" i="7"/>
  <c r="C20" i="11"/>
  <c r="C23" i="11"/>
  <c r="C25" i="11"/>
  <c r="C19" i="11"/>
  <c r="D12" i="7"/>
  <c r="Q40" i="12"/>
  <c r="Q41" i="12"/>
  <c r="Q42" i="12"/>
  <c r="Q43" i="12"/>
  <c r="Q45" i="12"/>
  <c r="Q46" i="12"/>
  <c r="Q48" i="12"/>
  <c r="Q49" i="12"/>
  <c r="Q50" i="12"/>
  <c r="J28" i="12"/>
  <c r="J29" i="12"/>
  <c r="J30" i="12"/>
  <c r="J31" i="12"/>
  <c r="J32" i="12"/>
  <c r="C31" i="12"/>
  <c r="C32" i="12"/>
  <c r="C33" i="12"/>
  <c r="C34" i="12"/>
  <c r="C35" i="12"/>
  <c r="C36" i="12"/>
  <c r="C37" i="12"/>
  <c r="C38" i="12"/>
  <c r="Q38" i="12"/>
  <c r="Q36" i="12"/>
  <c r="Q35" i="12"/>
  <c r="Q34" i="12"/>
  <c r="Q32" i="12"/>
  <c r="Q31" i="12"/>
  <c r="Q30" i="12"/>
  <c r="C30" i="12"/>
  <c r="C29" i="12"/>
  <c r="Q28" i="12"/>
  <c r="C28" i="12"/>
  <c r="J27" i="12"/>
  <c r="C27" i="12"/>
  <c r="Q26" i="12"/>
  <c r="J26" i="12"/>
  <c r="C26" i="12"/>
  <c r="Q25" i="12"/>
  <c r="J25" i="12"/>
  <c r="C25" i="12"/>
  <c r="J24" i="12"/>
  <c r="C24" i="12"/>
  <c r="Q23" i="12"/>
  <c r="J23" i="12"/>
  <c r="C23" i="12"/>
  <c r="Q22" i="12"/>
  <c r="J22" i="12"/>
  <c r="C22" i="12"/>
  <c r="J21" i="12"/>
  <c r="C21" i="12"/>
  <c r="Q20" i="12"/>
  <c r="J20" i="12"/>
  <c r="C20" i="12"/>
  <c r="Q19" i="12"/>
  <c r="J19" i="12"/>
  <c r="C19" i="12"/>
  <c r="Q18" i="12"/>
  <c r="J18" i="12"/>
  <c r="C18" i="12"/>
  <c r="J17" i="12"/>
  <c r="C17" i="12"/>
  <c r="Q16" i="12"/>
  <c r="J16" i="12"/>
  <c r="C16" i="12"/>
  <c r="Q15" i="12"/>
  <c r="J15" i="12"/>
  <c r="C15" i="12"/>
  <c r="J14" i="12"/>
  <c r="M14" i="12" s="1"/>
  <c r="C14" i="12"/>
  <c r="F14" i="12" s="1"/>
  <c r="Q13" i="12"/>
  <c r="J13" i="12"/>
  <c r="C13" i="12"/>
  <c r="Q14" i="6"/>
  <c r="T14" i="6" s="1"/>
  <c r="Q15" i="6"/>
  <c r="T15" i="6" s="1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13" i="6"/>
  <c r="J14" i="6"/>
  <c r="M14" i="6" s="1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13" i="6"/>
  <c r="C14" i="6"/>
  <c r="F14" i="6" s="1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13" i="6"/>
  <c r="C14" i="5"/>
  <c r="F14" i="5" s="1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13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13" i="5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J14" i="8"/>
  <c r="M14" i="8" s="1"/>
  <c r="J15" i="8"/>
  <c r="M15" i="8" s="1"/>
  <c r="J16" i="8"/>
  <c r="M16" i="8" s="1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13" i="8"/>
  <c r="J13" i="8"/>
  <c r="C13" i="8"/>
  <c r="Q33" i="11"/>
  <c r="Q34" i="11"/>
  <c r="Q35" i="11"/>
  <c r="Q36" i="11"/>
  <c r="Q37" i="11"/>
  <c r="Q38" i="11"/>
  <c r="Q39" i="11"/>
  <c r="B22" i="7"/>
  <c r="Q14" i="11"/>
  <c r="T14" i="11" s="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13" i="11"/>
  <c r="C15" i="11"/>
  <c r="C16" i="11"/>
  <c r="C17" i="11"/>
  <c r="C18" i="11"/>
  <c r="C21" i="11"/>
  <c r="C22" i="11"/>
  <c r="C24" i="11"/>
  <c r="C26" i="11"/>
  <c r="C29" i="11"/>
  <c r="F29" i="11" s="1"/>
  <c r="C30" i="11"/>
  <c r="C13" i="11"/>
  <c r="B29" i="7"/>
  <c r="B31" i="7"/>
  <c r="B30" i="7"/>
  <c r="E17" i="14" l="1"/>
  <c r="E18" i="14" s="1"/>
  <c r="E19" i="14" s="1"/>
  <c r="E20" i="14" s="1"/>
  <c r="E21" i="14" s="1"/>
  <c r="E22" i="14" s="1"/>
  <c r="E23" i="14" s="1"/>
  <c r="F6" i="5"/>
  <c r="T6" i="5"/>
  <c r="M6" i="5"/>
  <c r="C51" i="11" a="1"/>
  <c r="C51" i="11" s="1"/>
  <c r="D53" i="11" a="1"/>
  <c r="D53" i="11" s="1"/>
  <c r="B54" i="11" a="1"/>
  <c r="B54" i="11" s="1"/>
  <c r="C53" i="11" a="1"/>
  <c r="C53" i="11" s="1"/>
  <c r="C54" i="11" a="1"/>
  <c r="C54" i="11" s="1"/>
  <c r="C52" i="11" a="1"/>
  <c r="C52" i="11" s="1"/>
  <c r="M16" i="17"/>
  <c r="S39" i="19"/>
  <c r="S40" i="19" s="1"/>
  <c r="L21" i="18"/>
  <c r="L22" i="18" s="1"/>
  <c r="L24" i="18" s="1"/>
  <c r="L25" i="18" s="1"/>
  <c r="L26" i="18" s="1"/>
  <c r="L28" i="18" s="1"/>
  <c r="L29" i="18" s="1"/>
  <c r="L30" i="18" s="1"/>
  <c r="L32" i="18" s="1"/>
  <c r="L33" i="18" s="1"/>
  <c r="L34" i="18" s="1"/>
  <c r="L35" i="18" s="1"/>
  <c r="D54" i="11" a="1"/>
  <c r="D54" i="11" s="1"/>
  <c r="B51" i="11" a="1"/>
  <c r="B51" i="11" s="1"/>
  <c r="D51" i="11" a="1"/>
  <c r="D51" i="11" s="1"/>
  <c r="B53" i="11" a="1"/>
  <c r="B53" i="11" s="1"/>
  <c r="B52" i="11" a="1"/>
  <c r="B52" i="11" s="1"/>
  <c r="D52" i="11" a="1"/>
  <c r="D52" i="11" s="1"/>
  <c r="A55" i="11"/>
  <c r="B55" i="11" s="1" a="1"/>
  <c r="B55" i="11" s="1"/>
  <c r="I38" i="21"/>
  <c r="J38" i="21" a="1"/>
  <c r="J38" i="21" s="1"/>
  <c r="D71" i="6" a="1"/>
  <c r="D71" i="6" s="1"/>
  <c r="D70" i="6" a="1"/>
  <c r="D70" i="6" s="1"/>
  <c r="D66" i="6" a="1"/>
  <c r="D66" i="6" s="1"/>
  <c r="D62" i="6" a="1"/>
  <c r="D62" i="6" s="1"/>
  <c r="D69" i="6" a="1"/>
  <c r="D69" i="6" s="1"/>
  <c r="D65" i="6" a="1"/>
  <c r="D65" i="6" s="1"/>
  <c r="D68" i="6" a="1"/>
  <c r="D68" i="6" s="1"/>
  <c r="D64" i="6" a="1"/>
  <c r="D64" i="6" s="1"/>
  <c r="D67" i="6" a="1"/>
  <c r="D67" i="6" s="1"/>
  <c r="D63" i="6" a="1"/>
  <c r="D63" i="6" s="1"/>
  <c r="B67" i="6" a="1"/>
  <c r="B67" i="6" s="1"/>
  <c r="B63" i="6" a="1"/>
  <c r="B63" i="6" s="1"/>
  <c r="B70" i="6" a="1"/>
  <c r="B70" i="6" s="1"/>
  <c r="B66" i="6" a="1"/>
  <c r="B66" i="6" s="1"/>
  <c r="B62" i="6" a="1"/>
  <c r="B62" i="6" s="1"/>
  <c r="B65" i="6" a="1"/>
  <c r="B65" i="6" s="1"/>
  <c r="B69" i="6" a="1"/>
  <c r="B69" i="6" s="1"/>
  <c r="B64" i="6" a="1"/>
  <c r="B64" i="6" s="1"/>
  <c r="B68" i="6" a="1"/>
  <c r="B68" i="6" s="1"/>
  <c r="B71" i="6" a="1"/>
  <c r="B71" i="6" s="1"/>
  <c r="B70" i="5" a="1"/>
  <c r="B70" i="5" s="1"/>
  <c r="B62" i="5" a="1"/>
  <c r="B62" i="5" s="1"/>
  <c r="B65" i="5" a="1"/>
  <c r="B65" i="5" s="1"/>
  <c r="B63" i="5" a="1"/>
  <c r="B63" i="5" s="1"/>
  <c r="B64" i="5" a="1"/>
  <c r="B64" i="5" s="1"/>
  <c r="B66" i="5" a="1"/>
  <c r="B66" i="5" s="1"/>
  <c r="B67" i="5" a="1"/>
  <c r="B67" i="5" s="1"/>
  <c r="B68" i="5" a="1"/>
  <c r="B68" i="5" s="1"/>
  <c r="B71" i="5" a="1"/>
  <c r="B71" i="5" s="1"/>
  <c r="B69" i="5" a="1"/>
  <c r="B69" i="5" s="1"/>
  <c r="F70" i="6" a="1"/>
  <c r="F70" i="6" s="1"/>
  <c r="F69" i="6" a="1"/>
  <c r="F69" i="6" s="1"/>
  <c r="F65" i="6" a="1"/>
  <c r="F65" i="6" s="1"/>
  <c r="F68" i="6" a="1"/>
  <c r="F68" i="6" s="1"/>
  <c r="F64" i="6" a="1"/>
  <c r="F64" i="6" s="1"/>
  <c r="F67" i="6" a="1"/>
  <c r="F67" i="6" s="1"/>
  <c r="F63" i="6" a="1"/>
  <c r="F63" i="6" s="1"/>
  <c r="F66" i="6" a="1"/>
  <c r="F66" i="6" s="1"/>
  <c r="F71" i="6" a="1"/>
  <c r="F71" i="6" s="1"/>
  <c r="F62" i="6" a="1"/>
  <c r="F62" i="6" s="1"/>
  <c r="L107" i="21"/>
  <c r="L102" i="21"/>
  <c r="L103" i="21"/>
  <c r="L104" i="21"/>
  <c r="L105" i="21"/>
  <c r="L100" i="21"/>
  <c r="L106" i="21"/>
  <c r="L99" i="21"/>
  <c r="L101" i="21"/>
  <c r="K98" i="21"/>
  <c r="D69" i="5" a="1"/>
  <c r="D69" i="5" s="1"/>
  <c r="D68" i="5" a="1"/>
  <c r="D68" i="5" s="1"/>
  <c r="D66" i="5" a="1"/>
  <c r="D66" i="5" s="1"/>
  <c r="D67" i="5" a="1"/>
  <c r="D67" i="5" s="1"/>
  <c r="D65" i="5" a="1"/>
  <c r="D65" i="5" s="1"/>
  <c r="D64" i="5" a="1"/>
  <c r="D64" i="5" s="1"/>
  <c r="D62" i="5" a="1"/>
  <c r="D62" i="5" s="1"/>
  <c r="D71" i="5" a="1"/>
  <c r="D71" i="5" s="1"/>
  <c r="D70" i="5" a="1"/>
  <c r="D70" i="5" s="1"/>
  <c r="D63" i="5" a="1"/>
  <c r="D63" i="5" s="1"/>
  <c r="F63" i="5" a="1"/>
  <c r="F63" i="5" s="1"/>
  <c r="F64" i="5" a="1"/>
  <c r="F64" i="5" s="1"/>
  <c r="F65" i="5" a="1"/>
  <c r="F65" i="5" s="1"/>
  <c r="F66" i="5" a="1"/>
  <c r="F66" i="5" s="1"/>
  <c r="F67" i="5" a="1"/>
  <c r="F67" i="5" s="1"/>
  <c r="F68" i="5" a="1"/>
  <c r="F68" i="5" s="1"/>
  <c r="F69" i="5" a="1"/>
  <c r="F69" i="5" s="1"/>
  <c r="F70" i="5" a="1"/>
  <c r="F70" i="5" s="1"/>
  <c r="F71" i="5" a="1"/>
  <c r="F71" i="5" s="1"/>
  <c r="F62" i="5" a="1"/>
  <c r="F62" i="5" s="1"/>
  <c r="F16" i="21"/>
  <c r="F15" i="15"/>
  <c r="F16" i="15"/>
  <c r="S35" i="15"/>
  <c r="S36" i="15" s="1"/>
  <c r="T34" i="15" s="1"/>
  <c r="S32" i="11"/>
  <c r="S33" i="11" s="1"/>
  <c r="F24" i="21"/>
  <c r="F22" i="21"/>
  <c r="F23" i="21"/>
  <c r="F18" i="21"/>
  <c r="F30" i="21"/>
  <c r="F25" i="21"/>
  <c r="F21" i="21"/>
  <c r="N11" i="7"/>
  <c r="M15" i="6"/>
  <c r="T32" i="15"/>
  <c r="T33" i="15"/>
  <c r="T14" i="8"/>
  <c r="T7" i="8"/>
  <c r="M15" i="19"/>
  <c r="M16" i="19"/>
  <c r="F17" i="14"/>
  <c r="T16" i="13"/>
  <c r="T16" i="14"/>
  <c r="F15" i="6"/>
  <c r="E18" i="6"/>
  <c r="F16" i="6" s="1"/>
  <c r="E29" i="17"/>
  <c r="E30" i="17" s="1"/>
  <c r="E31" i="17" s="1"/>
  <c r="E32" i="17" s="1"/>
  <c r="E33" i="17" s="1"/>
  <c r="E34" i="17" s="1"/>
  <c r="E35" i="17" s="1"/>
  <c r="E36" i="17" s="1"/>
  <c r="T16" i="19"/>
  <c r="T15" i="19"/>
  <c r="F18" i="14"/>
  <c r="F19" i="14"/>
  <c r="F15" i="14"/>
  <c r="F16" i="14"/>
  <c r="T16" i="8"/>
  <c r="T15" i="8"/>
  <c r="T15" i="11"/>
  <c r="T16" i="11"/>
  <c r="F15" i="19"/>
  <c r="F16" i="19"/>
  <c r="F18" i="19"/>
  <c r="M16" i="15"/>
  <c r="F17" i="19"/>
  <c r="T18" i="14"/>
  <c r="T17" i="14"/>
  <c r="M15" i="15"/>
  <c r="F15" i="5"/>
  <c r="M15" i="17"/>
  <c r="F15" i="11"/>
  <c r="F14" i="16"/>
  <c r="T17" i="11"/>
  <c r="F14" i="8"/>
  <c r="T14" i="12"/>
  <c r="T15" i="13"/>
  <c r="M15" i="11"/>
  <c r="M14" i="11"/>
  <c r="F15" i="12"/>
  <c r="M15" i="12"/>
  <c r="T14" i="13"/>
  <c r="F15" i="8"/>
  <c r="F14" i="11"/>
  <c r="F16" i="12"/>
  <c r="T14" i="14"/>
  <c r="T15" i="12"/>
  <c r="F18" i="12"/>
  <c r="T15" i="14"/>
  <c r="T15" i="16"/>
  <c r="T28" i="17"/>
  <c r="F16" i="8"/>
  <c r="T17" i="15"/>
  <c r="F20" i="19"/>
  <c r="T15" i="18"/>
  <c r="S17" i="5"/>
  <c r="S18" i="5" s="1"/>
  <c r="S19" i="5" s="1"/>
  <c r="S20" i="5" s="1"/>
  <c r="T18" i="5" s="1"/>
  <c r="M15" i="13"/>
  <c r="L17" i="13"/>
  <c r="L21" i="20"/>
  <c r="L22" i="20" s="1"/>
  <c r="M21" i="20" s="1"/>
  <c r="S19" i="8"/>
  <c r="S3" i="17"/>
  <c r="S4" i="17" s="1"/>
  <c r="E20" i="12"/>
  <c r="E21" i="12" s="1"/>
  <c r="S17" i="20"/>
  <c r="S18" i="20" s="1"/>
  <c r="E19" i="16"/>
  <c r="M16" i="12"/>
  <c r="L19" i="12"/>
  <c r="L8" i="12" s="1"/>
  <c r="L9" i="12" s="1"/>
  <c r="F19" i="11"/>
  <c r="E21" i="11"/>
  <c r="E22" i="11" s="1"/>
  <c r="F20" i="11" s="1"/>
  <c r="F16" i="5"/>
  <c r="F15" i="16"/>
  <c r="F17" i="12"/>
  <c r="F20" i="14"/>
  <c r="M16" i="18"/>
  <c r="M15" i="18"/>
  <c r="M14" i="18"/>
  <c r="F18" i="11"/>
  <c r="F16" i="11"/>
  <c r="F17" i="11"/>
  <c r="E8" i="17"/>
  <c r="E9" i="17" s="1"/>
  <c r="F15" i="17"/>
  <c r="F15" i="13"/>
  <c r="F16" i="13"/>
  <c r="F16" i="17"/>
  <c r="T27" i="17"/>
  <c r="F15" i="18"/>
  <c r="M16" i="6"/>
  <c r="L18" i="6"/>
  <c r="L19" i="6" s="1"/>
  <c r="F19" i="19"/>
  <c r="E30" i="5"/>
  <c r="E31" i="5" s="1"/>
  <c r="T16" i="16"/>
  <c r="S18" i="16"/>
  <c r="T17" i="16" s="1"/>
  <c r="F17" i="17"/>
  <c r="L18" i="5"/>
  <c r="L19" i="5" s="1"/>
  <c r="L20" i="5" s="1"/>
  <c r="L21" i="5" s="1"/>
  <c r="L22" i="5" s="1"/>
  <c r="L23" i="5" s="1"/>
  <c r="L24" i="5" s="1"/>
  <c r="L25" i="5" s="1"/>
  <c r="T14" i="18"/>
  <c r="T19" i="15"/>
  <c r="S21" i="15"/>
  <c r="S22" i="15" s="1"/>
  <c r="S23" i="15" s="1"/>
  <c r="S24" i="15" s="1"/>
  <c r="T16" i="15"/>
  <c r="M15" i="5"/>
  <c r="S18" i="12"/>
  <c r="S19" i="12" s="1"/>
  <c r="T17" i="12" s="1"/>
  <c r="M14" i="5"/>
  <c r="T18" i="15"/>
  <c r="T15" i="15"/>
  <c r="M15" i="14"/>
  <c r="L22" i="14"/>
  <c r="M20" i="14"/>
  <c r="M19" i="14"/>
  <c r="M16" i="14"/>
  <c r="F18" i="17"/>
  <c r="T17" i="6"/>
  <c r="T16" i="6"/>
  <c r="M18" i="14"/>
  <c r="M17" i="14"/>
  <c r="E24" i="14"/>
  <c r="F21" i="14"/>
  <c r="S20" i="14"/>
  <c r="T19" i="14" s="1"/>
  <c r="E17" i="20"/>
  <c r="F15" i="20"/>
  <c r="L19" i="17"/>
  <c r="M17" i="17"/>
  <c r="M17" i="12"/>
  <c r="E19" i="15"/>
  <c r="F17" i="15"/>
  <c r="T17" i="8"/>
  <c r="E19" i="8"/>
  <c r="E20" i="8" s="1"/>
  <c r="F17" i="8"/>
  <c r="L19" i="15"/>
  <c r="M17" i="15"/>
  <c r="T18" i="6"/>
  <c r="T19" i="6"/>
  <c r="F17" i="5"/>
  <c r="L19" i="8"/>
  <c r="L20" i="8" s="1"/>
  <c r="L20" i="16"/>
  <c r="M17" i="16"/>
  <c r="M18" i="16"/>
  <c r="F17" i="13"/>
  <c r="E20" i="13"/>
  <c r="S19" i="13"/>
  <c r="T17" i="13"/>
  <c r="M17" i="19"/>
  <c r="M17" i="11"/>
  <c r="L19" i="11"/>
  <c r="M18" i="11" s="1"/>
  <c r="M16" i="11"/>
  <c r="F14" i="20"/>
  <c r="M15" i="20"/>
  <c r="M14" i="20"/>
  <c r="T14" i="20"/>
  <c r="L9" i="17"/>
  <c r="T52" i="17"/>
  <c r="T53" i="17" s="1"/>
  <c r="S2" i="17"/>
  <c r="S9" i="17"/>
  <c r="U6" i="5" l="1"/>
  <c r="D55" i="11" a="1"/>
  <c r="D55" i="11" s="1"/>
  <c r="I97" i="21"/>
  <c r="I104" i="21" s="1"/>
  <c r="C55" i="11" a="1"/>
  <c r="C55" i="11" s="1"/>
  <c r="A56" i="11"/>
  <c r="C56" i="11" s="1" a="1"/>
  <c r="C56" i="11" s="1"/>
  <c r="B56" i="11" a="1"/>
  <c r="B56" i="11" s="1"/>
  <c r="D56" i="11" a="1"/>
  <c r="D56" i="11" s="1"/>
  <c r="I39" i="21"/>
  <c r="J39" i="21" a="1"/>
  <c r="J39" i="21" s="1"/>
  <c r="M106" i="21"/>
  <c r="M98" i="21"/>
  <c r="L98" i="21"/>
  <c r="T35" i="15"/>
  <c r="S37" i="15"/>
  <c r="S38" i="15" s="1"/>
  <c r="T36" i="15" s="1"/>
  <c r="L20" i="6"/>
  <c r="L21" i="6" s="1"/>
  <c r="L21" i="17"/>
  <c r="L20" i="17"/>
  <c r="S34" i="11"/>
  <c r="S35" i="11" s="1"/>
  <c r="S36" i="11" s="1"/>
  <c r="S37" i="11" s="1"/>
  <c r="S38" i="11" s="1"/>
  <c r="S39" i="11" s="1"/>
  <c r="F20" i="21"/>
  <c r="F32" i="21"/>
  <c r="F39" i="21"/>
  <c r="F27" i="21"/>
  <c r="F17" i="6"/>
  <c r="T8" i="17"/>
  <c r="T9" i="17" s="1"/>
  <c r="T20" i="11"/>
  <c r="T19" i="11"/>
  <c r="T18" i="11"/>
  <c r="E19" i="6"/>
  <c r="E20" i="6" s="1"/>
  <c r="E21" i="6" s="1"/>
  <c r="E22" i="6" s="1"/>
  <c r="E23" i="6" s="1"/>
  <c r="E24" i="6" s="1"/>
  <c r="E25" i="6" s="1"/>
  <c r="E26" i="6" s="1"/>
  <c r="E28" i="6" s="1"/>
  <c r="E29" i="6" s="1"/>
  <c r="E30" i="6" s="1"/>
  <c r="T15" i="5"/>
  <c r="S25" i="15"/>
  <c r="T23" i="15"/>
  <c r="T17" i="19"/>
  <c r="F16" i="16"/>
  <c r="M16" i="5"/>
  <c r="M17" i="8"/>
  <c r="T16" i="12"/>
  <c r="L20" i="12"/>
  <c r="L21" i="12" s="1"/>
  <c r="S21" i="5"/>
  <c r="T19" i="5" s="1"/>
  <c r="E22" i="12"/>
  <c r="E23" i="12" s="1"/>
  <c r="F20" i="12"/>
  <c r="F19" i="12"/>
  <c r="T16" i="5"/>
  <c r="S19" i="20"/>
  <c r="S20" i="20" s="1"/>
  <c r="S22" i="20" s="1"/>
  <c r="L23" i="20"/>
  <c r="L24" i="20" s="1"/>
  <c r="L18" i="13"/>
  <c r="M16" i="13" s="1"/>
  <c r="F21" i="17"/>
  <c r="F21" i="11"/>
  <c r="E23" i="11"/>
  <c r="E24" i="11" s="1"/>
  <c r="E25" i="11" s="1"/>
  <c r="E26" i="11" s="1"/>
  <c r="S20" i="8"/>
  <c r="T18" i="8" s="1"/>
  <c r="M18" i="5"/>
  <c r="T16" i="18"/>
  <c r="E29" i="12"/>
  <c r="M17" i="5"/>
  <c r="E32" i="5"/>
  <c r="E33" i="5" s="1"/>
  <c r="E34" i="5" s="1"/>
  <c r="E35" i="5" s="1"/>
  <c r="E36" i="5" s="1"/>
  <c r="E37" i="5" s="1"/>
  <c r="E38" i="5" s="1"/>
  <c r="M17" i="6"/>
  <c r="T17" i="5"/>
  <c r="M17" i="18"/>
  <c r="M18" i="6"/>
  <c r="S19" i="16"/>
  <c r="S20" i="16" s="1"/>
  <c r="F16" i="18"/>
  <c r="S20" i="12"/>
  <c r="L26" i="5"/>
  <c r="L27" i="5" s="1"/>
  <c r="L28" i="5" s="1"/>
  <c r="L29" i="5" s="1"/>
  <c r="L30" i="5" s="1"/>
  <c r="L31" i="5" s="1"/>
  <c r="L32" i="5" s="1"/>
  <c r="F21" i="19"/>
  <c r="F22" i="19"/>
  <c r="T17" i="18"/>
  <c r="T20" i="15"/>
  <c r="F19" i="17"/>
  <c r="F20" i="17"/>
  <c r="L23" i="14"/>
  <c r="M21" i="14"/>
  <c r="E25" i="14"/>
  <c r="F23" i="14"/>
  <c r="F22" i="14"/>
  <c r="E20" i="16"/>
  <c r="F18" i="16"/>
  <c r="F17" i="16"/>
  <c r="M18" i="17"/>
  <c r="M19" i="17"/>
  <c r="L20" i="15"/>
  <c r="M18" i="15"/>
  <c r="E21" i="8"/>
  <c r="F18" i="8"/>
  <c r="S21" i="14"/>
  <c r="E20" i="15"/>
  <c r="F18" i="15"/>
  <c r="E18" i="20"/>
  <c r="F16" i="20"/>
  <c r="T20" i="6"/>
  <c r="S8" i="6"/>
  <c r="S9" i="6" s="1"/>
  <c r="M19" i="5"/>
  <c r="F18" i="5"/>
  <c r="L21" i="8"/>
  <c r="M18" i="8"/>
  <c r="L21" i="16"/>
  <c r="L22" i="16" s="1"/>
  <c r="M19" i="16"/>
  <c r="F18" i="13"/>
  <c r="F19" i="13"/>
  <c r="E21" i="13"/>
  <c r="S20" i="13"/>
  <c r="T18" i="13"/>
  <c r="M18" i="19"/>
  <c r="T18" i="19"/>
  <c r="L20" i="11"/>
  <c r="L21" i="11" s="1"/>
  <c r="L22" i="11" s="1"/>
  <c r="L8" i="11"/>
  <c r="L9" i="11" s="1"/>
  <c r="M16" i="20"/>
  <c r="T7" i="17"/>
  <c r="T3" i="17"/>
  <c r="T4" i="17" s="1"/>
  <c r="T2" i="17"/>
  <c r="A57" i="11" l="1"/>
  <c r="C57" i="11" s="1" a="1"/>
  <c r="C57" i="11" s="1"/>
  <c r="B57" i="11" a="1"/>
  <c r="B57" i="11" s="1"/>
  <c r="D57" i="11" a="1"/>
  <c r="D57" i="11" s="1"/>
  <c r="I40" i="21"/>
  <c r="J40" i="21" a="1"/>
  <c r="J40" i="21" s="1"/>
  <c r="L8" i="6"/>
  <c r="L9" i="6" s="1"/>
  <c r="M102" i="21"/>
  <c r="M103" i="21"/>
  <c r="M104" i="21"/>
  <c r="M105" i="21"/>
  <c r="M100" i="21"/>
  <c r="M117" i="21"/>
  <c r="M111" i="21"/>
  <c r="M116" i="21"/>
  <c r="M119" i="21"/>
  <c r="M109" i="21"/>
  <c r="M110" i="21"/>
  <c r="M112" i="21"/>
  <c r="M114" i="21"/>
  <c r="M113" i="21"/>
  <c r="M115" i="21"/>
  <c r="M118" i="21"/>
  <c r="M108" i="21"/>
  <c r="M99" i="21"/>
  <c r="M101" i="21"/>
  <c r="M107" i="21"/>
  <c r="L22" i="17"/>
  <c r="L22" i="6"/>
  <c r="L23" i="6" s="1"/>
  <c r="L24" i="6" s="1"/>
  <c r="L25" i="6" s="1"/>
  <c r="L26" i="6" s="1"/>
  <c r="L28" i="6" s="1"/>
  <c r="L29" i="6" s="1"/>
  <c r="L30" i="6" s="1"/>
  <c r="M19" i="6"/>
  <c r="F29" i="21"/>
  <c r="F31" i="21"/>
  <c r="F20" i="6"/>
  <c r="F18" i="6"/>
  <c r="M18" i="12"/>
  <c r="M19" i="12"/>
  <c r="S26" i="15"/>
  <c r="T24" i="15"/>
  <c r="T37" i="15"/>
  <c r="T38" i="15"/>
  <c r="S22" i="14"/>
  <c r="S23" i="14" s="1"/>
  <c r="T20" i="14"/>
  <c r="S22" i="5"/>
  <c r="F22" i="11"/>
  <c r="F21" i="12"/>
  <c r="T18" i="16"/>
  <c r="E24" i="12"/>
  <c r="F22" i="12"/>
  <c r="L25" i="20"/>
  <c r="M23" i="20"/>
  <c r="M22" i="20"/>
  <c r="E39" i="5"/>
  <c r="E40" i="5" s="1"/>
  <c r="S23" i="20"/>
  <c r="T21" i="20" s="1"/>
  <c r="L8" i="19"/>
  <c r="L9" i="19" s="1"/>
  <c r="F22" i="17"/>
  <c r="S22" i="8"/>
  <c r="T19" i="8"/>
  <c r="M17" i="13"/>
  <c r="L19" i="13"/>
  <c r="T21" i="18"/>
  <c r="T22" i="18"/>
  <c r="L23" i="11"/>
  <c r="L24" i="11" s="1"/>
  <c r="L25" i="11" s="1"/>
  <c r="L26" i="11" s="1"/>
  <c r="L27" i="11" s="1"/>
  <c r="L33" i="5"/>
  <c r="L34" i="5" s="1"/>
  <c r="L35" i="5" s="1"/>
  <c r="M18" i="18"/>
  <c r="F19" i="6"/>
  <c r="S21" i="12"/>
  <c r="S22" i="12" s="1"/>
  <c r="T19" i="12"/>
  <c r="T18" i="12"/>
  <c r="M20" i="6"/>
  <c r="F23" i="19"/>
  <c r="F21" i="6"/>
  <c r="F17" i="18"/>
  <c r="T19" i="18"/>
  <c r="T18" i="18"/>
  <c r="T20" i="18"/>
  <c r="S7" i="18"/>
  <c r="T22" i="15"/>
  <c r="T21" i="15"/>
  <c r="S7" i="15"/>
  <c r="E27" i="14"/>
  <c r="E28" i="14" s="1"/>
  <c r="F24" i="14"/>
  <c r="F8" i="14" s="1"/>
  <c r="F9" i="14" s="1"/>
  <c r="L24" i="14"/>
  <c r="M22" i="14"/>
  <c r="T21" i="11"/>
  <c r="S7" i="11"/>
  <c r="E21" i="15"/>
  <c r="F19" i="15"/>
  <c r="L22" i="15"/>
  <c r="M19" i="15"/>
  <c r="L22" i="12"/>
  <c r="L23" i="12" s="1"/>
  <c r="M20" i="12"/>
  <c r="E27" i="11"/>
  <c r="E28" i="11" s="1"/>
  <c r="F24" i="11"/>
  <c r="F23" i="11"/>
  <c r="E19" i="20"/>
  <c r="F17" i="20"/>
  <c r="E22" i="8"/>
  <c r="F20" i="8"/>
  <c r="F19" i="8"/>
  <c r="E21" i="16"/>
  <c r="F19" i="16"/>
  <c r="S7" i="6"/>
  <c r="T21" i="6"/>
  <c r="M20" i="5"/>
  <c r="F19" i="5"/>
  <c r="M20" i="8"/>
  <c r="L22" i="8"/>
  <c r="L7" i="8" s="1"/>
  <c r="M19" i="8"/>
  <c r="L23" i="16"/>
  <c r="M20" i="16"/>
  <c r="F20" i="13"/>
  <c r="E22" i="13"/>
  <c r="E23" i="13" s="1"/>
  <c r="S21" i="13"/>
  <c r="S22" i="13" s="1"/>
  <c r="T19" i="13"/>
  <c r="S21" i="16"/>
  <c r="T19" i="16"/>
  <c r="M19" i="19"/>
  <c r="T19" i="19"/>
  <c r="T20" i="19"/>
  <c r="M19" i="11"/>
  <c r="M8" i="11" s="1"/>
  <c r="M20" i="11"/>
  <c r="M17" i="20"/>
  <c r="T15" i="20"/>
  <c r="E8" i="14" l="1"/>
  <c r="E9" i="14" s="1"/>
  <c r="A58" i="11"/>
  <c r="D58" i="11" a="1"/>
  <c r="D58" i="11" s="1"/>
  <c r="I41" i="21"/>
  <c r="J41" i="21" a="1"/>
  <c r="J41" i="21" s="1"/>
  <c r="L23" i="17"/>
  <c r="M20" i="17"/>
  <c r="M21" i="17"/>
  <c r="F37" i="21"/>
  <c r="F28" i="21"/>
  <c r="F26" i="21"/>
  <c r="F33" i="21"/>
  <c r="F35" i="21"/>
  <c r="M8" i="6"/>
  <c r="M9" i="6" s="1"/>
  <c r="T22" i="11"/>
  <c r="T3" i="15"/>
  <c r="S27" i="15"/>
  <c r="T25" i="15"/>
  <c r="S24" i="14"/>
  <c r="S25" i="14" s="1"/>
  <c r="T22" i="14"/>
  <c r="T21" i="14"/>
  <c r="S23" i="5"/>
  <c r="T21" i="5" s="1"/>
  <c r="T20" i="5"/>
  <c r="E25" i="12"/>
  <c r="F23" i="12" s="1"/>
  <c r="L24" i="12"/>
  <c r="L25" i="12" s="1"/>
  <c r="S24" i="20"/>
  <c r="T22" i="20" s="1"/>
  <c r="F22" i="6"/>
  <c r="F23" i="17"/>
  <c r="S7" i="19"/>
  <c r="T23" i="11"/>
  <c r="L20" i="13"/>
  <c r="M18" i="13" s="1"/>
  <c r="L8" i="13"/>
  <c r="L9" i="13" s="1"/>
  <c r="T23" i="18"/>
  <c r="S23" i="8"/>
  <c r="T20" i="8"/>
  <c r="T21" i="8"/>
  <c r="L26" i="20"/>
  <c r="M24" i="20"/>
  <c r="M19" i="18"/>
  <c r="M21" i="6"/>
  <c r="F24" i="19"/>
  <c r="S23" i="12"/>
  <c r="T20" i="12"/>
  <c r="L25" i="14"/>
  <c r="L26" i="14" s="1"/>
  <c r="M23" i="14"/>
  <c r="F26" i="14"/>
  <c r="E29" i="14"/>
  <c r="E30" i="14" s="1"/>
  <c r="E7" i="14" s="1"/>
  <c r="F25" i="14"/>
  <c r="E23" i="8"/>
  <c r="E24" i="8" s="1"/>
  <c r="F21" i="8"/>
  <c r="L23" i="15"/>
  <c r="M21" i="15"/>
  <c r="M20" i="15"/>
  <c r="L8" i="8"/>
  <c r="L9" i="8" s="1"/>
  <c r="F26" i="11"/>
  <c r="F25" i="11"/>
  <c r="S7" i="14"/>
  <c r="E22" i="15"/>
  <c r="F20" i="15" s="1"/>
  <c r="E8" i="15"/>
  <c r="E9" i="15" s="1"/>
  <c r="E20" i="20"/>
  <c r="F18" i="20"/>
  <c r="E22" i="16"/>
  <c r="E23" i="16" s="1"/>
  <c r="E24" i="16" s="1"/>
  <c r="F20" i="16"/>
  <c r="M21" i="12"/>
  <c r="T22" i="6"/>
  <c r="M21" i="5"/>
  <c r="F20" i="5"/>
  <c r="F21" i="5"/>
  <c r="L23" i="8"/>
  <c r="L24" i="8" s="1"/>
  <c r="M21" i="8"/>
  <c r="L24" i="16"/>
  <c r="M21" i="16"/>
  <c r="M22" i="16"/>
  <c r="F21" i="13"/>
  <c r="E24" i="13"/>
  <c r="T20" i="13"/>
  <c r="S23" i="13"/>
  <c r="S7" i="13" s="1"/>
  <c r="S22" i="16"/>
  <c r="T20" i="16"/>
  <c r="M20" i="19"/>
  <c r="M3" i="19" s="1"/>
  <c r="M4" i="19" s="1"/>
  <c r="M21" i="19"/>
  <c r="T21" i="19"/>
  <c r="M21" i="11"/>
  <c r="M18" i="20"/>
  <c r="T16" i="20"/>
  <c r="T17" i="20"/>
  <c r="A59" i="11" l="1"/>
  <c r="D59" i="11" s="1" a="1"/>
  <c r="D59" i="11" s="1"/>
  <c r="C58" i="11" a="1"/>
  <c r="C58" i="11" s="1"/>
  <c r="B58" i="11" a="1"/>
  <c r="B58" i="11" s="1"/>
  <c r="I42" i="21"/>
  <c r="J42" i="21" a="1"/>
  <c r="J42" i="21" s="1"/>
  <c r="L24" i="17"/>
  <c r="M22" i="17"/>
  <c r="M3" i="17" s="1"/>
  <c r="M4" i="17" s="1"/>
  <c r="F38" i="21"/>
  <c r="F34" i="21"/>
  <c r="F36" i="21"/>
  <c r="T7" i="18"/>
  <c r="M8" i="19"/>
  <c r="M9" i="19" s="1"/>
  <c r="E25" i="16"/>
  <c r="E26" i="16" s="1"/>
  <c r="S28" i="15"/>
  <c r="T26" i="15"/>
  <c r="T23" i="14"/>
  <c r="T7" i="14" s="1"/>
  <c r="M22" i="12"/>
  <c r="S24" i="5"/>
  <c r="T22" i="5" s="1"/>
  <c r="F18" i="18"/>
  <c r="E7" i="6"/>
  <c r="T7" i="11"/>
  <c r="S8" i="19"/>
  <c r="S9" i="19" s="1"/>
  <c r="M23" i="12"/>
  <c r="E26" i="12"/>
  <c r="F24" i="12"/>
  <c r="L26" i="12"/>
  <c r="L3" i="12" s="1"/>
  <c r="L4" i="12" s="1"/>
  <c r="M24" i="12"/>
  <c r="E31" i="14"/>
  <c r="E32" i="14" s="1"/>
  <c r="S8" i="8"/>
  <c r="S9" i="8" s="1"/>
  <c r="S24" i="8"/>
  <c r="T22" i="8" s="1"/>
  <c r="S7" i="8"/>
  <c r="F24" i="17"/>
  <c r="L27" i="14"/>
  <c r="L28" i="14" s="1"/>
  <c r="T25" i="18"/>
  <c r="T24" i="18"/>
  <c r="M19" i="13"/>
  <c r="L21" i="13"/>
  <c r="S25" i="20"/>
  <c r="T23" i="20" s="1"/>
  <c r="L27" i="20"/>
  <c r="M25" i="20" s="1"/>
  <c r="L3" i="20"/>
  <c r="L4" i="20" s="1"/>
  <c r="M21" i="18"/>
  <c r="M20" i="18"/>
  <c r="M3" i="18" s="1"/>
  <c r="M4" i="18" s="1"/>
  <c r="E8" i="18"/>
  <c r="E9" i="18" s="1"/>
  <c r="F19" i="18"/>
  <c r="L3" i="14"/>
  <c r="L4" i="14" s="1"/>
  <c r="S24" i="12"/>
  <c r="T21" i="12"/>
  <c r="T22" i="12"/>
  <c r="S7" i="12"/>
  <c r="F25" i="19"/>
  <c r="M22" i="6"/>
  <c r="T7" i="15"/>
  <c r="F27" i="14"/>
  <c r="C26" i="7" s="1"/>
  <c r="F28" i="14"/>
  <c r="M24" i="14"/>
  <c r="L24" i="15"/>
  <c r="L25" i="15" s="1"/>
  <c r="M22" i="15"/>
  <c r="E23" i="15"/>
  <c r="E24" i="15" s="1"/>
  <c r="E30" i="11"/>
  <c r="E7" i="11" s="1"/>
  <c r="F27" i="11"/>
  <c r="F22" i="8"/>
  <c r="E25" i="8"/>
  <c r="E26" i="8" s="1"/>
  <c r="E21" i="20"/>
  <c r="F19" i="20"/>
  <c r="F21" i="16"/>
  <c r="S26" i="14"/>
  <c r="T24" i="14" s="1"/>
  <c r="T23" i="6"/>
  <c r="F23" i="6"/>
  <c r="F7" i="6" s="1"/>
  <c r="M22" i="5"/>
  <c r="F22" i="5"/>
  <c r="M22" i="8"/>
  <c r="M8" i="8" s="1"/>
  <c r="L25" i="8"/>
  <c r="L26" i="8" s="1"/>
  <c r="L25" i="16"/>
  <c r="M23" i="16"/>
  <c r="F22" i="13"/>
  <c r="E25" i="13"/>
  <c r="F23" i="13" s="1"/>
  <c r="S24" i="13"/>
  <c r="T22" i="13"/>
  <c r="T21" i="13"/>
  <c r="S23" i="16"/>
  <c r="T21" i="16"/>
  <c r="M22" i="19"/>
  <c r="T23" i="19"/>
  <c r="T22" i="19"/>
  <c r="M23" i="11"/>
  <c r="M22" i="11"/>
  <c r="M19" i="20"/>
  <c r="M20" i="20"/>
  <c r="T19" i="20"/>
  <c r="T18" i="20"/>
  <c r="T20" i="20"/>
  <c r="S7" i="20"/>
  <c r="M8" i="20" l="1"/>
  <c r="C59" i="11" a="1"/>
  <c r="C59" i="11" s="1"/>
  <c r="M7" i="8"/>
  <c r="A60" i="11"/>
  <c r="D60" i="11" a="1"/>
  <c r="D60" i="11" s="1"/>
  <c r="B59" i="11" a="1"/>
  <c r="B59" i="11" s="1"/>
  <c r="M23" i="17"/>
  <c r="L25" i="17"/>
  <c r="F54" i="21"/>
  <c r="F42" i="21"/>
  <c r="F65" i="21"/>
  <c r="F41" i="21"/>
  <c r="F46" i="21"/>
  <c r="F40" i="21"/>
  <c r="E27" i="16"/>
  <c r="E28" i="16" s="1"/>
  <c r="E29" i="16" s="1"/>
  <c r="E30" i="16" s="1"/>
  <c r="E31" i="16" s="1"/>
  <c r="F21" i="15"/>
  <c r="S7" i="16"/>
  <c r="T22" i="16"/>
  <c r="S29" i="15"/>
  <c r="T27" i="15"/>
  <c r="M9" i="8"/>
  <c r="S27" i="14"/>
  <c r="S28" i="14" s="1"/>
  <c r="T27" i="14" s="1"/>
  <c r="T25" i="14"/>
  <c r="S25" i="5"/>
  <c r="F28" i="11"/>
  <c r="M9" i="20"/>
  <c r="F29" i="14"/>
  <c r="L27" i="12"/>
  <c r="M25" i="12"/>
  <c r="M25" i="14"/>
  <c r="F22" i="16"/>
  <c r="L2" i="14"/>
  <c r="M26" i="14"/>
  <c r="E33" i="14"/>
  <c r="E34" i="14" s="1"/>
  <c r="E35" i="14" s="1"/>
  <c r="E36" i="14" s="1"/>
  <c r="F30" i="14"/>
  <c r="F31" i="14"/>
  <c r="T24" i="11"/>
  <c r="E27" i="12"/>
  <c r="F25" i="12"/>
  <c r="E33" i="12"/>
  <c r="S26" i="20"/>
  <c r="F25" i="17"/>
  <c r="M20" i="13"/>
  <c r="L22" i="13"/>
  <c r="L29" i="14"/>
  <c r="L30" i="14" s="1"/>
  <c r="M28" i="14" s="1"/>
  <c r="S25" i="8"/>
  <c r="S3" i="8" s="1"/>
  <c r="S4" i="8" s="1"/>
  <c r="T23" i="8"/>
  <c r="T8" i="8" s="1"/>
  <c r="M27" i="14"/>
  <c r="T25" i="11"/>
  <c r="L28" i="20"/>
  <c r="M26" i="20"/>
  <c r="F23" i="16"/>
  <c r="T26" i="18"/>
  <c r="M23" i="18"/>
  <c r="M22" i="18"/>
  <c r="E25" i="15"/>
  <c r="F23" i="15" s="1"/>
  <c r="M23" i="6"/>
  <c r="M24" i="6"/>
  <c r="S25" i="12"/>
  <c r="T23" i="12"/>
  <c r="T7" i="12" s="1"/>
  <c r="F26" i="19"/>
  <c r="F20" i="18"/>
  <c r="F21" i="18"/>
  <c r="L26" i="15"/>
  <c r="L3" i="15" s="1"/>
  <c r="L4" i="15" s="1"/>
  <c r="M23" i="15"/>
  <c r="E27" i="8"/>
  <c r="F24" i="8"/>
  <c r="F23" i="8"/>
  <c r="F22" i="15"/>
  <c r="F30" i="11"/>
  <c r="E8" i="11"/>
  <c r="E9" i="11" s="1"/>
  <c r="E22" i="20"/>
  <c r="E23" i="20" s="1"/>
  <c r="F20" i="20"/>
  <c r="T24" i="6"/>
  <c r="T7" i="6"/>
  <c r="M23" i="5"/>
  <c r="F23" i="5"/>
  <c r="M24" i="8"/>
  <c r="M23" i="8"/>
  <c r="L27" i="8"/>
  <c r="L3" i="8"/>
  <c r="L4" i="8" s="1"/>
  <c r="L26" i="16"/>
  <c r="L3" i="16" s="1"/>
  <c r="L4" i="16" s="1"/>
  <c r="M24" i="16"/>
  <c r="E26" i="13"/>
  <c r="E8" i="13" s="1"/>
  <c r="E9" i="13" s="1"/>
  <c r="S25" i="13"/>
  <c r="T23" i="13" s="1"/>
  <c r="T7" i="13" s="1"/>
  <c r="S24" i="16"/>
  <c r="T23" i="16" s="1"/>
  <c r="M23" i="19"/>
  <c r="T25" i="19"/>
  <c r="T24" i="19"/>
  <c r="T7" i="19"/>
  <c r="M24" i="11"/>
  <c r="L3" i="11"/>
  <c r="L4" i="11" s="1"/>
  <c r="T7" i="20"/>
  <c r="F7" i="14" l="1"/>
  <c r="F8" i="11"/>
  <c r="F9" i="11" s="1"/>
  <c r="D61" i="11" a="1"/>
  <c r="D61" i="11" s="1"/>
  <c r="A61" i="11"/>
  <c r="B61" i="11" a="1"/>
  <c r="B61" i="11" s="1"/>
  <c r="C60" i="11" a="1"/>
  <c r="C60" i="11" s="1"/>
  <c r="B60" i="11" a="1"/>
  <c r="B60" i="11" s="1"/>
  <c r="L26" i="17"/>
  <c r="L3" i="17" s="1"/>
  <c r="L4" i="17" s="1"/>
  <c r="M24" i="17"/>
  <c r="F45" i="21"/>
  <c r="T23" i="5"/>
  <c r="S27" i="5"/>
  <c r="T25" i="5" s="1"/>
  <c r="S30" i="15"/>
  <c r="T28" i="15"/>
  <c r="T26" i="14"/>
  <c r="T24" i="5"/>
  <c r="F24" i="13"/>
  <c r="F24" i="6"/>
  <c r="L28" i="12"/>
  <c r="L2" i="12" s="1"/>
  <c r="F32" i="14"/>
  <c r="F33" i="14"/>
  <c r="T26" i="11"/>
  <c r="M3" i="14"/>
  <c r="M4" i="14" s="1"/>
  <c r="M2" i="14"/>
  <c r="S2" i="8"/>
  <c r="T24" i="20"/>
  <c r="S27" i="20"/>
  <c r="S28" i="20" s="1"/>
  <c r="S2" i="20" s="1"/>
  <c r="S2" i="11"/>
  <c r="T27" i="11"/>
  <c r="S3" i="11"/>
  <c r="S4" i="11" s="1"/>
  <c r="S8" i="11"/>
  <c r="S9" i="11" s="1"/>
  <c r="E28" i="12"/>
  <c r="F26" i="12"/>
  <c r="L29" i="20"/>
  <c r="M27" i="20"/>
  <c r="M3" i="20" s="1"/>
  <c r="M4" i="20" s="1"/>
  <c r="L2" i="20"/>
  <c r="F26" i="17"/>
  <c r="L23" i="13"/>
  <c r="M21" i="13" s="1"/>
  <c r="T27" i="18"/>
  <c r="S3" i="18"/>
  <c r="S4" i="18" s="1"/>
  <c r="S2" i="18"/>
  <c r="T25" i="20"/>
  <c r="T9" i="8"/>
  <c r="F24" i="16"/>
  <c r="S26" i="8"/>
  <c r="T24" i="8"/>
  <c r="M24" i="18"/>
  <c r="F27" i="19"/>
  <c r="S26" i="12"/>
  <c r="T24" i="12"/>
  <c r="F22" i="18"/>
  <c r="F23" i="18"/>
  <c r="L3" i="6"/>
  <c r="L4" i="6" s="1"/>
  <c r="M25" i="6"/>
  <c r="L31" i="14"/>
  <c r="M29" i="14"/>
  <c r="E26" i="15"/>
  <c r="F24" i="15" s="1"/>
  <c r="F26" i="6"/>
  <c r="F7" i="11"/>
  <c r="F35" i="14"/>
  <c r="F34" i="14"/>
  <c r="F36" i="14"/>
  <c r="S8" i="15"/>
  <c r="S9" i="15" s="1"/>
  <c r="M25" i="15"/>
  <c r="L27" i="15"/>
  <c r="M24" i="15"/>
  <c r="E24" i="20"/>
  <c r="F21" i="20"/>
  <c r="S29" i="14"/>
  <c r="T28" i="14" s="1"/>
  <c r="S8" i="14"/>
  <c r="S9" i="14" s="1"/>
  <c r="S2" i="14"/>
  <c r="S3" i="14"/>
  <c r="S4" i="14" s="1"/>
  <c r="F26" i="8"/>
  <c r="F25" i="8"/>
  <c r="E29" i="8"/>
  <c r="T25" i="6"/>
  <c r="F25" i="6"/>
  <c r="M24" i="5"/>
  <c r="F24" i="5"/>
  <c r="L28" i="8"/>
  <c r="L2" i="8" s="1"/>
  <c r="M26" i="8"/>
  <c r="M25" i="8"/>
  <c r="L27" i="16"/>
  <c r="M25" i="16"/>
  <c r="F25" i="13"/>
  <c r="E27" i="13"/>
  <c r="T24" i="13"/>
  <c r="S26" i="13"/>
  <c r="S25" i="16"/>
  <c r="M24" i="19"/>
  <c r="T26" i="19"/>
  <c r="M25" i="11"/>
  <c r="D62" i="11" l="1" a="1"/>
  <c r="D62" i="11" s="1"/>
  <c r="A62" i="11"/>
  <c r="C62" i="11" a="1"/>
  <c r="C62" i="11" s="1"/>
  <c r="C61" i="11" a="1"/>
  <c r="C61" i="11" s="1"/>
  <c r="T8" i="14"/>
  <c r="L27" i="17"/>
  <c r="L2" i="17" s="1"/>
  <c r="M25" i="17"/>
  <c r="F76" i="21"/>
  <c r="F49" i="21"/>
  <c r="F44" i="21"/>
  <c r="F48" i="21"/>
  <c r="F47" i="21"/>
  <c r="S28" i="5"/>
  <c r="T26" i="5"/>
  <c r="M27" i="12"/>
  <c r="L29" i="12"/>
  <c r="L30" i="12" s="1"/>
  <c r="S31" i="15"/>
  <c r="T29" i="15"/>
  <c r="S26" i="16"/>
  <c r="T24" i="16"/>
  <c r="M26" i="12"/>
  <c r="T28" i="11"/>
  <c r="T29" i="11"/>
  <c r="F27" i="12"/>
  <c r="E30" i="12"/>
  <c r="E8" i="12" s="1"/>
  <c r="E9" i="12" s="1"/>
  <c r="S29" i="20"/>
  <c r="T26" i="20"/>
  <c r="T27" i="20"/>
  <c r="S3" i="20"/>
  <c r="S4" i="20" s="1"/>
  <c r="F26" i="18"/>
  <c r="S27" i="8"/>
  <c r="T25" i="8" s="1"/>
  <c r="T2" i="8" s="1"/>
  <c r="L30" i="20"/>
  <c r="M28" i="20"/>
  <c r="M2" i="20" s="1"/>
  <c r="L8" i="20"/>
  <c r="L9" i="20" s="1"/>
  <c r="T28" i="18"/>
  <c r="T3" i="18" s="1"/>
  <c r="T4" i="18" s="1"/>
  <c r="T29" i="18"/>
  <c r="L24" i="13"/>
  <c r="M22" i="13"/>
  <c r="F27" i="17"/>
  <c r="F25" i="16"/>
  <c r="L3" i="18"/>
  <c r="L4" i="18" s="1"/>
  <c r="M25" i="18"/>
  <c r="E27" i="15"/>
  <c r="F25" i="15"/>
  <c r="M27" i="6"/>
  <c r="M26" i="6"/>
  <c r="F24" i="18"/>
  <c r="F25" i="18"/>
  <c r="L32" i="14"/>
  <c r="M30" i="14"/>
  <c r="S27" i="12"/>
  <c r="T25" i="12"/>
  <c r="L2" i="6"/>
  <c r="F27" i="6"/>
  <c r="E7" i="19"/>
  <c r="F28" i="19"/>
  <c r="E8" i="19"/>
  <c r="E9" i="19" s="1"/>
  <c r="S2" i="15"/>
  <c r="S3" i="15"/>
  <c r="S4" i="15" s="1"/>
  <c r="S30" i="14"/>
  <c r="E30" i="8"/>
  <c r="F27" i="8"/>
  <c r="F7" i="8" s="1"/>
  <c r="F28" i="8"/>
  <c r="L28" i="15"/>
  <c r="M26" i="15" s="1"/>
  <c r="M3" i="15" s="1"/>
  <c r="M4" i="15" s="1"/>
  <c r="E25" i="20"/>
  <c r="F23" i="20" s="1"/>
  <c r="F22" i="20"/>
  <c r="T26" i="6"/>
  <c r="S2" i="6"/>
  <c r="M26" i="5"/>
  <c r="M25" i="5"/>
  <c r="F25" i="5"/>
  <c r="E7" i="5"/>
  <c r="L29" i="8"/>
  <c r="M27" i="8"/>
  <c r="M3" i="8" s="1"/>
  <c r="M4" i="8" s="1"/>
  <c r="L28" i="16"/>
  <c r="M26" i="16"/>
  <c r="M3" i="16" s="1"/>
  <c r="M4" i="16" s="1"/>
  <c r="E28" i="13"/>
  <c r="E30" i="13" s="1"/>
  <c r="F26" i="13"/>
  <c r="F8" i="13" s="1"/>
  <c r="S27" i="13"/>
  <c r="S28" i="13" s="1"/>
  <c r="T7" i="16"/>
  <c r="M25" i="19"/>
  <c r="L3" i="19"/>
  <c r="L4" i="19" s="1"/>
  <c r="T27" i="19"/>
  <c r="S3" i="19"/>
  <c r="S4" i="19" s="1"/>
  <c r="S2" i="19"/>
  <c r="M27" i="11"/>
  <c r="M26" i="11"/>
  <c r="L2" i="11"/>
  <c r="L7" i="11"/>
  <c r="D63" i="11" l="1" a="1"/>
  <c r="D63" i="11" s="1"/>
  <c r="A63" i="11"/>
  <c r="C63" i="11" s="1" a="1"/>
  <c r="C63" i="11" s="1"/>
  <c r="B62" i="11" a="1"/>
  <c r="B62" i="11" s="1"/>
  <c r="L7" i="17"/>
  <c r="M26" i="17"/>
  <c r="M27" i="17"/>
  <c r="F50" i="21"/>
  <c r="F43" i="21"/>
  <c r="F51" i="21"/>
  <c r="E7" i="21"/>
  <c r="F8" i="18"/>
  <c r="T8" i="11"/>
  <c r="S29" i="5"/>
  <c r="T27" i="5"/>
  <c r="M28" i="12"/>
  <c r="M8" i="12" s="1"/>
  <c r="T25" i="13"/>
  <c r="S27" i="16"/>
  <c r="T25" i="16"/>
  <c r="T8" i="16" s="1"/>
  <c r="T30" i="15"/>
  <c r="T31" i="15"/>
  <c r="F9" i="13"/>
  <c r="C25" i="7" s="1"/>
  <c r="T29" i="14"/>
  <c r="T30" i="14"/>
  <c r="T52" i="14" s="1"/>
  <c r="T53" i="14" s="1"/>
  <c r="M9" i="11"/>
  <c r="E7" i="18"/>
  <c r="T30" i="11"/>
  <c r="T2" i="11"/>
  <c r="F28" i="12"/>
  <c r="F29" i="12"/>
  <c r="E31" i="12"/>
  <c r="E7" i="12"/>
  <c r="T30" i="18"/>
  <c r="S8" i="20"/>
  <c r="S9" i="20" s="1"/>
  <c r="E31" i="13"/>
  <c r="F29" i="13" s="1"/>
  <c r="F28" i="17"/>
  <c r="S30" i="20"/>
  <c r="T28" i="20" s="1"/>
  <c r="T3" i="20" s="1"/>
  <c r="T4" i="20" s="1"/>
  <c r="M30" i="20"/>
  <c r="M29" i="20"/>
  <c r="L7" i="20"/>
  <c r="F27" i="18"/>
  <c r="M23" i="13"/>
  <c r="L25" i="13"/>
  <c r="S28" i="8"/>
  <c r="T26" i="8" s="1"/>
  <c r="T2" i="18"/>
  <c r="M27" i="18"/>
  <c r="M26" i="18"/>
  <c r="L2" i="18"/>
  <c r="F28" i="6"/>
  <c r="L31" i="12"/>
  <c r="M32" i="12" s="1"/>
  <c r="M28" i="6"/>
  <c r="M2" i="6" s="1"/>
  <c r="F30" i="19"/>
  <c r="F31" i="19"/>
  <c r="F29" i="19"/>
  <c r="S28" i="12"/>
  <c r="T26" i="12"/>
  <c r="E28" i="15"/>
  <c r="F26" i="15"/>
  <c r="L33" i="14"/>
  <c r="L7" i="14" s="1"/>
  <c r="M31" i="14"/>
  <c r="L2" i="15"/>
  <c r="M7" i="11"/>
  <c r="E32" i="8"/>
  <c r="F29" i="8"/>
  <c r="E26" i="20"/>
  <c r="F24" i="20"/>
  <c r="T9" i="14"/>
  <c r="E26" i="7" s="1"/>
  <c r="T2" i="14"/>
  <c r="S52" i="14"/>
  <c r="S53" i="14" s="1"/>
  <c r="L29" i="15"/>
  <c r="M27" i="15"/>
  <c r="T27" i="6"/>
  <c r="S3" i="6"/>
  <c r="S4" i="6" s="1"/>
  <c r="M27" i="5"/>
  <c r="F26" i="5"/>
  <c r="F7" i="5" s="1"/>
  <c r="M2" i="11"/>
  <c r="L30" i="8"/>
  <c r="M28" i="8"/>
  <c r="M2" i="8" s="1"/>
  <c r="L29" i="16"/>
  <c r="M27" i="16"/>
  <c r="L2" i="16"/>
  <c r="F27" i="13"/>
  <c r="F28" i="13"/>
  <c r="E7" i="13"/>
  <c r="S29" i="13"/>
  <c r="T26" i="13"/>
  <c r="S2" i="13"/>
  <c r="S3" i="13"/>
  <c r="S4" i="13" s="1"/>
  <c r="M26" i="19"/>
  <c r="T28" i="19"/>
  <c r="T29" i="19"/>
  <c r="M3" i="11"/>
  <c r="M4" i="11" s="1"/>
  <c r="A64" i="11" l="1"/>
  <c r="B64" i="11" a="1"/>
  <c r="B64" i="11" s="1"/>
  <c r="D64" i="11" a="1"/>
  <c r="D64" i="11" s="1"/>
  <c r="C64" i="11" a="1"/>
  <c r="C64" i="11" s="1"/>
  <c r="B63" i="11" a="1"/>
  <c r="B63" i="11" s="1"/>
  <c r="M7" i="17"/>
  <c r="M8" i="17"/>
  <c r="M9" i="17" s="1"/>
  <c r="M2" i="17"/>
  <c r="F52" i="21"/>
  <c r="F53" i="21"/>
  <c r="F56" i="21"/>
  <c r="M2" i="12"/>
  <c r="S30" i="5"/>
  <c r="T28" i="5"/>
  <c r="T8" i="15"/>
  <c r="T9" i="15" s="1"/>
  <c r="M29" i="12"/>
  <c r="M3" i="12" s="1"/>
  <c r="M4" i="12" s="1"/>
  <c r="F28" i="18"/>
  <c r="S28" i="16"/>
  <c r="S8" i="16" s="1"/>
  <c r="S9" i="16" s="1"/>
  <c r="T26" i="16"/>
  <c r="F32" i="19"/>
  <c r="M7" i="20"/>
  <c r="E32" i="12"/>
  <c r="E34" i="12" s="1"/>
  <c r="E7" i="17"/>
  <c r="S52" i="15"/>
  <c r="S53" i="15" s="1"/>
  <c r="S29" i="8"/>
  <c r="T27" i="8"/>
  <c r="F33" i="19"/>
  <c r="F34" i="19"/>
  <c r="F29" i="18"/>
  <c r="M24" i="13"/>
  <c r="L26" i="13"/>
  <c r="T2" i="20"/>
  <c r="F30" i="13"/>
  <c r="F7" i="13" s="1"/>
  <c r="E32" i="13"/>
  <c r="S31" i="20"/>
  <c r="T29" i="20"/>
  <c r="T31" i="18"/>
  <c r="T8" i="18" s="1"/>
  <c r="F26" i="16"/>
  <c r="F27" i="16"/>
  <c r="T3" i="14"/>
  <c r="T4" i="14" s="1"/>
  <c r="M28" i="18"/>
  <c r="M2" i="18" s="1"/>
  <c r="L8" i="14"/>
  <c r="L9" i="14" s="1"/>
  <c r="F7" i="19"/>
  <c r="E29" i="15"/>
  <c r="E7" i="15" s="1"/>
  <c r="F27" i="15"/>
  <c r="L7" i="12"/>
  <c r="M30" i="12"/>
  <c r="M9" i="12" s="1"/>
  <c r="M31" i="12"/>
  <c r="S2" i="12"/>
  <c r="S29" i="12"/>
  <c r="T27" i="12"/>
  <c r="S3" i="12"/>
  <c r="S4" i="12" s="1"/>
  <c r="F29" i="6"/>
  <c r="M29" i="6"/>
  <c r="M30" i="6"/>
  <c r="L7" i="6"/>
  <c r="M32" i="14"/>
  <c r="M33" i="14"/>
  <c r="T2" i="15"/>
  <c r="E27" i="20"/>
  <c r="E28" i="20" s="1"/>
  <c r="F25" i="20"/>
  <c r="L30" i="15"/>
  <c r="M28" i="15"/>
  <c r="M2" i="15" s="1"/>
  <c r="E34" i="8"/>
  <c r="F31" i="8"/>
  <c r="F30" i="8"/>
  <c r="T28" i="6"/>
  <c r="T2" i="6" s="1"/>
  <c r="T29" i="6"/>
  <c r="M28" i="5"/>
  <c r="F27" i="5"/>
  <c r="L31" i="8"/>
  <c r="M29" i="8"/>
  <c r="M29" i="16"/>
  <c r="M28" i="16"/>
  <c r="M2" i="16" s="1"/>
  <c r="L8" i="16"/>
  <c r="L9" i="16" s="1"/>
  <c r="L7" i="16"/>
  <c r="S30" i="13"/>
  <c r="T27" i="13"/>
  <c r="T28" i="13"/>
  <c r="S8" i="13"/>
  <c r="S9" i="13" s="1"/>
  <c r="S3" i="16"/>
  <c r="S4" i="16" s="1"/>
  <c r="S2" i="16"/>
  <c r="M28" i="19"/>
  <c r="M27" i="19"/>
  <c r="L7" i="19"/>
  <c r="L2" i="19"/>
  <c r="T30" i="19"/>
  <c r="T31" i="19"/>
  <c r="S52" i="19"/>
  <c r="S53" i="19" s="1"/>
  <c r="T3" i="19"/>
  <c r="T4" i="19" s="1"/>
  <c r="T2" i="19"/>
  <c r="F7" i="21" l="1"/>
  <c r="M8" i="14"/>
  <c r="M9" i="14" s="1"/>
  <c r="D26" i="7" s="1"/>
  <c r="S31" i="5"/>
  <c r="T29" i="5"/>
  <c r="M8" i="16"/>
  <c r="M9" i="16" s="1"/>
  <c r="D28" i="7" s="1"/>
  <c r="S29" i="16"/>
  <c r="T27" i="16" s="1"/>
  <c r="F30" i="12"/>
  <c r="F7" i="12" s="1"/>
  <c r="T31" i="11"/>
  <c r="E35" i="12"/>
  <c r="F33" i="12" s="1"/>
  <c r="T32" i="11"/>
  <c r="F31" i="12"/>
  <c r="F32" i="12"/>
  <c r="E33" i="13"/>
  <c r="F31" i="13" s="1"/>
  <c r="T28" i="8"/>
  <c r="T3" i="8" s="1"/>
  <c r="T4" i="8" s="1"/>
  <c r="S30" i="8"/>
  <c r="F28" i="16"/>
  <c r="F29" i="17"/>
  <c r="F30" i="17"/>
  <c r="T32" i="18"/>
  <c r="F30" i="18"/>
  <c r="F7" i="18" s="1"/>
  <c r="F31" i="18"/>
  <c r="M25" i="13"/>
  <c r="L27" i="13"/>
  <c r="F35" i="19"/>
  <c r="L3" i="13"/>
  <c r="L4" i="13" s="1"/>
  <c r="S32" i="20"/>
  <c r="T30" i="20" s="1"/>
  <c r="M7" i="14"/>
  <c r="M29" i="18"/>
  <c r="F31" i="6"/>
  <c r="F30" i="6"/>
  <c r="S30" i="12"/>
  <c r="T28" i="12"/>
  <c r="T2" i="12" s="1"/>
  <c r="M7" i="12"/>
  <c r="M3" i="6"/>
  <c r="M4" i="6" s="1"/>
  <c r="M7" i="6"/>
  <c r="F28" i="15"/>
  <c r="E31" i="15"/>
  <c r="T4" i="15"/>
  <c r="E29" i="20"/>
  <c r="E30" i="20" s="1"/>
  <c r="F26" i="20"/>
  <c r="F8" i="20" s="1"/>
  <c r="E35" i="8"/>
  <c r="E36" i="8" s="1"/>
  <c r="F32" i="8"/>
  <c r="M29" i="15"/>
  <c r="M30" i="15"/>
  <c r="L7" i="15"/>
  <c r="L8" i="15"/>
  <c r="L9" i="15" s="1"/>
  <c r="T30" i="6"/>
  <c r="T31" i="6"/>
  <c r="T32" i="6"/>
  <c r="M29" i="5"/>
  <c r="F28" i="5"/>
  <c r="M30" i="8"/>
  <c r="M31" i="8"/>
  <c r="M7" i="16"/>
  <c r="T2" i="13"/>
  <c r="T29" i="13"/>
  <c r="S31" i="13"/>
  <c r="M2" i="19"/>
  <c r="M7" i="19"/>
  <c r="T32" i="19"/>
  <c r="T33" i="19"/>
  <c r="F60" i="21" l="1"/>
  <c r="F55" i="21"/>
  <c r="F58" i="21"/>
  <c r="F57" i="21"/>
  <c r="S52" i="16"/>
  <c r="S53" i="16" s="1"/>
  <c r="M8" i="15"/>
  <c r="M9" i="15" s="1"/>
  <c r="M8" i="13"/>
  <c r="M9" i="13" s="1"/>
  <c r="S32" i="5"/>
  <c r="T30" i="5"/>
  <c r="T8" i="6"/>
  <c r="T9" i="6" s="1"/>
  <c r="T3" i="11"/>
  <c r="T4" i="11" s="1"/>
  <c r="T8" i="13"/>
  <c r="T9" i="13" s="1"/>
  <c r="E25" i="7" s="1"/>
  <c r="T28" i="16"/>
  <c r="T29" i="16"/>
  <c r="T52" i="16" s="1"/>
  <c r="T53" i="16" s="1"/>
  <c r="T34" i="11"/>
  <c r="F33" i="8"/>
  <c r="E36" i="12"/>
  <c r="F34" i="12" s="1"/>
  <c r="F7" i="17"/>
  <c r="M27" i="13"/>
  <c r="M26" i="13"/>
  <c r="M3" i="13" s="1"/>
  <c r="M4" i="13" s="1"/>
  <c r="L7" i="13"/>
  <c r="L2" i="13"/>
  <c r="T52" i="15"/>
  <c r="T53" i="15" s="1"/>
  <c r="S34" i="20"/>
  <c r="S52" i="20" s="1"/>
  <c r="S53" i="20" s="1"/>
  <c r="T31" i="20"/>
  <c r="F29" i="16"/>
  <c r="F37" i="19"/>
  <c r="F36" i="19"/>
  <c r="S31" i="8"/>
  <c r="T29" i="8"/>
  <c r="F32" i="18"/>
  <c r="T33" i="18"/>
  <c r="S52" i="18"/>
  <c r="S53" i="18" s="1"/>
  <c r="F31" i="17"/>
  <c r="F32" i="13"/>
  <c r="E34" i="13"/>
  <c r="E7" i="16"/>
  <c r="M30" i="18"/>
  <c r="M31" i="18"/>
  <c r="F29" i="15"/>
  <c r="F30" i="15"/>
  <c r="E32" i="15"/>
  <c r="S31" i="12"/>
  <c r="T29" i="12" s="1"/>
  <c r="F32" i="6"/>
  <c r="T9" i="16"/>
  <c r="E28" i="7" s="1"/>
  <c r="E37" i="8"/>
  <c r="F34" i="8"/>
  <c r="E7" i="8"/>
  <c r="E8" i="8"/>
  <c r="E9" i="8" s="1"/>
  <c r="T3" i="6"/>
  <c r="T4" i="6" s="1"/>
  <c r="F27" i="20"/>
  <c r="F28" i="20"/>
  <c r="E31" i="20"/>
  <c r="E32" i="20" s="1"/>
  <c r="E8" i="20"/>
  <c r="E9" i="20" s="1"/>
  <c r="E7" i="20"/>
  <c r="M7" i="15"/>
  <c r="F9" i="20"/>
  <c r="C23" i="7" s="1"/>
  <c r="M30" i="5"/>
  <c r="F29" i="5"/>
  <c r="F30" i="5"/>
  <c r="S32" i="13"/>
  <c r="T30" i="13"/>
  <c r="T2" i="16"/>
  <c r="T34" i="19"/>
  <c r="T52" i="19" s="1"/>
  <c r="T53" i="19" s="1"/>
  <c r="F62" i="21" l="1"/>
  <c r="F67" i="21"/>
  <c r="F59" i="21"/>
  <c r="T3" i="16"/>
  <c r="T4" i="16" s="1"/>
  <c r="S33" i="5"/>
  <c r="T31" i="5"/>
  <c r="T33" i="11"/>
  <c r="T35" i="11"/>
  <c r="F35" i="12"/>
  <c r="E37" i="12"/>
  <c r="M7" i="13"/>
  <c r="F33" i="18"/>
  <c r="T34" i="18"/>
  <c r="T52" i="18" s="1"/>
  <c r="T53" i="18" s="1"/>
  <c r="S35" i="20"/>
  <c r="T32" i="20"/>
  <c r="T33" i="20"/>
  <c r="F34" i="18"/>
  <c r="T30" i="8"/>
  <c r="S32" i="8"/>
  <c r="E35" i="13"/>
  <c r="F33" i="13"/>
  <c r="F32" i="17"/>
  <c r="F38" i="19"/>
  <c r="F31" i="16"/>
  <c r="F30" i="16"/>
  <c r="F7" i="16" s="1"/>
  <c r="E8" i="16"/>
  <c r="E9" i="16" s="1"/>
  <c r="M2" i="13"/>
  <c r="M32" i="18"/>
  <c r="L8" i="18"/>
  <c r="L9" i="18" s="1"/>
  <c r="F33" i="6"/>
  <c r="S32" i="12"/>
  <c r="T30" i="12"/>
  <c r="F31" i="15"/>
  <c r="E33" i="15"/>
  <c r="F7" i="15"/>
  <c r="E33" i="20"/>
  <c r="E34" i="20" s="1"/>
  <c r="F34" i="20" s="1"/>
  <c r="F30" i="20"/>
  <c r="F29" i="20"/>
  <c r="E39" i="8"/>
  <c r="F36" i="8"/>
  <c r="F35" i="8"/>
  <c r="M31" i="5"/>
  <c r="F32" i="5"/>
  <c r="F31" i="5"/>
  <c r="T31" i="13"/>
  <c r="T32" i="13"/>
  <c r="S52" i="13"/>
  <c r="S53" i="13" s="1"/>
  <c r="T35" i="19"/>
  <c r="T8" i="19" s="1"/>
  <c r="F66" i="21" l="1"/>
  <c r="S39" i="21"/>
  <c r="S40" i="21" s="1"/>
  <c r="F63" i="21"/>
  <c r="F8" i="8"/>
  <c r="F9" i="8" s="1"/>
  <c r="C29" i="7" s="1"/>
  <c r="F8" i="16"/>
  <c r="F9" i="16" s="1"/>
  <c r="C28" i="7" s="1"/>
  <c r="S34" i="5"/>
  <c r="T32" i="5"/>
  <c r="T9" i="19"/>
  <c r="E34" i="7" s="1"/>
  <c r="T36" i="11"/>
  <c r="E38" i="12"/>
  <c r="F36" i="12" s="1"/>
  <c r="T32" i="8"/>
  <c r="T31" i="8"/>
  <c r="M35" i="18"/>
  <c r="F35" i="18"/>
  <c r="F39" i="19"/>
  <c r="S36" i="20"/>
  <c r="F33" i="17"/>
  <c r="T35" i="18"/>
  <c r="E36" i="13"/>
  <c r="F34" i="13" s="1"/>
  <c r="M33" i="18"/>
  <c r="E34" i="15"/>
  <c r="F32" i="15"/>
  <c r="S33" i="12"/>
  <c r="T31" i="12"/>
  <c r="T3" i="13"/>
  <c r="T4" i="13" s="1"/>
  <c r="F34" i="6"/>
  <c r="T52" i="13"/>
  <c r="T53" i="13" s="1"/>
  <c r="F7" i="20"/>
  <c r="E40" i="8"/>
  <c r="F38" i="8"/>
  <c r="F37" i="8"/>
  <c r="F32" i="20"/>
  <c r="F31" i="20"/>
  <c r="F33" i="20"/>
  <c r="M33" i="5"/>
  <c r="M32" i="5"/>
  <c r="F33" i="5"/>
  <c r="T37" i="19"/>
  <c r="T36" i="19"/>
  <c r="F70" i="21" l="1"/>
  <c r="F61" i="21"/>
  <c r="F73" i="21"/>
  <c r="F68" i="21"/>
  <c r="S35" i="5"/>
  <c r="S39" i="5"/>
  <c r="S40" i="5" s="1"/>
  <c r="T37" i="11"/>
  <c r="M34" i="18"/>
  <c r="M8" i="18" s="1"/>
  <c r="M9" i="18" s="1"/>
  <c r="F38" i="12"/>
  <c r="F37" i="12"/>
  <c r="S37" i="20"/>
  <c r="T35" i="20" s="1"/>
  <c r="E37" i="13"/>
  <c r="F35" i="13" s="1"/>
  <c r="F36" i="18"/>
  <c r="L7" i="18"/>
  <c r="T36" i="18"/>
  <c r="F34" i="17"/>
  <c r="F40" i="19"/>
  <c r="F41" i="19"/>
  <c r="T34" i="20"/>
  <c r="T52" i="20" s="1"/>
  <c r="T53" i="20" s="1"/>
  <c r="F35" i="6"/>
  <c r="E8" i="6"/>
  <c r="E9" i="6" s="1"/>
  <c r="F36" i="6"/>
  <c r="S34" i="12"/>
  <c r="T32" i="12" s="1"/>
  <c r="E35" i="15"/>
  <c r="F33" i="15"/>
  <c r="F8" i="15" s="1"/>
  <c r="F9" i="15" s="1"/>
  <c r="C27" i="7" s="1"/>
  <c r="E41" i="8"/>
  <c r="F39" i="8"/>
  <c r="M34" i="5"/>
  <c r="M35" i="5"/>
  <c r="L7" i="5"/>
  <c r="L8" i="5"/>
  <c r="L9" i="5" s="1"/>
  <c r="F34" i="5"/>
  <c r="T39" i="19"/>
  <c r="T40" i="19"/>
  <c r="T38" i="19"/>
  <c r="M8" i="5" l="1"/>
  <c r="F64" i="21"/>
  <c r="F72" i="21"/>
  <c r="T39" i="21"/>
  <c r="T40" i="21" s="1"/>
  <c r="F71" i="21"/>
  <c r="T33" i="5"/>
  <c r="T35" i="5"/>
  <c r="M9" i="5"/>
  <c r="D30" i="7" s="1"/>
  <c r="M7" i="18"/>
  <c r="T34" i="5"/>
  <c r="S8" i="5"/>
  <c r="S9" i="5" s="1"/>
  <c r="S7" i="5"/>
  <c r="F8" i="12"/>
  <c r="F9" i="12" s="1"/>
  <c r="C24" i="7" s="1"/>
  <c r="T38" i="11"/>
  <c r="T39" i="11"/>
  <c r="T37" i="18"/>
  <c r="F35" i="17"/>
  <c r="F36" i="17"/>
  <c r="F38" i="18"/>
  <c r="F37" i="18"/>
  <c r="F37" i="13"/>
  <c r="F36" i="13"/>
  <c r="F42" i="19"/>
  <c r="F43" i="19"/>
  <c r="S38" i="20"/>
  <c r="T36" i="20"/>
  <c r="T3" i="12"/>
  <c r="T4" i="12" s="1"/>
  <c r="S35" i="12"/>
  <c r="S36" i="12" s="1"/>
  <c r="F35" i="15"/>
  <c r="F34" i="15"/>
  <c r="F38" i="6"/>
  <c r="F37" i="6"/>
  <c r="S52" i="12"/>
  <c r="E42" i="8"/>
  <c r="F40" i="8"/>
  <c r="M7" i="5"/>
  <c r="F35" i="5"/>
  <c r="I26" i="7" l="1"/>
  <c r="I27" i="7"/>
  <c r="I28" i="7"/>
  <c r="I22" i="7"/>
  <c r="I23" i="7"/>
  <c r="T8" i="5"/>
  <c r="T9" i="5" s="1"/>
  <c r="E30" i="7" s="1"/>
  <c r="F75" i="21"/>
  <c r="F80" i="21"/>
  <c r="F74" i="21"/>
  <c r="F8" i="19"/>
  <c r="F9" i="19" s="1"/>
  <c r="C34" i="7" s="1"/>
  <c r="F8" i="6"/>
  <c r="F9" i="6" s="1"/>
  <c r="C31" i="7" s="1"/>
  <c r="F8" i="17"/>
  <c r="F9" i="17" s="1"/>
  <c r="C32" i="7" s="1"/>
  <c r="T39" i="5"/>
  <c r="T40" i="5" s="1"/>
  <c r="T7" i="5"/>
  <c r="F9" i="18"/>
  <c r="T9" i="11"/>
  <c r="S39" i="20"/>
  <c r="T37" i="20" s="1"/>
  <c r="S38" i="12"/>
  <c r="T36" i="12" s="1"/>
  <c r="T38" i="18"/>
  <c r="S53" i="12"/>
  <c r="T33" i="12"/>
  <c r="T34" i="12"/>
  <c r="T35" i="12"/>
  <c r="E43" i="8"/>
  <c r="F41" i="8" s="1"/>
  <c r="F36" i="5"/>
  <c r="F77" i="21" l="1"/>
  <c r="I24" i="7"/>
  <c r="S8" i="18"/>
  <c r="S9" i="18" s="1"/>
  <c r="T39" i="18"/>
  <c r="T40" i="18"/>
  <c r="S39" i="12"/>
  <c r="T37" i="12" s="1"/>
  <c r="S40" i="20"/>
  <c r="T38" i="20"/>
  <c r="T52" i="12"/>
  <c r="T53" i="12" s="1"/>
  <c r="F42" i="8"/>
  <c r="F43" i="8"/>
  <c r="F37" i="5"/>
  <c r="F78" i="21" l="1"/>
  <c r="F69" i="21"/>
  <c r="T38" i="12"/>
  <c r="S41" i="12"/>
  <c r="S41" i="20"/>
  <c r="T39" i="20"/>
  <c r="T41" i="18"/>
  <c r="T9" i="18" s="1"/>
  <c r="F38" i="5"/>
  <c r="F39" i="5"/>
  <c r="F40" i="5"/>
  <c r="F8" i="5" s="1"/>
  <c r="E8" i="5"/>
  <c r="E9" i="5" s="1"/>
  <c r="F9" i="5" l="1"/>
  <c r="C30" i="7" s="1"/>
  <c r="F79" i="21"/>
  <c r="T42" i="18"/>
  <c r="T43" i="18"/>
  <c r="S43" i="20"/>
  <c r="T40" i="20"/>
  <c r="S42" i="12"/>
  <c r="T40" i="12"/>
  <c r="T39" i="12"/>
  <c r="H28" i="7" l="1"/>
  <c r="H27" i="7"/>
  <c r="H26" i="7"/>
  <c r="H23" i="7"/>
  <c r="H22" i="7"/>
  <c r="F81" i="21"/>
  <c r="F8" i="21" s="1"/>
  <c r="F9" i="21" s="1"/>
  <c r="E8" i="21"/>
  <c r="E9" i="21" s="1"/>
  <c r="T8" i="20"/>
  <c r="T9" i="20" s="1"/>
  <c r="S44" i="20"/>
  <c r="T42" i="20" s="1"/>
  <c r="T41" i="20"/>
  <c r="S43" i="12"/>
  <c r="T41" i="12"/>
  <c r="H24" i="7" l="1"/>
  <c r="S44" i="12"/>
  <c r="T44" i="12" s="1"/>
  <c r="T42" i="12"/>
  <c r="S45" i="20"/>
  <c r="T43" i="20"/>
  <c r="S46" i="20" l="1"/>
  <c r="T44" i="20"/>
  <c r="S45" i="12"/>
  <c r="S47" i="12" s="1"/>
  <c r="T43" i="12"/>
  <c r="S47" i="20" l="1"/>
  <c r="T45" i="20"/>
  <c r="S48" i="20" l="1"/>
  <c r="T46" i="20" s="1"/>
  <c r="T46" i="12"/>
  <c r="T45" i="12"/>
  <c r="S49" i="12" l="1"/>
  <c r="T47" i="12" s="1"/>
  <c r="T47" i="20"/>
  <c r="T48" i="20"/>
  <c r="T48" i="12" l="1"/>
  <c r="T8" i="12" s="1"/>
  <c r="S50" i="12"/>
  <c r="S8" i="12" s="1"/>
  <c r="S9" i="12" s="1"/>
  <c r="T49" i="12" l="1"/>
  <c r="T50" i="12"/>
  <c r="T9" i="12" s="1"/>
  <c r="E24" i="7" s="1"/>
  <c r="J26" i="7" l="1"/>
  <c r="J27" i="7"/>
  <c r="J28" i="7"/>
  <c r="J22" i="7"/>
  <c r="J23" i="7"/>
  <c r="I100" i="21"/>
  <c r="J24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<sst xmlns="http://schemas.openxmlformats.org/spreadsheetml/2006/main" count="2062" uniqueCount="157">
  <si>
    <t>On a continuos Green Light</t>
  </si>
  <si>
    <t xml:space="preserve">Vehicle Speed </t>
  </si>
  <si>
    <t>mph</t>
  </si>
  <si>
    <t>ft</t>
  </si>
  <si>
    <t>vehicle length/ 10 mph</t>
  </si>
  <si>
    <t>Headway</t>
  </si>
  <si>
    <t>ft/sec</t>
  </si>
  <si>
    <t>Saturation flow</t>
  </si>
  <si>
    <t>vph</t>
  </si>
  <si>
    <t>sec</t>
  </si>
  <si>
    <t>Time (sec)</t>
  </si>
  <si>
    <t>PCU</t>
  </si>
  <si>
    <t>Car</t>
  </si>
  <si>
    <t>Motorbike</t>
  </si>
  <si>
    <t>CNG</t>
  </si>
  <si>
    <t>Bicycle</t>
  </si>
  <si>
    <t>ID</t>
  </si>
  <si>
    <t>V Cls</t>
  </si>
  <si>
    <t>Lane 2</t>
  </si>
  <si>
    <t>PCU adjusted headway (sec)</t>
  </si>
  <si>
    <r>
      <rPr>
        <sz val="11"/>
        <color theme="1"/>
        <rFont val="Aptos Narrow"/>
        <family val="2"/>
      </rPr>
      <t>∑</t>
    </r>
    <r>
      <rPr>
        <sz val="11"/>
        <color theme="1"/>
        <rFont val="Calibri"/>
        <family val="2"/>
        <scheme val="minor"/>
      </rPr>
      <t>Headway</t>
    </r>
  </si>
  <si>
    <t>Avg. headway</t>
  </si>
  <si>
    <t>Headway following vehicle (sec)</t>
  </si>
  <si>
    <t>Lane 3</t>
  </si>
  <si>
    <t>Vehicle length</t>
  </si>
  <si>
    <t>Min Gap</t>
  </si>
  <si>
    <t>Lane 1</t>
  </si>
  <si>
    <t>Bus</t>
  </si>
  <si>
    <t>Truck</t>
  </si>
  <si>
    <t>PCU Chart</t>
  </si>
  <si>
    <t>∑Headway</t>
  </si>
  <si>
    <t>PCU adjusted</t>
  </si>
  <si>
    <t>-</t>
  </si>
  <si>
    <t>NMV</t>
  </si>
  <si>
    <t>PCU Adjusted Saturation Flow</t>
  </si>
  <si>
    <t>23 04 2024 Tuesday</t>
  </si>
  <si>
    <t>Min</t>
  </si>
  <si>
    <t>Max</t>
  </si>
  <si>
    <t>Vehicle Type</t>
  </si>
  <si>
    <t>Headway Threshold</t>
  </si>
  <si>
    <t>Heterogenous mix</t>
  </si>
  <si>
    <t>Motorbikes</t>
  </si>
  <si>
    <t>Flow</t>
  </si>
  <si>
    <t>Traffic</t>
  </si>
  <si>
    <t>(3.5m width considered)</t>
  </si>
  <si>
    <t>Max saturation flow IND</t>
  </si>
  <si>
    <t>2600-3200</t>
  </si>
  <si>
    <t>PCU/h/lane</t>
  </si>
  <si>
    <t>2300-2800</t>
  </si>
  <si>
    <t>Max saturation flow~</t>
  </si>
  <si>
    <t>12:07:16-12:07:58 PM</t>
  </si>
  <si>
    <t>12:16:56-12:17:39 PM</t>
  </si>
  <si>
    <t>at 26kmph headways &lt;1s is probably possible</t>
  </si>
  <si>
    <t>05:21:28-05:22:11 PM</t>
  </si>
  <si>
    <t>05:11:50-05:12:35 PM</t>
  </si>
  <si>
    <t>05:02:08-05:02:46 PM</t>
  </si>
  <si>
    <t>01:04:04-01:04:39 PM</t>
  </si>
  <si>
    <t>01:00:26-01:01:07 PM</t>
  </si>
  <si>
    <t>08:58:39-08:59:20 AM</t>
  </si>
  <si>
    <t>03:01:17-03:02:06 PM</t>
  </si>
  <si>
    <t>03:35:05-03:35:53 PM</t>
  </si>
  <si>
    <t>03:40:00-03:40:39 PM</t>
  </si>
  <si>
    <t>08:15:19-08:15:56 AM</t>
  </si>
  <si>
    <t>09:03:36-09:04:19 AM</t>
  </si>
  <si>
    <r>
      <rPr>
        <sz val="11"/>
        <color theme="1"/>
        <rFont val="Aptos Narrow"/>
        <family val="2"/>
      </rPr>
      <t>∑</t>
    </r>
    <r>
      <rPr>
        <sz val="11"/>
        <color theme="1"/>
        <rFont val="Calibri"/>
        <family val="2"/>
        <scheme val="minor"/>
      </rPr>
      <t>PCU</t>
    </r>
  </si>
  <si>
    <t>50th perc</t>
  </si>
  <si>
    <t>SD</t>
  </si>
  <si>
    <t>Mean</t>
  </si>
  <si>
    <t>However a large number of motorbikes can be witnessed on the left turning lane.</t>
  </si>
  <si>
    <t>Both Motorbike and CNG can inflate the flow by a staggering amount</t>
  </si>
  <si>
    <t>0.4-0.6 optimal</t>
  </si>
  <si>
    <t>0.8-1.0 optimal</t>
  </si>
  <si>
    <t>Lane width = 3.3 meters</t>
  </si>
  <si>
    <t>Green-phase duration ~42 seconds</t>
  </si>
  <si>
    <t>Time of Day</t>
  </si>
  <si>
    <t>23rd April 2024</t>
  </si>
  <si>
    <t>#### = Condition met</t>
  </si>
  <si>
    <r>
      <t xml:space="preserve">#### </t>
    </r>
    <r>
      <rPr>
        <sz val="11"/>
        <rFont val="Abadi"/>
        <family val="2"/>
      </rPr>
      <t>= Excluded</t>
    </r>
  </si>
  <si>
    <t>CV</t>
  </si>
  <si>
    <t>03:35:07-03:35:54 PM</t>
  </si>
  <si>
    <t>Time</t>
  </si>
  <si>
    <t>PCU (to be optimized)</t>
  </si>
  <si>
    <t>Interval n</t>
  </si>
  <si>
    <t>Interval</t>
  </si>
  <si>
    <t>PCU count</t>
  </si>
  <si>
    <t>Error</t>
  </si>
  <si>
    <t>Interval (sec)</t>
  </si>
  <si>
    <t>Base SF (PCU/t)</t>
  </si>
  <si>
    <t>Z</t>
  </si>
  <si>
    <t>m</t>
  </si>
  <si>
    <t>kph</t>
  </si>
  <si>
    <t>Headway (Spacing)</t>
  </si>
  <si>
    <t>Headway (Time)</t>
  </si>
  <si>
    <t>Speed bins</t>
  </si>
  <si>
    <t>Speed bin</t>
  </si>
  <si>
    <t>Range</t>
  </si>
  <si>
    <t>Discharge</t>
  </si>
  <si>
    <t>No.</t>
  </si>
  <si>
    <t>Webster&amp;Cobbe</t>
  </si>
  <si>
    <t>Miller</t>
  </si>
  <si>
    <t>Branston</t>
  </si>
  <si>
    <t>H.E.L Athens</t>
  </si>
  <si>
    <t>Shoukry &amp; Huzayyin</t>
  </si>
  <si>
    <t>Hussain</t>
  </si>
  <si>
    <t>Coeymans &amp; Meely</t>
  </si>
  <si>
    <t>IRC: 106-1990</t>
  </si>
  <si>
    <t>M Hossain</t>
  </si>
  <si>
    <t>S=1500 + 430w + 10.5Pnmv - 30Phv - 2Plt - 10Prt</t>
  </si>
  <si>
    <t>TRL</t>
  </si>
  <si>
    <t>S=524.6w</t>
  </si>
  <si>
    <t>S=964+349w</t>
  </si>
  <si>
    <t>1035 + 425w – 110tcomp + 32stw -11m/c comp + 47b comp; R2 = 0.49s (by lane)</t>
  </si>
  <si>
    <t>S=180w (in ft by lane)</t>
  </si>
  <si>
    <t>S=525w (in m by lane)</t>
  </si>
  <si>
    <t>S =318sigset + 173w +67stw - 4667; R2 = 0.97 (by full width)</t>
  </si>
  <si>
    <t>Kimber et al.</t>
  </si>
  <si>
    <t>SF = 72.01Pcar + 12.43Pbike + 37.1Pauto – 456.911PLCV + 36.77PHCV</t>
  </si>
  <si>
    <t>Ramesh C. Majhi</t>
  </si>
  <si>
    <t>IHCM</t>
  </si>
  <si>
    <t>Study</t>
  </si>
  <si>
    <t>Prediction Model</t>
  </si>
  <si>
    <t>Country</t>
  </si>
  <si>
    <t>UK</t>
  </si>
  <si>
    <t>India</t>
  </si>
  <si>
    <t>Indonesia</t>
  </si>
  <si>
    <t>Traffic condition</t>
  </si>
  <si>
    <t>Lane based homogenous</t>
  </si>
  <si>
    <t>Initial SFR measurement method</t>
  </si>
  <si>
    <t>S=129.5w + 103.5</t>
  </si>
  <si>
    <t>Bhattacharya1982</t>
  </si>
  <si>
    <t>Sarna &amp; Malhotra 1967</t>
  </si>
  <si>
    <t>S=490w - 360</t>
  </si>
  <si>
    <t>*</t>
  </si>
  <si>
    <t>S=600w (in m by lane)</t>
  </si>
  <si>
    <t>Saha &amp; Chandra 2017</t>
  </si>
  <si>
    <t>Stotal =1395 + 35P1 - 61P3 +  34Prt</t>
  </si>
  <si>
    <t>Volume</t>
  </si>
  <si>
    <t>Motorbikes can cause Initial Surge and have no Startup Delay</t>
  </si>
  <si>
    <t>Vehicle Composition</t>
  </si>
  <si>
    <t>Vehicle Count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</si>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</sst>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Aptos Narrow"/>
      <family val="2"/>
    </font>
    <font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Abadi"/>
      <family val="2"/>
    </font>
    <font>
      <i/>
      <sz val="11"/>
      <color theme="2" tint="-0.749992370372631"/>
      <name val="Abadi"/>
      <family val="2"/>
    </font>
    <font>
      <b/>
      <i/>
      <sz val="12"/>
      <color theme="1"/>
      <name val="Abadi"/>
      <family val="2"/>
    </font>
    <font>
      <sz val="11"/>
      <color theme="1"/>
      <name val="Abadi"/>
      <family val="2"/>
    </font>
    <font>
      <sz val="11"/>
      <color theme="2" tint="-0.749992370372631"/>
      <name val="Abadi"/>
      <family val="2"/>
    </font>
    <font>
      <b/>
      <sz val="11"/>
      <color theme="0"/>
      <name val="Abadi"/>
      <family val="2"/>
    </font>
    <font>
      <sz val="8"/>
      <name val="Calibri"/>
      <family val="2"/>
      <scheme val="minor"/>
    </font>
    <font>
      <sz val="11"/>
      <color rgb="FF002060"/>
      <name val="Abadi"/>
      <family val="2"/>
    </font>
    <font>
      <i/>
      <sz val="11"/>
      <name val="Abadi"/>
      <family val="2"/>
    </font>
    <font>
      <sz val="11"/>
      <name val="Abadi"/>
      <family val="2"/>
    </font>
    <font>
      <b/>
      <sz val="11"/>
      <name val="Abadi"/>
      <family val="2"/>
    </font>
    <font>
      <sz val="11"/>
      <color rgb="FFFF0000"/>
      <name val="Abadi"/>
      <family val="2"/>
    </font>
    <font>
      <sz val="11"/>
      <color rgb="FF0070C0"/>
      <name val="Abad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0070C0"/>
      <name val="Abadi"/>
      <family val="2"/>
    </font>
    <font>
      <b/>
      <sz val="11"/>
      <color theme="1" tint="4.9989318521683403E-2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theme="1"/>
      <name val="Abadi"/>
      <family val="2"/>
    </font>
  </fonts>
  <fills count="2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AFEA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3" borderId="0" applyNumberFormat="0" applyBorder="0" applyAlignment="0" applyProtection="0"/>
    <xf numFmtId="0" fontId="7" fillId="4" borderId="0" applyNumberFormat="0" applyBorder="0" applyAlignment="0" applyProtection="0"/>
    <xf numFmtId="9" fontId="24" fillId="0" borderId="0" applyFont="0" applyFill="0" applyBorder="0" applyAlignment="0" applyProtection="0"/>
    <xf numFmtId="0" fontId="25" fillId="15" borderId="0" applyNumberFormat="0" applyBorder="0" applyAlignment="0" applyProtection="0"/>
    <xf numFmtId="0" fontId="30" fillId="18" borderId="27" applyNumberFormat="0" applyAlignment="0" applyProtection="0"/>
  </cellStyleXfs>
  <cellXfs count="164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1" fillId="0" borderId="1" xfId="0" applyFont="1" applyBorder="1"/>
    <xf numFmtId="2" fontId="1" fillId="0" borderId="1" xfId="0" applyNumberFormat="1" applyFont="1" applyBorder="1"/>
    <xf numFmtId="1" fontId="1" fillId="0" borderId="1" xfId="0" applyNumberFormat="1" applyFont="1" applyBorder="1"/>
    <xf numFmtId="0" fontId="6" fillId="0" borderId="0" xfId="0" applyFont="1"/>
    <xf numFmtId="0" fontId="3" fillId="2" borderId="1" xfId="0" applyFont="1" applyFill="1" applyBorder="1"/>
    <xf numFmtId="0" fontId="3" fillId="2" borderId="3" xfId="0" applyFont="1" applyFill="1" applyBorder="1"/>
    <xf numFmtId="0" fontId="9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10" fillId="0" borderId="1" xfId="0" applyFont="1" applyBorder="1"/>
    <xf numFmtId="0" fontId="11" fillId="7" borderId="1" xfId="0" applyFont="1" applyFill="1" applyBorder="1"/>
    <xf numFmtId="0" fontId="12" fillId="8" borderId="1" xfId="0" applyFont="1" applyFill="1" applyBorder="1" applyAlignment="1">
      <alignment horizontal="center" vertical="center"/>
    </xf>
    <xf numFmtId="0" fontId="0" fillId="0" borderId="4" xfId="0" applyBorder="1"/>
    <xf numFmtId="2" fontId="0" fillId="0" borderId="1" xfId="0" applyNumberFormat="1" applyBorder="1"/>
    <xf numFmtId="2" fontId="0" fillId="0" borderId="4" xfId="0" applyNumberFormat="1" applyBorder="1"/>
    <xf numFmtId="1" fontId="0" fillId="0" borderId="1" xfId="0" applyNumberFormat="1" applyBorder="1"/>
    <xf numFmtId="1" fontId="0" fillId="0" borderId="4" xfId="0" applyNumberFormat="1" applyBorder="1"/>
    <xf numFmtId="0" fontId="14" fillId="7" borderId="1" xfId="0" applyFont="1" applyFill="1" applyBorder="1"/>
    <xf numFmtId="2" fontId="15" fillId="8" borderId="1" xfId="0" applyNumberFormat="1" applyFont="1" applyFill="1" applyBorder="1" applyAlignment="1">
      <alignment horizontal="center" vertical="center"/>
    </xf>
    <xf numFmtId="1" fontId="15" fillId="8" borderId="1" xfId="0" applyNumberFormat="1" applyFont="1" applyFill="1" applyBorder="1" applyAlignment="1">
      <alignment horizontal="center" vertical="center"/>
    </xf>
    <xf numFmtId="1" fontId="15" fillId="8" borderId="4" xfId="0" applyNumberFormat="1" applyFont="1" applyFill="1" applyBorder="1" applyAlignment="1">
      <alignment horizontal="center" vertical="center"/>
    </xf>
    <xf numFmtId="2" fontId="15" fillId="8" borderId="3" xfId="0" applyNumberFormat="1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1" fontId="16" fillId="9" borderId="5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 vertical="center"/>
    </xf>
    <xf numFmtId="0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4" fillId="0" borderId="2" xfId="0" applyFont="1" applyBorder="1"/>
    <xf numFmtId="0" fontId="14" fillId="11" borderId="1" xfId="0" applyFont="1" applyFill="1" applyBorder="1" applyAlignment="1">
      <alignment horizontal="left" vertical="center"/>
    </xf>
    <xf numFmtId="0" fontId="14" fillId="1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/>
    <xf numFmtId="2" fontId="0" fillId="0" borderId="0" xfId="0" applyNumberFormat="1"/>
    <xf numFmtId="0" fontId="0" fillId="0" borderId="7" xfId="0" applyBorder="1" applyAlignment="1">
      <alignment horizontal="center" vertical="center"/>
    </xf>
    <xf numFmtId="2" fontId="18" fillId="12" borderId="1" xfId="0" applyNumberFormat="1" applyFont="1" applyFill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2" fontId="18" fillId="13" borderId="1" xfId="0" applyNumberFormat="1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0" fillId="0" borderId="3" xfId="0" applyBorder="1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0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8" xfId="0" applyBorder="1"/>
    <xf numFmtId="0" fontId="1" fillId="0" borderId="3" xfId="0" applyFont="1" applyBorder="1" applyAlignment="1">
      <alignment horizontal="center" vertical="center"/>
    </xf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0" fillId="0" borderId="8" xfId="0" applyFont="1" applyBorder="1"/>
    <xf numFmtId="0" fontId="10" fillId="0" borderId="3" xfId="0" applyFont="1" applyBorder="1"/>
    <xf numFmtId="0" fontId="10" fillId="0" borderId="7" xfId="0" applyFont="1" applyBorder="1"/>
    <xf numFmtId="0" fontId="10" fillId="0" borderId="10" xfId="0" applyFont="1" applyBorder="1"/>
    <xf numFmtId="0" fontId="10" fillId="0" borderId="12" xfId="0" applyFont="1" applyBorder="1"/>
    <xf numFmtId="2" fontId="0" fillId="0" borderId="13" xfId="0" applyNumberFormat="1" applyBorder="1"/>
    <xf numFmtId="1" fontId="21" fillId="14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8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10" fillId="0" borderId="11" xfId="0" applyFont="1" applyBorder="1"/>
    <xf numFmtId="0" fontId="10" fillId="0" borderId="16" xfId="0" applyFont="1" applyBorder="1"/>
    <xf numFmtId="0" fontId="10" fillId="0" borderId="14" xfId="0" applyFont="1" applyBorder="1"/>
    <xf numFmtId="0" fontId="0" fillId="0" borderId="5" xfId="0" applyBorder="1"/>
    <xf numFmtId="0" fontId="10" fillId="0" borderId="15" xfId="0" applyFont="1" applyBorder="1"/>
    <xf numFmtId="0" fontId="0" fillId="0" borderId="17" xfId="0" applyBorder="1"/>
    <xf numFmtId="0" fontId="1" fillId="0" borderId="3" xfId="0" applyFont="1" applyBorder="1" applyAlignment="1">
      <alignment horizontal="center" vertical="center" wrapText="1"/>
    </xf>
    <xf numFmtId="0" fontId="0" fillId="0" borderId="8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/>
    </xf>
    <xf numFmtId="0" fontId="0" fillId="0" borderId="18" xfId="0" applyBorder="1"/>
    <xf numFmtId="0" fontId="10" fillId="0" borderId="18" xfId="0" applyFont="1" applyBorder="1"/>
    <xf numFmtId="0" fontId="0" fillId="0" borderId="16" xfId="0" applyBorder="1"/>
    <xf numFmtId="0" fontId="0" fillId="0" borderId="14" xfId="0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0" fillId="0" borderId="6" xfId="0" applyFont="1" applyBorder="1"/>
    <xf numFmtId="0" fontId="10" fillId="0" borderId="20" xfId="0" applyFont="1" applyBorder="1"/>
    <xf numFmtId="0" fontId="0" fillId="0" borderId="3" xfId="0" applyBorder="1" applyAlignment="1">
      <alignment vertical="center"/>
    </xf>
    <xf numFmtId="2" fontId="10" fillId="0" borderId="1" xfId="1" applyNumberFormat="1" applyFont="1" applyFill="1" applyBorder="1" applyAlignment="1">
      <alignment horizontal="center" vertical="center"/>
    </xf>
    <xf numFmtId="1" fontId="22" fillId="8" borderId="1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0" fillId="0" borderId="24" xfId="0" applyFont="1" applyBorder="1"/>
    <xf numFmtId="0" fontId="0" fillId="0" borderId="24" xfId="0" applyBorder="1"/>
    <xf numFmtId="0" fontId="10" fillId="0" borderId="19" xfId="0" applyFont="1" applyBorder="1"/>
    <xf numFmtId="0" fontId="0" fillId="0" borderId="22" xfId="0" applyBorder="1"/>
    <xf numFmtId="1" fontId="23" fillId="8" borderId="1" xfId="0" applyNumberFormat="1" applyFont="1" applyFill="1" applyBorder="1" applyAlignment="1">
      <alignment horizontal="center" vertical="center"/>
    </xf>
    <xf numFmtId="0" fontId="0" fillId="0" borderId="23" xfId="0" applyBorder="1"/>
    <xf numFmtId="0" fontId="0" fillId="0" borderId="25" xfId="0" applyBorder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 vertical="center"/>
    </xf>
    <xf numFmtId="0" fontId="0" fillId="0" borderId="26" xfId="0" applyBorder="1"/>
    <xf numFmtId="1" fontId="20" fillId="8" borderId="1" xfId="0" applyNumberFormat="1" applyFont="1" applyFill="1" applyBorder="1" applyAlignment="1">
      <alignment horizontal="center" vertical="center"/>
    </xf>
    <xf numFmtId="9" fontId="15" fillId="8" borderId="1" xfId="3" applyFont="1" applyFill="1" applyBorder="1" applyAlignment="1">
      <alignment horizontal="center" vertical="center"/>
    </xf>
    <xf numFmtId="0" fontId="10" fillId="0" borderId="7" xfId="1" applyNumberFormat="1" applyFont="1" applyFill="1" applyBorder="1" applyAlignment="1">
      <alignment horizontal="center" vertical="center"/>
    </xf>
    <xf numFmtId="0" fontId="25" fillId="15" borderId="1" xfId="4" applyNumberFormat="1" applyBorder="1" applyAlignment="1">
      <alignment horizontal="center" vertical="center"/>
    </xf>
    <xf numFmtId="0" fontId="10" fillId="0" borderId="3" xfId="1" applyNumberFormat="1" applyFont="1" applyFill="1" applyBorder="1" applyAlignment="1">
      <alignment horizontal="center" vertical="center"/>
    </xf>
    <xf numFmtId="0" fontId="27" fillId="0" borderId="5" xfId="1" applyNumberFormat="1" applyFont="1" applyFill="1" applyBorder="1" applyAlignment="1">
      <alignment horizontal="center" vertical="center"/>
    </xf>
    <xf numFmtId="0" fontId="25" fillId="15" borderId="8" xfId="4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4" borderId="10" xfId="2" applyBorder="1"/>
    <xf numFmtId="0" fontId="7" fillId="4" borderId="8" xfId="2" applyBorder="1"/>
    <xf numFmtId="0" fontId="7" fillId="4" borderId="11" xfId="2" applyBorder="1"/>
    <xf numFmtId="0" fontId="7" fillId="4" borderId="1" xfId="2" applyBorder="1" applyAlignment="1">
      <alignment horizontal="center" vertical="center"/>
    </xf>
    <xf numFmtId="0" fontId="7" fillId="4" borderId="1" xfId="2" applyBorder="1"/>
    <xf numFmtId="0" fontId="7" fillId="4" borderId="1" xfId="2" applyNumberFormat="1" applyBorder="1" applyAlignment="1">
      <alignment horizontal="center" vertical="center"/>
    </xf>
    <xf numFmtId="0" fontId="7" fillId="4" borderId="3" xfId="2" applyBorder="1"/>
    <xf numFmtId="0" fontId="7" fillId="4" borderId="8" xfId="2" applyBorder="1" applyAlignment="1">
      <alignment horizontal="center" vertical="center"/>
    </xf>
    <xf numFmtId="0" fontId="26" fillId="16" borderId="8" xfId="0" applyFont="1" applyFill="1" applyBorder="1"/>
    <xf numFmtId="0" fontId="28" fillId="0" borderId="0" xfId="0" applyFont="1" applyAlignment="1">
      <alignment horizontal="left" vertical="center"/>
    </xf>
    <xf numFmtId="0" fontId="14" fillId="0" borderId="0" xfId="0" quotePrefix="1" applyFont="1"/>
    <xf numFmtId="0" fontId="0" fillId="0" borderId="6" xfId="0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17" borderId="1" xfId="0" applyFont="1" applyFill="1" applyBorder="1" applyAlignment="1">
      <alignment horizontal="left" vertical="center"/>
    </xf>
    <xf numFmtId="2" fontId="1" fillId="0" borderId="0" xfId="0" applyNumberFormat="1" applyFont="1"/>
    <xf numFmtId="1" fontId="1" fillId="0" borderId="0" xfId="0" applyNumberFormat="1" applyFont="1"/>
    <xf numFmtId="165" fontId="0" fillId="0" borderId="0" xfId="0" applyNumberFormat="1"/>
    <xf numFmtId="1" fontId="0" fillId="0" borderId="0" xfId="0" applyNumberFormat="1"/>
    <xf numFmtId="0" fontId="11" fillId="0" borderId="1" xfId="0" applyFont="1" applyBorder="1"/>
    <xf numFmtId="0" fontId="11" fillId="0" borderId="1" xfId="0" applyFont="1" applyBorder="1" applyAlignment="1">
      <alignment wrapText="1"/>
    </xf>
    <xf numFmtId="2" fontId="0" fillId="0" borderId="1" xfId="0" applyNumberFormat="1" applyBorder="1" applyAlignment="1">
      <alignment horizontal="center" vertical="center"/>
    </xf>
    <xf numFmtId="2" fontId="8" fillId="5" borderId="0" xfId="2" applyNumberFormat="1" applyFont="1" applyFill="1"/>
    <xf numFmtId="164" fontId="8" fillId="5" borderId="0" xfId="2" applyNumberFormat="1" applyFont="1" applyFill="1"/>
    <xf numFmtId="164" fontId="3" fillId="2" borderId="1" xfId="0" applyNumberFormat="1" applyFont="1" applyFill="1" applyBorder="1"/>
    <xf numFmtId="2" fontId="29" fillId="5" borderId="0" xfId="2" applyNumberFormat="1" applyFont="1" applyFill="1"/>
    <xf numFmtId="2" fontId="2" fillId="0" borderId="0" xfId="0" applyNumberFormat="1" applyFont="1"/>
    <xf numFmtId="0" fontId="30" fillId="18" borderId="27" xfId="5"/>
    <xf numFmtId="0" fontId="31" fillId="0" borderId="0" xfId="0" applyFont="1"/>
    <xf numFmtId="0" fontId="1" fillId="0" borderId="0" xfId="0" applyFont="1"/>
    <xf numFmtId="0" fontId="11" fillId="19" borderId="1" xfId="0" applyFont="1" applyFill="1" applyBorder="1"/>
    <xf numFmtId="164" fontId="0" fillId="0" borderId="1" xfId="0" applyNumberFormat="1" applyBorder="1"/>
    <xf numFmtId="164" fontId="14" fillId="0" borderId="0" xfId="0" applyNumberFormat="1" applyFont="1" applyAlignment="1">
      <alignment horizontal="center" vertical="center"/>
    </xf>
    <xf numFmtId="0" fontId="14" fillId="0" borderId="1" xfId="0" applyFont="1" applyBorder="1"/>
    <xf numFmtId="1" fontId="12" fillId="8" borderId="1" xfId="0" applyNumberFormat="1" applyFont="1" applyFill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19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" fillId="6" borderId="3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">
    <cellStyle name="Bad" xfId="1" builtinId="27"/>
    <cellStyle name="Good" xfId="4" builtinId="26"/>
    <cellStyle name="Input" xfId="5" builtinId="20"/>
    <cellStyle name="Neutral" xfId="2" builtinId="28"/>
    <cellStyle name="Normal" xfId="0" builtinId="0"/>
    <cellStyle name="Percent" xfId="3" builtinId="5"/>
  </cellStyles>
  <dxfs count="208"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00000"/>
      <color rgb="FFCC3399"/>
      <color rgb="FF00CC00"/>
      <color rgb="FF66FF66"/>
      <color rgb="FF99FF66"/>
      <color rgb="FFFF5050"/>
      <color rgb="FF89E0FF"/>
      <color rgb="FFAFEAFF"/>
      <color rgb="FFE8BA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Discharge of</a:t>
            </a:r>
            <a:r>
              <a:rPr lang="en-US" baseline="0"/>
              <a:t> all vehicle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 lanes'!$I$26:$I$45</c:f>
              <c:numCache>
                <c:formatCode>General</c:formatCode>
                <c:ptCount val="20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</c:numCache>
            </c:numRef>
          </c:xVal>
          <c:yVal>
            <c:numRef>
              <c:f>'3 lanes'!$J$26:$J$45</c:f>
              <c:numCache>
                <c:formatCode>General</c:formatCode>
                <c:ptCount val="20"/>
                <c:pt idx="0">
                  <c:v>0</c:v>
                </c:pt>
                <c:pt idx="1">
                  <c:v>8.35</c:v>
                </c:pt>
                <c:pt idx="2">
                  <c:v>8.35</c:v>
                </c:pt>
                <c:pt idx="3">
                  <c:v>8.9600000000000009</c:v>
                </c:pt>
                <c:pt idx="4">
                  <c:v>8.4499999999999993</c:v>
                </c:pt>
                <c:pt idx="5">
                  <c:v>7.83</c:v>
                </c:pt>
                <c:pt idx="6">
                  <c:v>9.92</c:v>
                </c:pt>
                <c:pt idx="7">
                  <c:v>5.83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B-464E-A7CB-DF8D003A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 rate</a:t>
                </a:r>
                <a:r>
                  <a:rPr lang="en-US" baseline="0"/>
                  <a:t> (PCU/5second)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2886482939632541E-2"/>
          <c:y val="6.2639821029082776E-2"/>
          <c:w val="0.88389129483814521"/>
          <c:h val="0.8469876164808257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yVal>
            <c:numRef>
              <c:f>'3 lanes'!$L$98:$L$108</c:f>
              <c:numCache>
                <c:formatCode>General</c:formatCode>
                <c:ptCount val="11"/>
                <c:pt idx="0">
                  <c:v>3</c:v>
                </c:pt>
                <c:pt idx="1">
                  <c:v>3.1399999999999997</c:v>
                </c:pt>
                <c:pt idx="2">
                  <c:v>3.21</c:v>
                </c:pt>
                <c:pt idx="3">
                  <c:v>3</c:v>
                </c:pt>
                <c:pt idx="4">
                  <c:v>3.38</c:v>
                </c:pt>
                <c:pt idx="5">
                  <c:v>3.02</c:v>
                </c:pt>
                <c:pt idx="6">
                  <c:v>3.45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B-464E-A7CB-DF8D003A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'Startup delay'!$G$1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'Startup delay'!$G$4:$G$59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2.8</c:v>
                </c:pt>
                <c:pt idx="4">
                  <c:v>5.92</c:v>
                </c:pt>
                <c:pt idx="5">
                  <c:v>5.92</c:v>
                </c:pt>
                <c:pt idx="6">
                  <c:v>7.4</c:v>
                </c:pt>
                <c:pt idx="7">
                  <c:v>7.4</c:v>
                </c:pt>
                <c:pt idx="8">
                  <c:v>9.2799999999999994</c:v>
                </c:pt>
                <c:pt idx="9">
                  <c:v>9.2799999999999994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11.72</c:v>
                </c:pt>
                <c:pt idx="15">
                  <c:v>11.72</c:v>
                </c:pt>
                <c:pt idx="16">
                  <c:v>12.2</c:v>
                </c:pt>
                <c:pt idx="17">
                  <c:v>12.2</c:v>
                </c:pt>
                <c:pt idx="18">
                  <c:v>13.48</c:v>
                </c:pt>
                <c:pt idx="19">
                  <c:v>13.48</c:v>
                </c:pt>
                <c:pt idx="20">
                  <c:v>14.08</c:v>
                </c:pt>
                <c:pt idx="21">
                  <c:v>14.08</c:v>
                </c:pt>
                <c:pt idx="22">
                  <c:v>16.28</c:v>
                </c:pt>
                <c:pt idx="23">
                  <c:v>16.28</c:v>
                </c:pt>
                <c:pt idx="24">
                  <c:v>17.88</c:v>
                </c:pt>
                <c:pt idx="25">
                  <c:v>17.88</c:v>
                </c:pt>
                <c:pt idx="26">
                  <c:v>19.68</c:v>
                </c:pt>
                <c:pt idx="27">
                  <c:v>19.68</c:v>
                </c:pt>
                <c:pt idx="28">
                  <c:v>22.28</c:v>
                </c:pt>
                <c:pt idx="29">
                  <c:v>22.28</c:v>
                </c:pt>
                <c:pt idx="30">
                  <c:v>23.68</c:v>
                </c:pt>
                <c:pt idx="31">
                  <c:v>23.68</c:v>
                </c:pt>
                <c:pt idx="32">
                  <c:v>25.32</c:v>
                </c:pt>
                <c:pt idx="33">
                  <c:v>25.32</c:v>
                </c:pt>
                <c:pt idx="34">
                  <c:v>26.48</c:v>
                </c:pt>
                <c:pt idx="35">
                  <c:v>26.48</c:v>
                </c:pt>
                <c:pt idx="36">
                  <c:v>27.68</c:v>
                </c:pt>
                <c:pt idx="37">
                  <c:v>27.68</c:v>
                </c:pt>
                <c:pt idx="38">
                  <c:v>28.6</c:v>
                </c:pt>
                <c:pt idx="39">
                  <c:v>28.6</c:v>
                </c:pt>
                <c:pt idx="40">
                  <c:v>31.52</c:v>
                </c:pt>
                <c:pt idx="41">
                  <c:v>31.52</c:v>
                </c:pt>
                <c:pt idx="42">
                  <c:v>32.880000000000003</c:v>
                </c:pt>
                <c:pt idx="43">
                  <c:v>32.880000000000003</c:v>
                </c:pt>
                <c:pt idx="44">
                  <c:v>34.68</c:v>
                </c:pt>
                <c:pt idx="45">
                  <c:v>34.68</c:v>
                </c:pt>
                <c:pt idx="46">
                  <c:v>36.200000000000003</c:v>
                </c:pt>
                <c:pt idx="47">
                  <c:v>36.200000000000003</c:v>
                </c:pt>
                <c:pt idx="48">
                  <c:v>38.68</c:v>
                </c:pt>
                <c:pt idx="49">
                  <c:v>38.68</c:v>
                </c:pt>
                <c:pt idx="50">
                  <c:v>39.880000000000003</c:v>
                </c:pt>
                <c:pt idx="51">
                  <c:v>39.880000000000003</c:v>
                </c:pt>
                <c:pt idx="52">
                  <c:v>40.32</c:v>
                </c:pt>
                <c:pt idx="53">
                  <c:v>40.32</c:v>
                </c:pt>
                <c:pt idx="54">
                  <c:v>43.68</c:v>
                </c:pt>
                <c:pt idx="55">
                  <c:v>43.68</c:v>
                </c:pt>
              </c:numCache>
            </c:numRef>
          </c:xVal>
          <c:yVal>
            <c:numRef>
              <c:f>'Startup delay'!$E$4:$E$59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12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14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17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26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3-433A-B1F3-D1E03ED58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256511"/>
        <c:axId val="1918257951"/>
      </c:scatterChart>
      <c:valAx>
        <c:axId val="1918256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257951"/>
        <c:crosses val="autoZero"/>
        <c:crossBetween val="midCat"/>
      </c:valAx>
      <c:valAx>
        <c:axId val="191825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Vehicle 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256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237-49FA-BED4-B084322FFEE5}"/>
              </c:ext>
            </c:extLst>
          </c:dPt>
          <c:dPt>
            <c:idx val="1"/>
            <c:bubble3D val="0"/>
            <c:spPr>
              <a:solidFill>
                <a:srgbClr val="00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7-49FA-BED4-B084322FFEE5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37-49FA-BED4-B084322FFEE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7-49FA-BED4-B084322FFEE5}"/>
              </c:ext>
            </c:extLst>
          </c:dPt>
          <c:dPt>
            <c:idx val="4"/>
            <c:bubble3D val="0"/>
            <c:spPr>
              <a:solidFill>
                <a:srgbClr val="8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237-49FA-BED4-B084322FFEE5}"/>
              </c:ext>
            </c:extLst>
          </c:dPt>
          <c:dPt>
            <c:idx val="5"/>
            <c:bubble3D val="0"/>
            <c:spPr>
              <a:solidFill>
                <a:srgbClr val="CC33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37-49FA-BED4-B084322FFEE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068-4DAF-9081-DE9BBAE0D99C}"/>
              </c:ext>
            </c:extLst>
          </c:dPt>
          <c:cat>
            <c:strRef>
              <c:f>Log!$B$41:$B$47</c:f>
              <c:strCache>
                <c:ptCount val="7"/>
                <c:pt idx="0">
                  <c:v>Car</c:v>
                </c:pt>
                <c:pt idx="1">
                  <c:v>CNG</c:v>
                </c:pt>
                <c:pt idx="2">
                  <c:v>Motorbike</c:v>
                </c:pt>
                <c:pt idx="3">
                  <c:v>Truck</c:v>
                </c:pt>
                <c:pt idx="4">
                  <c:v>Bicycle</c:v>
                </c:pt>
                <c:pt idx="5">
                  <c:v>NMV</c:v>
                </c:pt>
                <c:pt idx="6">
                  <c:v>Bus</c:v>
                </c:pt>
              </c:strCache>
            </c:strRef>
          </c:cat>
          <c:val>
            <c:numRef>
              <c:f>Log!$C$41:$C$47</c:f>
              <c:numCache>
                <c:formatCode>0</c:formatCode>
                <c:ptCount val="7"/>
                <c:pt idx="0">
                  <c:v>58.803986710963457</c:v>
                </c:pt>
                <c:pt idx="1">
                  <c:v>20.26578073089701</c:v>
                </c:pt>
                <c:pt idx="2">
                  <c:v>24.252491694352159</c:v>
                </c:pt>
                <c:pt idx="3">
                  <c:v>2.6578073089700998</c:v>
                </c:pt>
                <c:pt idx="4">
                  <c:v>0.66445182724252494</c:v>
                </c:pt>
                <c:pt idx="5">
                  <c:v>0.33222591362126247</c:v>
                </c:pt>
                <c:pt idx="6">
                  <c:v>0.33222591362126247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7-49FA-BED4-B084322F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290293098755771E-2"/>
          <c:y val="0.82291557305336838"/>
          <c:w val="0.82941941380248851"/>
          <c:h val="0.17708442694663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237-49FA-BED4-B084322FFEE5}"/>
              </c:ext>
            </c:extLst>
          </c:dPt>
          <c:dPt>
            <c:idx val="1"/>
            <c:bubble3D val="0"/>
            <c:spPr>
              <a:solidFill>
                <a:srgbClr val="00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7-49FA-BED4-B084322FFEE5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37-49FA-BED4-B084322FFEE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7-49FA-BED4-B084322FFEE5}"/>
              </c:ext>
            </c:extLst>
          </c:dPt>
          <c:dPt>
            <c:idx val="4"/>
            <c:bubble3D val="0"/>
            <c:spPr>
              <a:solidFill>
                <a:srgbClr val="8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237-49FA-BED4-B084322FFEE5}"/>
              </c:ext>
            </c:extLst>
          </c:dPt>
          <c:dPt>
            <c:idx val="5"/>
            <c:bubble3D val="0"/>
            <c:spPr>
              <a:solidFill>
                <a:srgbClr val="CC33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37-49FA-BED4-B084322FFEE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B59-4555-AA99-07ACFC778677}"/>
              </c:ext>
            </c:extLst>
          </c:dPt>
          <c:cat>
            <c:strRef>
              <c:f>Log!$B$41:$B$47</c:f>
              <c:strCache>
                <c:ptCount val="7"/>
                <c:pt idx="0">
                  <c:v>Car</c:v>
                </c:pt>
                <c:pt idx="1">
                  <c:v>CNG</c:v>
                </c:pt>
                <c:pt idx="2">
                  <c:v>Motorbike</c:v>
                </c:pt>
                <c:pt idx="3">
                  <c:v>Truck</c:v>
                </c:pt>
                <c:pt idx="4">
                  <c:v>Bicycle</c:v>
                </c:pt>
                <c:pt idx="5">
                  <c:v>NMV</c:v>
                </c:pt>
                <c:pt idx="6">
                  <c:v>Bus</c:v>
                </c:pt>
              </c:strCache>
            </c:strRef>
          </c:cat>
          <c:val>
            <c:numRef>
              <c:f>Log!$D$41:$D$47</c:f>
              <c:numCache>
                <c:formatCode>0</c:formatCode>
                <c:ptCount val="7"/>
                <c:pt idx="0">
                  <c:v>84.090909090909093</c:v>
                </c:pt>
                <c:pt idx="1">
                  <c:v>8.6363636363636367</c:v>
                </c:pt>
                <c:pt idx="2">
                  <c:v>12.272727272727273</c:v>
                </c:pt>
                <c:pt idx="3">
                  <c:v>2.2727272727272729</c:v>
                </c:pt>
                <c:pt idx="4">
                  <c:v>0.90909090909090906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7-49FA-BED4-B084322F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290293098755771E-2"/>
          <c:y val="0.82291557305336838"/>
          <c:w val="0.82941941380248851"/>
          <c:h val="0.17708442694663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237-49FA-BED4-B084322FFEE5}"/>
              </c:ext>
            </c:extLst>
          </c:dPt>
          <c:dPt>
            <c:idx val="1"/>
            <c:bubble3D val="0"/>
            <c:spPr>
              <a:solidFill>
                <a:srgbClr val="00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7-49FA-BED4-B084322FFEE5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37-49FA-BED4-B084322FFEE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7-49FA-BED4-B084322FFEE5}"/>
              </c:ext>
            </c:extLst>
          </c:dPt>
          <c:dPt>
            <c:idx val="4"/>
            <c:bubble3D val="0"/>
            <c:spPr>
              <a:solidFill>
                <a:srgbClr val="8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237-49FA-BED4-B084322FFEE5}"/>
              </c:ext>
            </c:extLst>
          </c:dPt>
          <c:dPt>
            <c:idx val="5"/>
            <c:bubble3D val="0"/>
            <c:spPr>
              <a:solidFill>
                <a:srgbClr val="CC33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37-49FA-BED4-B084322FFEE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710-49AD-84F8-FB69B1EE4327}"/>
              </c:ext>
            </c:extLst>
          </c:dPt>
          <c:cat>
            <c:strRef>
              <c:f>Log!$B$41:$B$47</c:f>
              <c:strCache>
                <c:ptCount val="7"/>
                <c:pt idx="0">
                  <c:v>Car</c:v>
                </c:pt>
                <c:pt idx="1">
                  <c:v>CNG</c:v>
                </c:pt>
                <c:pt idx="2">
                  <c:v>Motorbike</c:v>
                </c:pt>
                <c:pt idx="3">
                  <c:v>Truck</c:v>
                </c:pt>
                <c:pt idx="4">
                  <c:v>Bicycle</c:v>
                </c:pt>
                <c:pt idx="5">
                  <c:v>NMV</c:v>
                </c:pt>
                <c:pt idx="6">
                  <c:v>Bus</c:v>
                </c:pt>
              </c:strCache>
            </c:strRef>
          </c:cat>
          <c:val>
            <c:numRef>
              <c:f>Log!$E$41:$E$47</c:f>
              <c:numCache>
                <c:formatCode>0</c:formatCode>
                <c:ptCount val="7"/>
                <c:pt idx="0">
                  <c:v>38.380281690140848</c:v>
                </c:pt>
                <c:pt idx="1">
                  <c:v>23.943661971830984</c:v>
                </c:pt>
                <c:pt idx="2">
                  <c:v>45.774647887323944</c:v>
                </c:pt>
                <c:pt idx="3">
                  <c:v>1.408450704225352</c:v>
                </c:pt>
                <c:pt idx="4">
                  <c:v>2.464788732394366</c:v>
                </c:pt>
                <c:pt idx="5">
                  <c:v>0.70422535211267601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7-49FA-BED4-B084322F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290293098755771E-2"/>
          <c:y val="0.82291557305336838"/>
          <c:w val="0.82941941380248851"/>
          <c:h val="0.17708442694663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'8.15'!$A$50:$A$63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</c:numCache>
            </c:numRef>
          </c:xVal>
          <c:yVal>
            <c:numRef>
              <c:f>'8.15'!$B$50:$B$63</c:f>
              <c:numCache>
                <c:formatCode>General</c:formatCode>
                <c:ptCount val="14"/>
                <c:pt idx="0">
                  <c:v>0</c:v>
                </c:pt>
                <c:pt idx="1">
                  <c:v>2.4500000000000002</c:v>
                </c:pt>
                <c:pt idx="2">
                  <c:v>3</c:v>
                </c:pt>
                <c:pt idx="3">
                  <c:v>2.38</c:v>
                </c:pt>
                <c:pt idx="4">
                  <c:v>3.45</c:v>
                </c:pt>
                <c:pt idx="5">
                  <c:v>3.3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B-464E-A7CB-DF8D003A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</a:t>
                </a:r>
                <a:r>
                  <a:rPr lang="en-US" baseline="0"/>
                  <a:t> (PCU/6sec)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4"/>
              <c:pt idx="0">
                <c:v>1</c:v>
              </c:pt>
              <c:pt idx="1">
                <c:v>1</c:v>
              </c:pt>
              <c:pt idx="2">
                <c:v>2.2000000000000002</c:v>
              </c:pt>
              <c:pt idx="3">
                <c:v>2.2000000000000002</c:v>
              </c:pt>
              <c:pt idx="4">
                <c:v>3.52</c:v>
              </c:pt>
              <c:pt idx="5">
                <c:v>3.52</c:v>
              </c:pt>
              <c:pt idx="6">
                <c:v>4.92</c:v>
              </c:pt>
              <c:pt idx="7">
                <c:v>4.92</c:v>
              </c:pt>
              <c:pt idx="8">
                <c:v>5.72</c:v>
              </c:pt>
              <c:pt idx="9">
                <c:v>5.72</c:v>
              </c:pt>
              <c:pt idx="10">
                <c:v>6.8</c:v>
              </c:pt>
              <c:pt idx="11">
                <c:v>6.8</c:v>
              </c:pt>
              <c:pt idx="12">
                <c:v>6.88</c:v>
              </c:pt>
              <c:pt idx="13">
                <c:v>6.88</c:v>
              </c:pt>
              <c:pt idx="14">
                <c:v>8.1199999999999992</c:v>
              </c:pt>
              <c:pt idx="15">
                <c:v>8.1199999999999992</c:v>
              </c:pt>
              <c:pt idx="16">
                <c:v>8.6</c:v>
              </c:pt>
              <c:pt idx="17">
                <c:v>8.6</c:v>
              </c:pt>
              <c:pt idx="18">
                <c:v>9</c:v>
              </c:pt>
              <c:pt idx="19">
                <c:v>9</c:v>
              </c:pt>
              <c:pt idx="20">
                <c:v>9.1199999999999992</c:v>
              </c:pt>
              <c:pt idx="21">
                <c:v>9.1199999999999992</c:v>
              </c:pt>
              <c:pt idx="22">
                <c:v>9.1999999999999993</c:v>
              </c:pt>
              <c:pt idx="23">
                <c:v>9.1999999999999993</c:v>
              </c:pt>
              <c:pt idx="24">
                <c:v>9.8800000000000008</c:v>
              </c:pt>
              <c:pt idx="25">
                <c:v>9.8800000000000008</c:v>
              </c:pt>
              <c:pt idx="26">
                <c:v>11</c:v>
              </c:pt>
              <c:pt idx="27">
                <c:v>11</c:v>
              </c:pt>
              <c:pt idx="28">
                <c:v>11.2</c:v>
              </c:pt>
              <c:pt idx="29">
                <c:v>11.2</c:v>
              </c:pt>
              <c:pt idx="30">
                <c:v>11.68</c:v>
              </c:pt>
              <c:pt idx="31">
                <c:v>11.68</c:v>
              </c:pt>
              <c:pt idx="32">
                <c:v>12.12</c:v>
              </c:pt>
              <c:pt idx="33">
                <c:v>12.12</c:v>
              </c:pt>
              <c:pt idx="34">
                <c:v>16.12</c:v>
              </c:pt>
              <c:pt idx="35">
                <c:v>16.12</c:v>
              </c:pt>
              <c:pt idx="36">
                <c:v>19.2</c:v>
              </c:pt>
              <c:pt idx="37">
                <c:v>19.2</c:v>
              </c:pt>
              <c:pt idx="38">
                <c:v>20</c:v>
              </c:pt>
              <c:pt idx="39">
                <c:v>20</c:v>
              </c:pt>
              <c:pt idx="40">
                <c:v>21.2</c:v>
              </c:pt>
              <c:pt idx="41">
                <c:v>21.2</c:v>
              </c:pt>
              <c:pt idx="42">
                <c:v>22.12</c:v>
              </c:pt>
              <c:pt idx="43">
                <c:v>22.12</c:v>
              </c:pt>
              <c:pt idx="44">
                <c:v>23.88</c:v>
              </c:pt>
              <c:pt idx="45">
                <c:v>23.88</c:v>
              </c:pt>
              <c:pt idx="46">
                <c:v>26.08</c:v>
              </c:pt>
              <c:pt idx="47">
                <c:v>26.08</c:v>
              </c:pt>
              <c:pt idx="48">
                <c:v>29.32</c:v>
              </c:pt>
              <c:pt idx="49">
                <c:v>29.32</c:v>
              </c:pt>
              <c:pt idx="50">
                <c:v>30.72</c:v>
              </c:pt>
              <c:pt idx="51">
                <c:v>30.72</c:v>
              </c:pt>
              <c:pt idx="52">
                <c:v>33.880000000000003</c:v>
              </c:pt>
              <c:pt idx="53">
                <c:v>33.880000000000003</c:v>
              </c:pt>
            </c:numLit>
          </c:xVal>
          <c:yVal>
            <c:numLit>
              <c:formatCode>General</c:formatCode>
              <c:ptCount val="5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F86-4778-B3E7-EA3C0181F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523375"/>
        <c:axId val="311524335"/>
      </c:scatterChart>
      <c:valAx>
        <c:axId val="311523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1524335"/>
        <c:crosses val="autoZero"/>
        <c:crossBetween val="midCat"/>
      </c:valAx>
      <c:valAx>
        <c:axId val="3115243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152337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30"/>
              <c:pt idx="0">
                <c:v>2.52</c:v>
              </c:pt>
              <c:pt idx="1">
                <c:v>2.52</c:v>
              </c:pt>
              <c:pt idx="2">
                <c:v>4.4800000000000004</c:v>
              </c:pt>
              <c:pt idx="3">
                <c:v>4.4800000000000004</c:v>
              </c:pt>
              <c:pt idx="4">
                <c:v>5.08</c:v>
              </c:pt>
              <c:pt idx="5">
                <c:v>5.08</c:v>
              </c:pt>
              <c:pt idx="6">
                <c:v>6</c:v>
              </c:pt>
              <c:pt idx="7">
                <c:v>6</c:v>
              </c:pt>
              <c:pt idx="8">
                <c:v>7.08</c:v>
              </c:pt>
              <c:pt idx="9">
                <c:v>7.08</c:v>
              </c:pt>
              <c:pt idx="10">
                <c:v>8.92</c:v>
              </c:pt>
              <c:pt idx="11">
                <c:v>8.92</c:v>
              </c:pt>
              <c:pt idx="12">
                <c:v>11.48</c:v>
              </c:pt>
              <c:pt idx="13">
                <c:v>11.48</c:v>
              </c:pt>
              <c:pt idx="14">
                <c:v>17.600000000000001</c:v>
              </c:pt>
              <c:pt idx="15">
                <c:v>17.600000000000001</c:v>
              </c:pt>
              <c:pt idx="16">
                <c:v>19.48</c:v>
              </c:pt>
              <c:pt idx="17">
                <c:v>19.48</c:v>
              </c:pt>
              <c:pt idx="18">
                <c:v>22.6</c:v>
              </c:pt>
              <c:pt idx="19">
                <c:v>22.6</c:v>
              </c:pt>
              <c:pt idx="20">
                <c:v>23.32</c:v>
              </c:pt>
              <c:pt idx="21">
                <c:v>23.32</c:v>
              </c:pt>
              <c:pt idx="22">
                <c:v>24.8</c:v>
              </c:pt>
              <c:pt idx="23">
                <c:v>24.8</c:v>
              </c:pt>
              <c:pt idx="24">
                <c:v>27.12</c:v>
              </c:pt>
              <c:pt idx="25">
                <c:v>27.12</c:v>
              </c:pt>
              <c:pt idx="26">
                <c:v>29.88</c:v>
              </c:pt>
              <c:pt idx="27">
                <c:v>29.88</c:v>
              </c:pt>
              <c:pt idx="28">
                <c:v>31.92</c:v>
              </c:pt>
              <c:pt idx="29">
                <c:v>31.92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EA9-4C36-B160-70C3562F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654655"/>
        <c:axId val="713657055"/>
      </c:scatterChart>
      <c:valAx>
        <c:axId val="713654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657055"/>
        <c:crosses val="autoZero"/>
        <c:crossBetween val="midCat"/>
      </c:valAx>
      <c:valAx>
        <c:axId val="7136570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65465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'8.15'!$A$50:$A$63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</c:numCache>
            </c:numRef>
          </c:xVal>
          <c:yVal>
            <c:numRef>
              <c:f>'8.15'!$C$50:$C$63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2.83</c:v>
                </c:pt>
                <c:pt idx="3">
                  <c:v>1</c:v>
                </c:pt>
                <c:pt idx="4">
                  <c:v>2.4500000000000002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BB-4D46-9D74-1BD7C8AB1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</a:t>
                </a:r>
                <a:r>
                  <a:rPr lang="en-US" baseline="0"/>
                  <a:t> (PCU/6sec)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'8.15'!$A$50:$A$63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</c:numCache>
            </c:numRef>
          </c:xVal>
          <c:yVal>
            <c:numRef>
              <c:f>'8.15'!$D$50:$D$63</c:f>
              <c:numCache>
                <c:formatCode>General</c:formatCode>
                <c:ptCount val="14"/>
                <c:pt idx="0">
                  <c:v>0</c:v>
                </c:pt>
                <c:pt idx="1">
                  <c:v>2.66</c:v>
                </c:pt>
                <c:pt idx="2">
                  <c:v>4.46</c:v>
                </c:pt>
                <c:pt idx="3">
                  <c:v>1.38</c:v>
                </c:pt>
                <c:pt idx="4">
                  <c:v>3.09</c:v>
                </c:pt>
                <c:pt idx="5">
                  <c:v>2</c:v>
                </c:pt>
                <c:pt idx="6">
                  <c:v>2.02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58-4159-B73B-CDCDF43C7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</a:t>
                </a:r>
                <a:r>
                  <a:rPr lang="en-US" baseline="0"/>
                  <a:t> (PCU/6sec)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62"/>
              <c:pt idx="0">
                <c:v>5.32</c:v>
              </c:pt>
              <c:pt idx="1">
                <c:v>5.32</c:v>
              </c:pt>
              <c:pt idx="2">
                <c:v>7.64</c:v>
              </c:pt>
              <c:pt idx="3">
                <c:v>7.64</c:v>
              </c:pt>
              <c:pt idx="4">
                <c:v>8</c:v>
              </c:pt>
              <c:pt idx="5">
                <c:v>8</c:v>
              </c:pt>
              <c:pt idx="6">
                <c:v>10.199999999999999</c:v>
              </c:pt>
              <c:pt idx="7">
                <c:v>10.199999999999999</c:v>
              </c:pt>
              <c:pt idx="8">
                <c:v>11.2</c:v>
              </c:pt>
              <c:pt idx="9">
                <c:v>11.2</c:v>
              </c:pt>
              <c:pt idx="10">
                <c:v>15</c:v>
              </c:pt>
              <c:pt idx="11">
                <c:v>15</c:v>
              </c:pt>
              <c:pt idx="12">
                <c:v>15.92</c:v>
              </c:pt>
              <c:pt idx="13">
                <c:v>15.92</c:v>
              </c:pt>
              <c:pt idx="14">
                <c:v>16.52</c:v>
              </c:pt>
              <c:pt idx="15">
                <c:v>16.52</c:v>
              </c:pt>
              <c:pt idx="16">
                <c:v>18.52</c:v>
              </c:pt>
              <c:pt idx="17">
                <c:v>18.52</c:v>
              </c:pt>
              <c:pt idx="18">
                <c:v>20.440000000000001</c:v>
              </c:pt>
              <c:pt idx="19">
                <c:v>20.440000000000001</c:v>
              </c:pt>
              <c:pt idx="20">
                <c:v>21.84</c:v>
              </c:pt>
              <c:pt idx="21">
                <c:v>21.84</c:v>
              </c:pt>
              <c:pt idx="22">
                <c:v>22.32</c:v>
              </c:pt>
              <c:pt idx="23">
                <c:v>22.32</c:v>
              </c:pt>
              <c:pt idx="24">
                <c:v>23.52</c:v>
              </c:pt>
              <c:pt idx="25">
                <c:v>23.52</c:v>
              </c:pt>
              <c:pt idx="26">
                <c:v>24.12</c:v>
              </c:pt>
              <c:pt idx="27">
                <c:v>24.12</c:v>
              </c:pt>
              <c:pt idx="28">
                <c:v>25.52</c:v>
              </c:pt>
              <c:pt idx="29">
                <c:v>25.52</c:v>
              </c:pt>
              <c:pt idx="30">
                <c:v>25.72</c:v>
              </c:pt>
              <c:pt idx="31">
                <c:v>25.72</c:v>
              </c:pt>
              <c:pt idx="32">
                <c:v>27.2</c:v>
              </c:pt>
              <c:pt idx="33">
                <c:v>27.2</c:v>
              </c:pt>
              <c:pt idx="34">
                <c:v>28.44</c:v>
              </c:pt>
              <c:pt idx="35">
                <c:v>28.44</c:v>
              </c:pt>
              <c:pt idx="36">
                <c:v>28.44</c:v>
              </c:pt>
              <c:pt idx="37">
                <c:v>28.44</c:v>
              </c:pt>
              <c:pt idx="38">
                <c:v>30.64</c:v>
              </c:pt>
              <c:pt idx="39">
                <c:v>30.64</c:v>
              </c:pt>
              <c:pt idx="40">
                <c:v>30.8</c:v>
              </c:pt>
              <c:pt idx="41">
                <c:v>30.8</c:v>
              </c:pt>
              <c:pt idx="42">
                <c:v>31.32</c:v>
              </c:pt>
              <c:pt idx="43">
                <c:v>31.32</c:v>
              </c:pt>
              <c:pt idx="44">
                <c:v>32.72</c:v>
              </c:pt>
              <c:pt idx="45">
                <c:v>32.72</c:v>
              </c:pt>
              <c:pt idx="46">
                <c:v>33.6</c:v>
              </c:pt>
              <c:pt idx="47">
                <c:v>33.6</c:v>
              </c:pt>
              <c:pt idx="48">
                <c:v>35.4</c:v>
              </c:pt>
              <c:pt idx="49">
                <c:v>35.4</c:v>
              </c:pt>
              <c:pt idx="50">
                <c:v>35.520000000000003</c:v>
              </c:pt>
              <c:pt idx="51">
                <c:v>35.520000000000003</c:v>
              </c:pt>
              <c:pt idx="52">
                <c:v>37.32</c:v>
              </c:pt>
              <c:pt idx="53">
                <c:v>37.32</c:v>
              </c:pt>
              <c:pt idx="54">
                <c:v>38.6</c:v>
              </c:pt>
              <c:pt idx="55">
                <c:v>38.6</c:v>
              </c:pt>
              <c:pt idx="56">
                <c:v>39.64</c:v>
              </c:pt>
              <c:pt idx="57">
                <c:v>39.64</c:v>
              </c:pt>
              <c:pt idx="58">
                <c:v>40.92</c:v>
              </c:pt>
              <c:pt idx="59">
                <c:v>40.92</c:v>
              </c:pt>
              <c:pt idx="60">
                <c:v>42.44</c:v>
              </c:pt>
              <c:pt idx="61">
                <c:v>42.44</c:v>
              </c:pt>
            </c:numLit>
          </c:xVal>
          <c:yVal>
            <c:numLit>
              <c:formatCode>General</c:formatCode>
              <c:ptCount val="6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  <c:pt idx="56">
                <c:v>28</c:v>
              </c:pt>
              <c:pt idx="57">
                <c:v>29</c:v>
              </c:pt>
              <c:pt idx="58">
                <c:v>29</c:v>
              </c:pt>
              <c:pt idx="59">
                <c:v>30</c:v>
              </c:pt>
              <c:pt idx="60">
                <c:v>30</c:v>
              </c:pt>
              <c:pt idx="61">
                <c:v>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469-4DB0-BCE1-99E04B460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824735"/>
        <c:axId val="373827135"/>
      </c:scatterChart>
      <c:valAx>
        <c:axId val="373824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3827135"/>
        <c:crosses val="autoZero"/>
        <c:crossBetween val="midCat"/>
      </c:valAx>
      <c:valAx>
        <c:axId val="3738271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382473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38"/>
              <c:pt idx="0">
                <c:v>8.32</c:v>
              </c:pt>
              <c:pt idx="1">
                <c:v>8.32</c:v>
              </c:pt>
              <c:pt idx="2">
                <c:v>8.32</c:v>
              </c:pt>
              <c:pt idx="3">
                <c:v>8.32</c:v>
              </c:pt>
              <c:pt idx="4">
                <c:v>10.44</c:v>
              </c:pt>
              <c:pt idx="5">
                <c:v>10.44</c:v>
              </c:pt>
              <c:pt idx="6">
                <c:v>12.4</c:v>
              </c:pt>
              <c:pt idx="7">
                <c:v>12.4</c:v>
              </c:pt>
              <c:pt idx="8">
                <c:v>13.64</c:v>
              </c:pt>
              <c:pt idx="9">
                <c:v>13.64</c:v>
              </c:pt>
              <c:pt idx="10">
                <c:v>15</c:v>
              </c:pt>
              <c:pt idx="11">
                <c:v>15</c:v>
              </c:pt>
              <c:pt idx="12">
                <c:v>16.600000000000001</c:v>
              </c:pt>
              <c:pt idx="13">
                <c:v>16.600000000000001</c:v>
              </c:pt>
              <c:pt idx="14">
                <c:v>16.64</c:v>
              </c:pt>
              <c:pt idx="15">
                <c:v>16.64</c:v>
              </c:pt>
              <c:pt idx="16">
                <c:v>18.72</c:v>
              </c:pt>
              <c:pt idx="17">
                <c:v>18.72</c:v>
              </c:pt>
              <c:pt idx="18">
                <c:v>21.6</c:v>
              </c:pt>
              <c:pt idx="19">
                <c:v>21.6</c:v>
              </c:pt>
              <c:pt idx="20">
                <c:v>25.92</c:v>
              </c:pt>
              <c:pt idx="21">
                <c:v>25.92</c:v>
              </c:pt>
              <c:pt idx="22">
                <c:v>26</c:v>
              </c:pt>
              <c:pt idx="23">
                <c:v>26</c:v>
              </c:pt>
              <c:pt idx="24">
                <c:v>27.24</c:v>
              </c:pt>
              <c:pt idx="25">
                <c:v>27.24</c:v>
              </c:pt>
              <c:pt idx="26">
                <c:v>28.2</c:v>
              </c:pt>
              <c:pt idx="27">
                <c:v>28.2</c:v>
              </c:pt>
              <c:pt idx="28">
                <c:v>30</c:v>
              </c:pt>
              <c:pt idx="29">
                <c:v>30</c:v>
              </c:pt>
              <c:pt idx="30">
                <c:v>37.64</c:v>
              </c:pt>
              <c:pt idx="31">
                <c:v>37.64</c:v>
              </c:pt>
              <c:pt idx="32">
                <c:v>41.84</c:v>
              </c:pt>
              <c:pt idx="33">
                <c:v>41.84</c:v>
              </c:pt>
              <c:pt idx="34">
                <c:v>43.12</c:v>
              </c:pt>
              <c:pt idx="35">
                <c:v>43.12</c:v>
              </c:pt>
              <c:pt idx="36">
                <c:v>45.12</c:v>
              </c:pt>
              <c:pt idx="37">
                <c:v>45.12</c:v>
              </c:pt>
            </c:numLit>
          </c:xVal>
          <c:yVal>
            <c:numLit>
              <c:formatCode>General</c:formatCode>
              <c:ptCount val="38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3F8-4F88-9717-8BA3DD1BF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882783"/>
        <c:axId val="551884223"/>
      </c:scatterChart>
      <c:valAx>
        <c:axId val="551882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1884223"/>
        <c:crosses val="autoZero"/>
        <c:crossBetween val="midCat"/>
      </c:valAx>
      <c:valAx>
        <c:axId val="551884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18827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40"/>
              <c:pt idx="0">
                <c:v>7.72</c:v>
              </c:pt>
              <c:pt idx="1">
                <c:v>7.72</c:v>
              </c:pt>
              <c:pt idx="2">
                <c:v>9.84</c:v>
              </c:pt>
              <c:pt idx="3">
                <c:v>9.84</c:v>
              </c:pt>
              <c:pt idx="4">
                <c:v>11.04</c:v>
              </c:pt>
              <c:pt idx="5">
                <c:v>11.04</c:v>
              </c:pt>
              <c:pt idx="6">
                <c:v>12.72</c:v>
              </c:pt>
              <c:pt idx="7">
                <c:v>12.72</c:v>
              </c:pt>
              <c:pt idx="8">
                <c:v>13.4</c:v>
              </c:pt>
              <c:pt idx="9">
                <c:v>13.4</c:v>
              </c:pt>
              <c:pt idx="10">
                <c:v>15.24</c:v>
              </c:pt>
              <c:pt idx="11">
                <c:v>15.24</c:v>
              </c:pt>
              <c:pt idx="12">
                <c:v>16</c:v>
              </c:pt>
              <c:pt idx="13">
                <c:v>16</c:v>
              </c:pt>
              <c:pt idx="14">
                <c:v>17.04</c:v>
              </c:pt>
              <c:pt idx="15">
                <c:v>17.04</c:v>
              </c:pt>
              <c:pt idx="16">
                <c:v>17.12</c:v>
              </c:pt>
              <c:pt idx="17">
                <c:v>17.12</c:v>
              </c:pt>
              <c:pt idx="18">
                <c:v>18.600000000000001</c:v>
              </c:pt>
              <c:pt idx="19">
                <c:v>18.600000000000001</c:v>
              </c:pt>
              <c:pt idx="20">
                <c:v>19.84</c:v>
              </c:pt>
              <c:pt idx="21">
                <c:v>19.84</c:v>
              </c:pt>
              <c:pt idx="22">
                <c:v>25.4</c:v>
              </c:pt>
              <c:pt idx="23">
                <c:v>25.4</c:v>
              </c:pt>
              <c:pt idx="24">
                <c:v>27</c:v>
              </c:pt>
              <c:pt idx="25">
                <c:v>27</c:v>
              </c:pt>
              <c:pt idx="26">
                <c:v>27.44</c:v>
              </c:pt>
              <c:pt idx="27">
                <c:v>27.44</c:v>
              </c:pt>
              <c:pt idx="28">
                <c:v>28.6</c:v>
              </c:pt>
              <c:pt idx="29">
                <c:v>28.6</c:v>
              </c:pt>
              <c:pt idx="30">
                <c:v>30.64</c:v>
              </c:pt>
              <c:pt idx="31">
                <c:v>30.64</c:v>
              </c:pt>
              <c:pt idx="32">
                <c:v>35.24</c:v>
              </c:pt>
              <c:pt idx="33">
                <c:v>35.24</c:v>
              </c:pt>
              <c:pt idx="34">
                <c:v>39.92</c:v>
              </c:pt>
              <c:pt idx="35">
                <c:v>39.92</c:v>
              </c:pt>
              <c:pt idx="36">
                <c:v>42.04</c:v>
              </c:pt>
              <c:pt idx="37">
                <c:v>42.04</c:v>
              </c:pt>
              <c:pt idx="38">
                <c:v>44.8</c:v>
              </c:pt>
              <c:pt idx="39">
                <c:v>44.8</c:v>
              </c:pt>
            </c:numLit>
          </c:xVal>
          <c:yVal>
            <c:numLit>
              <c:formatCode>General</c:formatCode>
              <c:ptCount val="4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2E6-41D2-BCD1-0F003F2A1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04879"/>
        <c:axId val="263405359"/>
      </c:scatterChart>
      <c:valAx>
        <c:axId val="263404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405359"/>
        <c:crosses val="autoZero"/>
        <c:crossBetween val="midCat"/>
      </c:valAx>
      <c:valAx>
        <c:axId val="263405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404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'3.35'!$A$61:$A$71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'3.35'!$B$61:$B$71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3.38</c:v>
                </c:pt>
                <c:pt idx="3">
                  <c:v>2.9</c:v>
                </c:pt>
                <c:pt idx="4">
                  <c:v>2.4500000000000002</c:v>
                </c:pt>
                <c:pt idx="5">
                  <c:v>2</c:v>
                </c:pt>
                <c:pt idx="6">
                  <c:v>3.38</c:v>
                </c:pt>
                <c:pt idx="7">
                  <c:v>3.02</c:v>
                </c:pt>
                <c:pt idx="8">
                  <c:v>2.4500000000000002</c:v>
                </c:pt>
                <c:pt idx="9">
                  <c:v>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B-464E-A7CB-DF8D003A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'3.35'!$C$61:$C$71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'3.35'!$D$61:$D$71</c:f>
              <c:numCache>
                <c:formatCode>General</c:formatCode>
                <c:ptCount val="11"/>
                <c:pt idx="0">
                  <c:v>0</c:v>
                </c:pt>
                <c:pt idx="1">
                  <c:v>2.14</c:v>
                </c:pt>
                <c:pt idx="2">
                  <c:v>2</c:v>
                </c:pt>
                <c:pt idx="3">
                  <c:v>3.02</c:v>
                </c:pt>
                <c:pt idx="4">
                  <c:v>3.45</c:v>
                </c:pt>
                <c:pt idx="5">
                  <c:v>1.45</c:v>
                </c:pt>
                <c:pt idx="6">
                  <c:v>2.4500000000000002</c:v>
                </c:pt>
                <c:pt idx="7">
                  <c:v>4</c:v>
                </c:pt>
                <c:pt idx="8">
                  <c:v>2.38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30-4081-B329-CC3F624E8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'3.35'!$E$61:$E$71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'3.35'!$F$61:$F$71</c:f>
              <c:numCache>
                <c:formatCode>General</c:formatCode>
                <c:ptCount val="11"/>
                <c:pt idx="0">
                  <c:v>0</c:v>
                </c:pt>
                <c:pt idx="1">
                  <c:v>0.83000000000000007</c:v>
                </c:pt>
                <c:pt idx="2">
                  <c:v>4.1399999999999997</c:v>
                </c:pt>
                <c:pt idx="3">
                  <c:v>2.4500000000000002</c:v>
                </c:pt>
                <c:pt idx="4">
                  <c:v>2.2800000000000002</c:v>
                </c:pt>
                <c:pt idx="5">
                  <c:v>2</c:v>
                </c:pt>
                <c:pt idx="6">
                  <c:v>1</c:v>
                </c:pt>
                <c:pt idx="7">
                  <c:v>2.9000000000000004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71-415D-A9DF-B2A506988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6"/>
              <c:pt idx="0">
                <c:v>0</c:v>
              </c:pt>
              <c:pt idx="1">
                <c:v>0</c:v>
              </c:pt>
              <c:pt idx="2">
                <c:v>2.8</c:v>
              </c:pt>
              <c:pt idx="3">
                <c:v>2.8</c:v>
              </c:pt>
              <c:pt idx="4">
                <c:v>5.92</c:v>
              </c:pt>
              <c:pt idx="5">
                <c:v>5.92</c:v>
              </c:pt>
              <c:pt idx="6">
                <c:v>7.4</c:v>
              </c:pt>
              <c:pt idx="7">
                <c:v>7.4</c:v>
              </c:pt>
              <c:pt idx="8">
                <c:v>9.2799999999999994</c:v>
              </c:pt>
              <c:pt idx="9">
                <c:v>9.2799999999999994</c:v>
              </c:pt>
              <c:pt idx="10">
                <c:v>10</c:v>
              </c:pt>
              <c:pt idx="11">
                <c:v>10</c:v>
              </c:pt>
              <c:pt idx="12">
                <c:v>11</c:v>
              </c:pt>
              <c:pt idx="13">
                <c:v>11</c:v>
              </c:pt>
              <c:pt idx="14">
                <c:v>11.72</c:v>
              </c:pt>
              <c:pt idx="15">
                <c:v>11.72</c:v>
              </c:pt>
              <c:pt idx="16">
                <c:v>12.2</c:v>
              </c:pt>
              <c:pt idx="17">
                <c:v>12.2</c:v>
              </c:pt>
              <c:pt idx="18">
                <c:v>13.48</c:v>
              </c:pt>
              <c:pt idx="19">
                <c:v>13.48</c:v>
              </c:pt>
              <c:pt idx="20">
                <c:v>14.08</c:v>
              </c:pt>
              <c:pt idx="21">
                <c:v>14.08</c:v>
              </c:pt>
              <c:pt idx="22">
                <c:v>16.28</c:v>
              </c:pt>
              <c:pt idx="23">
                <c:v>16.28</c:v>
              </c:pt>
              <c:pt idx="24">
                <c:v>17.88</c:v>
              </c:pt>
              <c:pt idx="25">
                <c:v>17.88</c:v>
              </c:pt>
              <c:pt idx="26">
                <c:v>19.68</c:v>
              </c:pt>
              <c:pt idx="27">
                <c:v>19.68</c:v>
              </c:pt>
              <c:pt idx="28">
                <c:v>22.28</c:v>
              </c:pt>
              <c:pt idx="29">
                <c:v>22.28</c:v>
              </c:pt>
              <c:pt idx="30">
                <c:v>23.68</c:v>
              </c:pt>
              <c:pt idx="31">
                <c:v>23.68</c:v>
              </c:pt>
              <c:pt idx="32">
                <c:v>25.32</c:v>
              </c:pt>
              <c:pt idx="33">
                <c:v>25.32</c:v>
              </c:pt>
              <c:pt idx="34">
                <c:v>26.48</c:v>
              </c:pt>
              <c:pt idx="35">
                <c:v>26.48</c:v>
              </c:pt>
              <c:pt idx="36">
                <c:v>27.68</c:v>
              </c:pt>
              <c:pt idx="37">
                <c:v>27.68</c:v>
              </c:pt>
              <c:pt idx="38">
                <c:v>28.6</c:v>
              </c:pt>
              <c:pt idx="39">
                <c:v>28.6</c:v>
              </c:pt>
              <c:pt idx="40">
                <c:v>31.52</c:v>
              </c:pt>
              <c:pt idx="41">
                <c:v>31.52</c:v>
              </c:pt>
              <c:pt idx="42">
                <c:v>32.880000000000003</c:v>
              </c:pt>
              <c:pt idx="43">
                <c:v>32.880000000000003</c:v>
              </c:pt>
              <c:pt idx="44">
                <c:v>34.68</c:v>
              </c:pt>
              <c:pt idx="45">
                <c:v>34.68</c:v>
              </c:pt>
              <c:pt idx="46">
                <c:v>36.200000000000003</c:v>
              </c:pt>
              <c:pt idx="47">
                <c:v>36.200000000000003</c:v>
              </c:pt>
              <c:pt idx="48">
                <c:v>38.68</c:v>
              </c:pt>
              <c:pt idx="49">
                <c:v>38.68</c:v>
              </c:pt>
              <c:pt idx="50">
                <c:v>39.880000000000003</c:v>
              </c:pt>
              <c:pt idx="51">
                <c:v>39.880000000000003</c:v>
              </c:pt>
              <c:pt idx="52">
                <c:v>40.32</c:v>
              </c:pt>
              <c:pt idx="53">
                <c:v>40.32</c:v>
              </c:pt>
              <c:pt idx="54">
                <c:v>43.68</c:v>
              </c:pt>
              <c:pt idx="55">
                <c:v>43.68</c:v>
              </c:pt>
            </c:numLit>
          </c:xVal>
          <c:yVal>
            <c:numLit>
              <c:formatCode>General</c:formatCode>
              <c:ptCount val="5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B76-402D-93FF-F8551E64B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04879"/>
        <c:axId val="550617647"/>
      </c:scatterChart>
      <c:valAx>
        <c:axId val="263404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617647"/>
        <c:crosses val="autoZero"/>
        <c:crossBetween val="midCat"/>
      </c:valAx>
      <c:valAx>
        <c:axId val="5506176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34048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46"/>
              <c:pt idx="0">
                <c:v>1.48</c:v>
              </c:pt>
              <c:pt idx="1">
                <c:v>1.48</c:v>
              </c:pt>
              <c:pt idx="2">
                <c:v>1.88</c:v>
              </c:pt>
              <c:pt idx="3">
                <c:v>1.88</c:v>
              </c:pt>
              <c:pt idx="4">
                <c:v>2.92</c:v>
              </c:pt>
              <c:pt idx="5">
                <c:v>2.92</c:v>
              </c:pt>
              <c:pt idx="6">
                <c:v>4.08</c:v>
              </c:pt>
              <c:pt idx="7">
                <c:v>4.08</c:v>
              </c:pt>
              <c:pt idx="8">
                <c:v>5.32</c:v>
              </c:pt>
              <c:pt idx="9">
                <c:v>5.32</c:v>
              </c:pt>
              <c:pt idx="10">
                <c:v>7.48</c:v>
              </c:pt>
              <c:pt idx="11">
                <c:v>7.48</c:v>
              </c:pt>
              <c:pt idx="12">
                <c:v>10.119999999999999</c:v>
              </c:pt>
              <c:pt idx="13">
                <c:v>10.119999999999999</c:v>
              </c:pt>
              <c:pt idx="14">
                <c:v>12.32</c:v>
              </c:pt>
              <c:pt idx="15">
                <c:v>12.32</c:v>
              </c:pt>
              <c:pt idx="16">
                <c:v>15</c:v>
              </c:pt>
              <c:pt idx="17">
                <c:v>15</c:v>
              </c:pt>
              <c:pt idx="18">
                <c:v>16.48</c:v>
              </c:pt>
              <c:pt idx="19">
                <c:v>16.48</c:v>
              </c:pt>
              <c:pt idx="20">
                <c:v>18.12</c:v>
              </c:pt>
              <c:pt idx="21">
                <c:v>18.12</c:v>
              </c:pt>
              <c:pt idx="22">
                <c:v>19.8</c:v>
              </c:pt>
              <c:pt idx="23">
                <c:v>19.8</c:v>
              </c:pt>
              <c:pt idx="24">
                <c:v>21.48</c:v>
              </c:pt>
              <c:pt idx="25">
                <c:v>21.48</c:v>
              </c:pt>
              <c:pt idx="26">
                <c:v>22.48</c:v>
              </c:pt>
              <c:pt idx="27">
                <c:v>22.48</c:v>
              </c:pt>
              <c:pt idx="28">
                <c:v>25.92</c:v>
              </c:pt>
              <c:pt idx="29">
                <c:v>25.92</c:v>
              </c:pt>
              <c:pt idx="30">
                <c:v>27.12</c:v>
              </c:pt>
              <c:pt idx="31">
                <c:v>27.12</c:v>
              </c:pt>
              <c:pt idx="32">
                <c:v>29.8</c:v>
              </c:pt>
              <c:pt idx="33">
                <c:v>29.8</c:v>
              </c:pt>
              <c:pt idx="34">
                <c:v>31.4</c:v>
              </c:pt>
              <c:pt idx="35">
                <c:v>31.4</c:v>
              </c:pt>
              <c:pt idx="36">
                <c:v>33</c:v>
              </c:pt>
              <c:pt idx="37">
                <c:v>33</c:v>
              </c:pt>
              <c:pt idx="38">
                <c:v>34.200000000000003</c:v>
              </c:pt>
              <c:pt idx="39">
                <c:v>34.200000000000003</c:v>
              </c:pt>
              <c:pt idx="40">
                <c:v>35</c:v>
              </c:pt>
              <c:pt idx="41">
                <c:v>35</c:v>
              </c:pt>
              <c:pt idx="42">
                <c:v>36.479999999999997</c:v>
              </c:pt>
              <c:pt idx="43">
                <c:v>36.479999999999997</c:v>
              </c:pt>
              <c:pt idx="44">
                <c:v>37.28</c:v>
              </c:pt>
              <c:pt idx="45">
                <c:v>37.28</c:v>
              </c:pt>
            </c:numLit>
          </c:xVal>
          <c:yVal>
            <c:numLit>
              <c:formatCode>General</c:formatCode>
              <c:ptCount val="4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A6A-404A-9414-B2197A1A8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963295"/>
        <c:axId val="485960895"/>
      </c:scatterChart>
      <c:valAx>
        <c:axId val="485963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5960895"/>
        <c:crosses val="autoZero"/>
        <c:crossBetween val="midCat"/>
      </c:valAx>
      <c:valAx>
        <c:axId val="485960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596329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Start-up Delay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46"/>
              <c:pt idx="0">
                <c:v>3.6</c:v>
              </c:pt>
              <c:pt idx="1">
                <c:v>3.6</c:v>
              </c:pt>
              <c:pt idx="2">
                <c:v>4.5999999999999996</c:v>
              </c:pt>
              <c:pt idx="3">
                <c:v>4.5999999999999996</c:v>
              </c:pt>
              <c:pt idx="4">
                <c:v>5.4</c:v>
              </c:pt>
              <c:pt idx="5">
                <c:v>5.4</c:v>
              </c:pt>
              <c:pt idx="6">
                <c:v>5.72</c:v>
              </c:pt>
              <c:pt idx="7">
                <c:v>5.72</c:v>
              </c:pt>
              <c:pt idx="8">
                <c:v>7.52</c:v>
              </c:pt>
              <c:pt idx="9">
                <c:v>7.52</c:v>
              </c:pt>
              <c:pt idx="10">
                <c:v>8.6</c:v>
              </c:pt>
              <c:pt idx="11">
                <c:v>8.6</c:v>
              </c:pt>
              <c:pt idx="12">
                <c:v>9.1199999999999992</c:v>
              </c:pt>
              <c:pt idx="13">
                <c:v>9.1199999999999992</c:v>
              </c:pt>
              <c:pt idx="14">
                <c:v>9.6</c:v>
              </c:pt>
              <c:pt idx="15">
                <c:v>9.6</c:v>
              </c:pt>
              <c:pt idx="16">
                <c:v>11.48</c:v>
              </c:pt>
              <c:pt idx="17">
                <c:v>11.48</c:v>
              </c:pt>
              <c:pt idx="18">
                <c:v>12.68</c:v>
              </c:pt>
              <c:pt idx="19">
                <c:v>12.68</c:v>
              </c:pt>
              <c:pt idx="20">
                <c:v>14.72</c:v>
              </c:pt>
              <c:pt idx="21">
                <c:v>14.72</c:v>
              </c:pt>
              <c:pt idx="22">
                <c:v>16.2</c:v>
              </c:pt>
              <c:pt idx="23">
                <c:v>16.2</c:v>
              </c:pt>
              <c:pt idx="24">
                <c:v>16.8</c:v>
              </c:pt>
              <c:pt idx="25">
                <c:v>16.8</c:v>
              </c:pt>
              <c:pt idx="26">
                <c:v>17.2</c:v>
              </c:pt>
              <c:pt idx="27">
                <c:v>17.2</c:v>
              </c:pt>
              <c:pt idx="28">
                <c:v>18.600000000000001</c:v>
              </c:pt>
              <c:pt idx="29">
                <c:v>18.600000000000001</c:v>
              </c:pt>
              <c:pt idx="30">
                <c:v>20.399999999999999</c:v>
              </c:pt>
              <c:pt idx="31">
                <c:v>20.399999999999999</c:v>
              </c:pt>
              <c:pt idx="32">
                <c:v>24.08</c:v>
              </c:pt>
              <c:pt idx="33">
                <c:v>24.08</c:v>
              </c:pt>
              <c:pt idx="34">
                <c:v>27.88</c:v>
              </c:pt>
              <c:pt idx="35">
                <c:v>27.88</c:v>
              </c:pt>
              <c:pt idx="36">
                <c:v>30.8</c:v>
              </c:pt>
              <c:pt idx="37">
                <c:v>30.8</c:v>
              </c:pt>
              <c:pt idx="38">
                <c:v>32</c:v>
              </c:pt>
              <c:pt idx="39">
                <c:v>32</c:v>
              </c:pt>
              <c:pt idx="40">
                <c:v>33.479999999999997</c:v>
              </c:pt>
              <c:pt idx="41">
                <c:v>33.479999999999997</c:v>
              </c:pt>
              <c:pt idx="42">
                <c:v>34.4</c:v>
              </c:pt>
              <c:pt idx="43">
                <c:v>34.4</c:v>
              </c:pt>
              <c:pt idx="44">
                <c:v>37.08</c:v>
              </c:pt>
              <c:pt idx="45">
                <c:v>37.08</c:v>
              </c:pt>
            </c:numLit>
          </c:xVal>
          <c:yVal>
            <c:numLit>
              <c:formatCode>General</c:formatCode>
              <c:ptCount val="4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177-420E-BDA2-FC2568D5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86031"/>
        <c:axId val="481190079"/>
      </c:scatterChart>
      <c:valAx>
        <c:axId val="55018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1190079"/>
        <c:crosses val="autoZero"/>
        <c:crossBetween val="midCat"/>
      </c:valAx>
      <c:valAx>
        <c:axId val="481190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18603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'3.40'!$A$61:$A$71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'3.40'!$B$61:$B$71</c:f>
              <c:numCache>
                <c:formatCode>General</c:formatCode>
                <c:ptCount val="11"/>
                <c:pt idx="0">
                  <c:v>0</c:v>
                </c:pt>
                <c:pt idx="1">
                  <c:v>3.1399999999999997</c:v>
                </c:pt>
                <c:pt idx="2">
                  <c:v>2.83</c:v>
                </c:pt>
                <c:pt idx="3">
                  <c:v>1</c:v>
                </c:pt>
                <c:pt idx="4">
                  <c:v>3</c:v>
                </c:pt>
                <c:pt idx="5">
                  <c:v>1.9</c:v>
                </c:pt>
                <c:pt idx="6">
                  <c:v>3.1399999999999997</c:v>
                </c:pt>
                <c:pt idx="7">
                  <c:v>2.4</c:v>
                </c:pt>
                <c:pt idx="8">
                  <c:v>1.38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8E-4B82-8AED-F7EBF10C4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'3.40'!$A$61:$A$71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'3.40'!$D$61:$D$71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1.83</c:v>
                </c:pt>
                <c:pt idx="3">
                  <c:v>1.33</c:v>
                </c:pt>
                <c:pt idx="4">
                  <c:v>2</c:v>
                </c:pt>
                <c:pt idx="5">
                  <c:v>3</c:v>
                </c:pt>
                <c:pt idx="6">
                  <c:v>3.38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8E-4F43-B8E9-3C4403604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'3.40'!$A$61:$A$71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'3.40'!$F$61:$F$71</c:f>
              <c:numCache>
                <c:formatCode>General</c:formatCode>
                <c:ptCount val="11"/>
                <c:pt idx="0">
                  <c:v>0</c:v>
                </c:pt>
                <c:pt idx="1">
                  <c:v>1.73</c:v>
                </c:pt>
                <c:pt idx="2">
                  <c:v>1.66</c:v>
                </c:pt>
                <c:pt idx="3">
                  <c:v>2</c:v>
                </c:pt>
                <c:pt idx="4">
                  <c:v>2.76</c:v>
                </c:pt>
                <c:pt idx="5">
                  <c:v>1</c:v>
                </c:pt>
                <c:pt idx="6">
                  <c:v>3.78</c:v>
                </c:pt>
                <c:pt idx="7">
                  <c:v>0.38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5-479B-9317-BCC9966AB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  <cx:data id="3">
      <cx:numDim type="val">
        <cx:f>_xlchart.v1.7</cx:f>
      </cx:numDim>
    </cx:data>
    <cx:data id="4">
      <cx:numDim type="val">
        <cx:f>_xlchart.v1.9</cx:f>
      </cx:numDim>
    </cx:data>
    <cx:data id="5">
      <cx:numDim type="val">
        <cx:f>_xlchart.v1.11</cx:f>
      </cx:numDim>
    </cx:data>
    <cx:data id="6">
      <cx:numDim type="val">
        <cx:f>_xlchart.v1.13</cx:f>
      </cx:numDim>
    </cx:data>
    <cx:data id="7">
      <cx:numDim type="val">
        <cx:f>_xlchart.v1.15</cx:f>
      </cx:numDim>
    </cx:data>
    <cx:data id="8">
      <cx:numDim type="val">
        <cx:f>_xlchart.v1.17</cx:f>
      </cx:numDim>
    </cx:data>
    <cx:data id="9">
      <cx:numDim type="val">
        <cx:f>_xlchart.v1.19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Time Headway Distribution Lane 1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84088210-7EA9-48F4-A222-0361BFC560CF}">
          <cx:tx>
            <cx:txData>
              <cx:f>_xlchart.v1.0</cx:f>
              <cx:v>Q1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3DD18C2-62F3-42BF-AA34-229FA06F1490}">
          <cx:tx>
            <cx:txData>
              <cx:f>_xlchart.v1.2</cx:f>
              <cx:v>Q2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E752C4E2-6481-4DF3-B4C2-57FC98AA4DDD}">
          <cx:tx>
            <cx:txData>
              <cx:f>_xlchart.v1.4</cx:f>
              <cx:v>Q3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1839BEA-8B96-402B-87B3-CB7ED5C287C8}">
          <cx:tx>
            <cx:txData>
              <cx:f>_xlchart.v1.6</cx:f>
              <cx:v>Q4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47F958AF-CE5F-47CE-A371-FE56074C2548}">
          <cx:tx>
            <cx:txData>
              <cx:f>_xlchart.v1.8</cx:f>
              <cx:v>Q5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5B60F80B-5E73-4C1C-AF87-E7DB1972B934}">
          <cx:tx>
            <cx:txData>
              <cx:f>_xlchart.v1.10</cx:f>
              <cx:v>Q6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8E3D09E6-1294-47B7-B8B5-9DE4B8397F2D}">
          <cx:tx>
            <cx:txData>
              <cx:f>_xlchart.v1.12</cx:f>
              <cx:v>Q7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27C67287-3834-4A8B-9909-1A395B930166}">
          <cx:tx>
            <cx:txData>
              <cx:f>_xlchart.v1.14</cx:f>
              <cx:v>Q8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CAD19900-0708-43FD-94E5-C9E869754A97}">
          <cx:tx>
            <cx:txData>
              <cx:f>_xlchart.v1.16</cx:f>
              <cx:v>Q9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EAA32DF0-9C6F-4BD0-A438-BE7FE70931EB}">
          <cx:tx>
            <cx:txData>
              <cx:f>_xlchart.v1.18</cx:f>
              <cx:v>Q10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9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_xlchart.v1.21</cx:f>
      </cx:numDim>
    </cx:data>
    <cx:data id="1">
      <cx:numDim type="val">
        <cx:f>_xlchart.v1.23</cx:f>
      </cx:numDim>
    </cx:data>
    <cx:data id="2">
      <cx:numDim type="val">
        <cx:f>_xlchart.v1.25</cx:f>
      </cx:numDim>
    </cx:data>
    <cx:data id="3">
      <cx:numDim type="val">
        <cx:f>_xlchart.v1.27</cx:f>
      </cx:numDim>
    </cx:data>
    <cx:data id="4">
      <cx:numDim type="val">
        <cx:f>_xlchart.v1.29</cx:f>
      </cx:numDim>
    </cx:data>
    <cx:data id="5">
      <cx:numDim type="val">
        <cx:f>_xlchart.v1.31</cx:f>
      </cx:numDim>
    </cx:data>
    <cx:data id="6">
      <cx:numDim type="val">
        <cx:f>_xlchart.v1.33</cx:f>
      </cx:numDim>
    </cx:data>
    <cx:data id="7">
      <cx:numDim type="val">
        <cx:f>_xlchart.v1.35</cx:f>
      </cx:numDim>
    </cx:data>
    <cx:data id="8">
      <cx:numDim type="val">
        <cx:f>_xlchart.v1.37</cx:f>
      </cx:numDim>
    </cx:data>
    <cx:data id="9">
      <cx:numDim type="val">
        <cx:f>_xlchart.v1.39</cx:f>
      </cx:numDim>
    </cx:data>
  </cx:chartData>
  <cx:chart>
    <cx:title pos="t" align="ctr" overlay="0">
      <cx:tx>
        <cx:txData>
          <cx:v>Time Headway Distribution Lane 2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Time Headway Distribution Lane 2</a:t>
          </a:r>
        </a:p>
      </cx:txPr>
    </cx:title>
    <cx:plotArea>
      <cx:plotAreaRegion>
        <cx:series layoutId="boxWhisker" uniqueId="{84088210-7EA9-48F4-A222-0361BFC560CF}">
          <cx:tx>
            <cx:txData>
              <cx:f>_xlchart.v1.20</cx:f>
              <cx:v>Q1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3DD18C2-62F3-42BF-AA34-229FA06F1490}">
          <cx:tx>
            <cx:txData>
              <cx:f>_xlchart.v1.22</cx:f>
              <cx:v>Q2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E752C4E2-6481-4DF3-B4C2-57FC98AA4DDD}">
          <cx:tx>
            <cx:txData>
              <cx:f>_xlchart.v1.24</cx:f>
              <cx:v>Q3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1839BEA-8B96-402B-87B3-CB7ED5C287C8}">
          <cx:tx>
            <cx:txData>
              <cx:f>_xlchart.v1.26</cx:f>
              <cx:v>Q4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47F958AF-CE5F-47CE-A371-FE56074C2548}">
          <cx:tx>
            <cx:txData>
              <cx:f>_xlchart.v1.28</cx:f>
              <cx:v>Q5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5B60F80B-5E73-4C1C-AF87-E7DB1972B934}">
          <cx:tx>
            <cx:txData>
              <cx:f>_xlchart.v1.30</cx:f>
              <cx:v>Q6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8E3D09E6-1294-47B7-B8B5-9DE4B8397F2D}">
          <cx:tx>
            <cx:txData>
              <cx:f>_xlchart.v1.32</cx:f>
              <cx:v>Q7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27C67287-3834-4A8B-9909-1A395B930166}">
          <cx:tx>
            <cx:txData>
              <cx:f>_xlchart.v1.34</cx:f>
              <cx:v>Q8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CAD19900-0708-43FD-94E5-C9E869754A97}">
          <cx:tx>
            <cx:txData>
              <cx:f>_xlchart.v1.36</cx:f>
              <cx:v>Q9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EAA32DF0-9C6F-4BD0-A438-BE7FE70931EB}">
          <cx:tx>
            <cx:txData>
              <cx:f>_xlchart.v1.38</cx:f>
              <cx:v>Q10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9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_xlchart.v1.41</cx:f>
      </cx:numDim>
    </cx:data>
    <cx:data id="1">
      <cx:numDim type="val">
        <cx:f>_xlchart.v1.45</cx:f>
      </cx:numDim>
    </cx:data>
    <cx:data id="2">
      <cx:numDim type="val">
        <cx:f>_xlchart.v1.49</cx:f>
      </cx:numDim>
    </cx:data>
    <cx:data id="3">
      <cx:numDim type="val">
        <cx:f>_xlchart.v1.53</cx:f>
      </cx:numDim>
    </cx:data>
    <cx:data id="4">
      <cx:numDim type="val">
        <cx:f>_xlchart.v1.57</cx:f>
      </cx:numDim>
    </cx:data>
    <cx:data id="5">
      <cx:numDim type="val">
        <cx:f>_xlchart.v1.61</cx:f>
      </cx:numDim>
    </cx:data>
    <cx:data id="6">
      <cx:numDim type="val">
        <cx:f>_xlchart.v1.65</cx:f>
      </cx:numDim>
    </cx:data>
    <cx:data id="7">
      <cx:numDim type="val">
        <cx:f>_xlchart.v1.69</cx:f>
      </cx:numDim>
    </cx:data>
    <cx:data id="8">
      <cx:numDim type="val">
        <cx:f>_xlchart.v1.73</cx:f>
      </cx:numDim>
    </cx:data>
    <cx:data id="9">
      <cx:numDim type="val">
        <cx:f>_xlchart.v1.77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Time Headway Distribution Lane 1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84088210-7EA9-48F4-A222-0361BFC560CF}">
          <cx:tx>
            <cx:txData>
              <cx:f>_xlchart.v1.42</cx:f>
              <cx:v>Q1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3DD18C2-62F3-42BF-AA34-229FA06F1490}">
          <cx:tx>
            <cx:txData>
              <cx:f>_xlchart.v1.46</cx:f>
              <cx:v>Q2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E752C4E2-6481-4DF3-B4C2-57FC98AA4DDD}">
          <cx:tx>
            <cx:txData>
              <cx:f>_xlchart.v1.50</cx:f>
              <cx:v>Q3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1839BEA-8B96-402B-87B3-CB7ED5C287C8}">
          <cx:tx>
            <cx:txData>
              <cx:f>_xlchart.v1.54</cx:f>
              <cx:v>Q4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47F958AF-CE5F-47CE-A371-FE56074C2548}">
          <cx:tx>
            <cx:txData>
              <cx:f>_xlchart.v1.58</cx:f>
              <cx:v>Q5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5B60F80B-5E73-4C1C-AF87-E7DB1972B934}">
          <cx:tx>
            <cx:txData>
              <cx:f>_xlchart.v1.62</cx:f>
              <cx:v>Q6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8E3D09E6-1294-47B7-B8B5-9DE4B8397F2D}">
          <cx:tx>
            <cx:txData>
              <cx:f>_xlchart.v1.66</cx:f>
              <cx:v>Q7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27C67287-3834-4A8B-9909-1A395B930166}">
          <cx:tx>
            <cx:txData>
              <cx:f>_xlchart.v1.70</cx:f>
              <cx:v>Q8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CAD19900-0708-43FD-94E5-C9E869754A97}">
          <cx:tx>
            <cx:txData>
              <cx:f>_xlchart.v1.74</cx:f>
              <cx:v>Q9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EAA32DF0-9C6F-4BD0-A438-BE7FE70931EB}">
          <cx:tx>
            <cx:txData>
              <cx:f>_xlchart.v1.78</cx:f>
              <cx:v>Q10</cx:v>
            </cx:txData>
          </cx:tx>
          <cx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25000"/>
                </a:schemeClr>
              </a:solidFill>
            </a:ln>
          </cx:spPr>
          <cx:dataId val="9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_xlchart.v1.100</cx:f>
      </cx:numDim>
    </cx:data>
  </cx:chartData>
  <cx:chart>
    <cx:title pos="t" align="ctr" overlay="0"/>
    <cx:plotArea>
      <cx:plotAreaRegion>
        <cx:series layoutId="clusteredColumn" uniqueId="{F48DB77A-8851-4A19-92B5-B6C82FE22EB6}">
          <cx:dataId val="0"/>
          <cx:layoutPr>
            <cx:binning intervalClosed="r">
              <cx:binSize val="5"/>
            </cx:binning>
          </cx:layoutPr>
        </cx:series>
      </cx:plotAreaRegion>
      <cx:axis id="0">
        <cx:catScaling gapWidth="0.360000014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85725</xdr:colOff>
      <xdr:row>13</xdr:row>
      <xdr:rowOff>128586</xdr:rowOff>
    </xdr:from>
    <xdr:to>
      <xdr:col>28</xdr:col>
      <xdr:colOff>352425</xdr:colOff>
      <xdr:row>33</xdr:row>
      <xdr:rowOff>38099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5BF251F-AA20-BFA5-443A-D5CEC6BE5D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48925" y="2605086"/>
              <a:ext cx="6972300" cy="37195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19050</xdr:colOff>
      <xdr:row>48</xdr:row>
      <xdr:rowOff>38100</xdr:rowOff>
    </xdr:from>
    <xdr:to>
      <xdr:col>30</xdr:col>
      <xdr:colOff>285750</xdr:colOff>
      <xdr:row>67</xdr:row>
      <xdr:rowOff>138113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1D635A6-7904-4A64-80D5-6FB628EE14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01450" y="9182100"/>
              <a:ext cx="6972300" cy="37195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109</xdr:row>
      <xdr:rowOff>0</xdr:rowOff>
    </xdr:from>
    <xdr:to>
      <xdr:col>28</xdr:col>
      <xdr:colOff>266700</xdr:colOff>
      <xdr:row>128</xdr:row>
      <xdr:rowOff>100013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A248094-BECC-45D3-94EE-A3C7E7FEE6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63200" y="20764500"/>
              <a:ext cx="6972300" cy="37195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604836</xdr:colOff>
      <xdr:row>1</xdr:row>
      <xdr:rowOff>161925</xdr:rowOff>
    </xdr:from>
    <xdr:to>
      <xdr:col>16</xdr:col>
      <xdr:colOff>238124</xdr:colOff>
      <xdr:row>18</xdr:row>
      <xdr:rowOff>161925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2542BFC-9C1F-CB8F-F03B-BE11A98509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53061" y="361950"/>
              <a:ext cx="6977063" cy="3914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542925</xdr:colOff>
      <xdr:row>24</xdr:row>
      <xdr:rowOff>128587</xdr:rowOff>
    </xdr:from>
    <xdr:to>
      <xdr:col>16</xdr:col>
      <xdr:colOff>438150</xdr:colOff>
      <xdr:row>39</xdr:row>
      <xdr:rowOff>14287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408B51-74C0-71CD-505A-07D4DC409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157162</xdr:colOff>
      <xdr:row>95</xdr:row>
      <xdr:rowOff>28575</xdr:rowOff>
    </xdr:from>
    <xdr:to>
      <xdr:col>19</xdr:col>
      <xdr:colOff>252412</xdr:colOff>
      <xdr:row>109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18787F-7720-47E9-CB55-6DC40DC021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0</xdr:row>
      <xdr:rowOff>190500</xdr:rowOff>
    </xdr:from>
    <xdr:to>
      <xdr:col>20</xdr:col>
      <xdr:colOff>438150</xdr:colOff>
      <xdr:row>25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AFBF0D-FC59-651F-0C70-DFF4D5042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38</xdr:row>
      <xdr:rowOff>188767</xdr:rowOff>
    </xdr:from>
    <xdr:to>
      <xdr:col>10</xdr:col>
      <xdr:colOff>412172</xdr:colOff>
      <xdr:row>54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1B470F-F6D4-22C4-CB20-9516CDD4D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495300</xdr:colOff>
      <xdr:row>39</xdr:row>
      <xdr:rowOff>9525</xdr:rowOff>
    </xdr:from>
    <xdr:to>
      <xdr:col>13</xdr:col>
      <xdr:colOff>374072</xdr:colOff>
      <xdr:row>55</xdr:row>
      <xdr:rowOff>1732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440DC7-F5E4-4CCA-85F3-1874CB068F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438150</xdr:colOff>
      <xdr:row>39</xdr:row>
      <xdr:rowOff>0</xdr:rowOff>
    </xdr:from>
    <xdr:to>
      <xdr:col>18</xdr:col>
      <xdr:colOff>374072</xdr:colOff>
      <xdr:row>54</xdr:row>
      <xdr:rowOff>182707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2682DA-A41C-4C5D-97EB-B8E03605C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52</xdr:row>
      <xdr:rowOff>133350</xdr:rowOff>
    </xdr:from>
    <xdr:to>
      <xdr:col>10</xdr:col>
      <xdr:colOff>752475</xdr:colOff>
      <xdr:row>67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411CC3-EDA7-4F24-85B5-0E2E5005E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149225</xdr:colOff>
      <xdr:row>39</xdr:row>
      <xdr:rowOff>180975</xdr:rowOff>
    </xdr:from>
    <xdr:to>
      <xdr:col>21</xdr:col>
      <xdr:colOff>25400</xdr:colOff>
      <xdr:row>59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9DF0CE-204A-1FEC-24D8-E61FDDCE9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273050</xdr:colOff>
      <xdr:row>27</xdr:row>
      <xdr:rowOff>57150</xdr:rowOff>
    </xdr:from>
    <xdr:to>
      <xdr:col>13</xdr:col>
      <xdr:colOff>396875</xdr:colOff>
      <xdr:row>47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D20673-6575-BC15-38B5-A2A5E22B9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285750</xdr:colOff>
      <xdr:row>67</xdr:row>
      <xdr:rowOff>38100</xdr:rowOff>
    </xdr:from>
    <xdr:to>
      <xdr:col>10</xdr:col>
      <xdr:colOff>752475</xdr:colOff>
      <xdr:row>81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2CA3D44-4F95-456A-8F20-BA33D4A830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285750</xdr:colOff>
      <xdr:row>81</xdr:row>
      <xdr:rowOff>133350</xdr:rowOff>
    </xdr:from>
    <xdr:to>
      <xdr:col>10</xdr:col>
      <xdr:colOff>752475</xdr:colOff>
      <xdr:row>96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A887B7-0A4F-4148-B58E-7A6365A66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104775</xdr:rowOff>
    </xdr:from>
    <xdr:to>
      <xdr:col>7</xdr:col>
      <xdr:colOff>247650</xdr:colOff>
      <xdr:row>63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B5E52B-CBEE-0687-018F-76726A10CD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463550</xdr:colOff>
      <xdr:row>31</xdr:row>
      <xdr:rowOff>114300</xdr:rowOff>
    </xdr:from>
    <xdr:to>
      <xdr:col>13</xdr:col>
      <xdr:colOff>587375</xdr:colOff>
      <xdr:row>51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FF6BD6-A2DD-DADA-756C-FECC34F73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25400</xdr:colOff>
      <xdr:row>32</xdr:row>
      <xdr:rowOff>104775</xdr:rowOff>
    </xdr:from>
    <xdr:to>
      <xdr:col>20</xdr:col>
      <xdr:colOff>511175</xdr:colOff>
      <xdr:row>52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D7B23B-2425-B677-67F8-0C4904C841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409574</xdr:colOff>
      <xdr:row>59</xdr:row>
      <xdr:rowOff>33337</xdr:rowOff>
    </xdr:from>
    <xdr:to>
      <xdr:col>11</xdr:col>
      <xdr:colOff>895350</xdr:colOff>
      <xdr:row>70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637261-C8E5-319D-3A0B-8598AA349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59</xdr:row>
      <xdr:rowOff>38100</xdr:rowOff>
    </xdr:from>
    <xdr:to>
      <xdr:col>17</xdr:col>
      <xdr:colOff>571500</xdr:colOff>
      <xdr:row>69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EE09CA-E0BB-43DB-87D9-8C998B00E1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628651</xdr:colOff>
      <xdr:row>59</xdr:row>
      <xdr:rowOff>38100</xdr:rowOff>
    </xdr:from>
    <xdr:to>
      <xdr:col>22</xdr:col>
      <xdr:colOff>457200</xdr:colOff>
      <xdr:row>70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BBFEE9-BB6A-42D4-B1FD-70F71DCBC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40</xdr:row>
      <xdr:rowOff>95250</xdr:rowOff>
    </xdr:from>
    <xdr:to>
      <xdr:col>7</xdr:col>
      <xdr:colOff>107950</xdr:colOff>
      <xdr:row>60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57F9D4-BC89-2E40-5D7B-5D249CA14C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196850</xdr:colOff>
      <xdr:row>36</xdr:row>
      <xdr:rowOff>57150</xdr:rowOff>
    </xdr:from>
    <xdr:to>
      <xdr:col>14</xdr:col>
      <xdr:colOff>320675</xdr:colOff>
      <xdr:row>56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DF949B-1D1B-84C8-4380-77A5F5A9F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158750</xdr:colOff>
      <xdr:row>35</xdr:row>
      <xdr:rowOff>95250</xdr:rowOff>
    </xdr:from>
    <xdr:to>
      <xdr:col>21</xdr:col>
      <xdr:colOff>34925</xdr:colOff>
      <xdr:row>55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A2E7417-B535-C82C-7771-F29791EA13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59</xdr:row>
      <xdr:rowOff>0</xdr:rowOff>
    </xdr:from>
    <xdr:to>
      <xdr:col>12</xdr:col>
      <xdr:colOff>161926</xdr:colOff>
      <xdr:row>70</xdr:row>
      <xdr:rowOff>61913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789261-683B-4878-A86B-C4871AC70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59</xdr:row>
      <xdr:rowOff>9525</xdr:rowOff>
    </xdr:from>
    <xdr:to>
      <xdr:col>17</xdr:col>
      <xdr:colOff>762001</xdr:colOff>
      <xdr:row>70</xdr:row>
      <xdr:rowOff>71438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917672F-FC80-47DF-9C83-225204F07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828675</xdr:colOff>
      <xdr:row>59</xdr:row>
      <xdr:rowOff>9525</xdr:rowOff>
    </xdr:from>
    <xdr:to>
      <xdr:col>22</xdr:col>
      <xdr:colOff>571501</xdr:colOff>
      <xdr:row>70</xdr:row>
      <xdr:rowOff>71438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D1BDA98-5CEF-4454-9CA3-1FFEB17F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D92E-CF7A-4385-977C-F41BCB584E4E}">
  <dimension ref="A1:AA136"/>
  <sheetViews>
    <sheetView tabSelected="1" topLeftCell="A100" workbookViewId="0">
      <selection activeCell="C117" sqref="C117:L117"/>
    </sheetView>
  </sheetViews>
  <sheetFormatPr defaultRowHeight="15" x14ac:dyDescent="0.25"/>
  <cols>
    <col min="3" max="12" width="9.140625" style="15"/>
  </cols>
  <sheetData>
    <row r="1" spans="3:25" x14ac:dyDescent="0.25">
      <c r="C1" s="37" t="s">
        <v>140</v>
      </c>
      <c r="D1" s="37" t="s">
        <v>141</v>
      </c>
      <c r="E1" s="37" t="s">
        <v>142</v>
      </c>
      <c r="F1" s="37" t="s">
        <v>143</v>
      </c>
      <c r="G1" s="37" t="s">
        <v>144</v>
      </c>
      <c r="H1" s="37" t="s">
        <v>145</v>
      </c>
      <c r="I1" s="37" t="s">
        <v>146</v>
      </c>
      <c r="J1" s="37" t="s">
        <v>147</v>
      </c>
      <c r="K1" s="37" t="s">
        <v>148</v>
      </c>
      <c r="L1" s="37" t="s">
        <v>149</v>
      </c>
      <c r="M1" s="37" t="s">
        <v>150</v>
      </c>
      <c r="N1" s="37" t="s">
        <v>151</v>
      </c>
      <c r="O1" s="37" t="s">
        <v>152</v>
      </c>
      <c r="P1" s="37" t="s">
        <v>153</v>
      </c>
      <c r="Q1" s="37" t="s">
        <v>154</v>
      </c>
      <c r="R1" s="37" t="s">
        <v>155</v>
      </c>
      <c r="S1" s="37" t="s">
        <v>156</v>
      </c>
      <c r="T1" s="37"/>
      <c r="U1" s="37"/>
      <c r="V1" s="37"/>
      <c r="W1" s="37"/>
      <c r="X1" s="37"/>
      <c r="Y1" s="37"/>
    </row>
    <row r="2" spans="3:25" x14ac:dyDescent="0.25">
      <c r="C2" s="37" cm="1">
        <f t="array" ref="C2:C13">_xlfn.VSTACK('8.15:5.21'!E14)</f>
        <v>2.2400000000000002</v>
      </c>
      <c r="D2" s="37" cm="1">
        <f t="array" ref="D2:D13">_xlfn.VSTACK('8.15:5.21'!E15)</f>
        <v>0</v>
      </c>
      <c r="E2" s="37" cm="1">
        <f t="array" ref="E2:E13">_xlfn.VSTACK('8.15:5.21'!E16)</f>
        <v>2.5999999999999996</v>
      </c>
      <c r="F2" s="37" cm="1">
        <f t="array" ref="F2:F13">_xlfn.VSTACK('8.15:5.21'!E17)</f>
        <v>1.96</v>
      </c>
      <c r="G2" s="37" cm="1">
        <f t="array" ref="G2:G13">_xlfn.VSTACK('8.15:5.21'!E18)</f>
        <v>2.2000000000000011</v>
      </c>
      <c r="H2" s="37" cm="1">
        <f t="array" ref="H2:H13">_xlfn.VSTACK('8.15:5.21'!E19)</f>
        <v>2.1999999999999993</v>
      </c>
      <c r="I2" s="37" cm="1">
        <f t="array" ref="I2:I13">_xlfn.VSTACK('8.15:5.21'!E20)</f>
        <v>1.4000000000000004</v>
      </c>
      <c r="J2" s="37" cm="1">
        <f t="array" ref="J2:J13">_xlfn.VSTACK('8.15:5.21'!E21)</f>
        <v>0</v>
      </c>
      <c r="K2" s="37" cm="1">
        <f t="array" ref="K2:K13">_xlfn.VSTACK('8.15:5.21'!E22)</f>
        <v>2.84</v>
      </c>
      <c r="L2" s="37" cm="1">
        <f t="array" ref="L2:L13">_xlfn.VSTACK('8.15:5.21'!E23)</f>
        <v>2.9600000000000009</v>
      </c>
      <c r="M2" s="37" cm="1">
        <f t="array" ref="M2:M13">_xlfn.VSTACK('8.15:5.21'!E24)</f>
        <v>0</v>
      </c>
      <c r="N2" s="37" cm="1">
        <f t="array" ref="N2:N13">_xlfn.VSTACK('8.15:5.21'!E25)</f>
        <v>2.4399999999999977</v>
      </c>
      <c r="O2" s="37" cm="1">
        <f t="array" ref="O2:O13">_xlfn.VSTACK('8.15:5.21'!E26)</f>
        <v>0</v>
      </c>
      <c r="P2" s="37" cm="1">
        <f t="array" ref="P2:P13">_xlfn.VSTACK('8.15:5.21'!E27)</f>
        <v>2.4000000000000021</v>
      </c>
      <c r="Q2" s="37" cm="1">
        <f t="array" ref="Q2:Q13">_xlfn.VSTACK('8.15:5.21'!E28)</f>
        <v>0</v>
      </c>
      <c r="R2" s="37" cm="1">
        <f t="array" ref="R2:R13">_xlfn.VSTACK('8.15:5.21'!E29)</f>
        <v>0.55999999999999872</v>
      </c>
      <c r="S2" s="37" cm="1">
        <f t="array" ref="S2:S13">_xlfn.VSTACK('8.15:5.21'!E30)</f>
        <v>2.2399999999999984</v>
      </c>
      <c r="T2" s="37"/>
      <c r="U2" s="37"/>
      <c r="V2" s="37"/>
      <c r="W2" s="37"/>
      <c r="X2" s="37"/>
      <c r="Y2" s="37"/>
    </row>
    <row r="3" spans="3:25" x14ac:dyDescent="0.25">
      <c r="C3" s="37">
        <v>1.4</v>
      </c>
      <c r="D3" s="37">
        <v>3.0000000000000004</v>
      </c>
      <c r="E3" s="37">
        <v>0</v>
      </c>
      <c r="F3" s="37">
        <v>1.879999999999999</v>
      </c>
      <c r="G3" s="37">
        <v>0</v>
      </c>
      <c r="H3" s="37">
        <v>1.4800000000000004</v>
      </c>
      <c r="I3" s="37">
        <v>0</v>
      </c>
      <c r="J3" s="37">
        <v>2</v>
      </c>
      <c r="K3" s="37">
        <v>3.120000000000001</v>
      </c>
      <c r="L3" s="37">
        <v>1.8000000000000007</v>
      </c>
      <c r="M3" s="37">
        <v>1.1999999999999993</v>
      </c>
      <c r="N3" s="37">
        <v>2.4800000000000004</v>
      </c>
      <c r="O3" s="37">
        <v>3.5999999999999979</v>
      </c>
      <c r="P3" s="37">
        <v>1.9200000000000017</v>
      </c>
      <c r="Q3" s="37">
        <v>2</v>
      </c>
      <c r="R3" s="37">
        <v>0</v>
      </c>
      <c r="S3" s="37">
        <v>2.5199999999999996</v>
      </c>
      <c r="T3" s="37"/>
      <c r="U3" s="37"/>
      <c r="V3" s="37"/>
      <c r="W3" s="37"/>
      <c r="X3" s="37"/>
      <c r="Y3" s="37"/>
    </row>
    <row r="4" spans="3:25" x14ac:dyDescent="0.25">
      <c r="C4" s="37">
        <v>1.3999999999999995</v>
      </c>
      <c r="D4" s="37">
        <v>4</v>
      </c>
      <c r="E4" s="37">
        <v>1</v>
      </c>
      <c r="F4" s="37">
        <v>1.0400000000000009</v>
      </c>
      <c r="G4" s="37">
        <v>1.5999999999999979</v>
      </c>
      <c r="H4" s="37">
        <v>0</v>
      </c>
      <c r="I4" s="37">
        <v>2.6800000000000033</v>
      </c>
      <c r="J4" s="37">
        <v>1.5199999999999996</v>
      </c>
      <c r="K4" s="37">
        <v>1.5599999999999987</v>
      </c>
      <c r="L4" s="37">
        <v>0</v>
      </c>
      <c r="M4" s="37">
        <v>2.120000000000001</v>
      </c>
      <c r="N4" s="37">
        <v>1.4800000000000004</v>
      </c>
      <c r="O4" s="37">
        <v>1.639999999999997</v>
      </c>
      <c r="P4" s="37">
        <v>1.9600000000000009</v>
      </c>
      <c r="Q4" s="37">
        <v>1.3200000000000003</v>
      </c>
      <c r="R4" s="37">
        <v>0</v>
      </c>
      <c r="S4" s="37">
        <v>0</v>
      </c>
      <c r="T4" s="37"/>
      <c r="U4" s="37"/>
      <c r="V4" s="37"/>
      <c r="W4" s="37"/>
      <c r="X4" s="37"/>
      <c r="Y4" s="37"/>
    </row>
    <row r="5" spans="3:25" x14ac:dyDescent="0.25">
      <c r="C5" s="37">
        <v>2.12</v>
      </c>
      <c r="D5" s="37">
        <v>0.75999999999999979</v>
      </c>
      <c r="E5" s="37">
        <v>3.1199999999999992</v>
      </c>
      <c r="F5" s="37">
        <v>2.6000000000000014</v>
      </c>
      <c r="G5" s="37">
        <v>1.7199999999999989</v>
      </c>
      <c r="H5" s="37">
        <v>1.6799999999999997</v>
      </c>
      <c r="I5" s="37">
        <v>1.879999999999999</v>
      </c>
      <c r="J5" s="37">
        <v>2.3200000000000003</v>
      </c>
      <c r="K5" s="37">
        <v>2.2800000000000011</v>
      </c>
      <c r="L5" s="37">
        <v>1.120000000000001</v>
      </c>
      <c r="M5" s="37">
        <v>1.1999999999999993</v>
      </c>
      <c r="N5" s="37">
        <v>1.879999999999999</v>
      </c>
      <c r="O5" s="37">
        <v>0</v>
      </c>
      <c r="P5" s="37">
        <v>1.4400000000000013</v>
      </c>
      <c r="Q5" s="37">
        <v>0</v>
      </c>
      <c r="R5" s="37">
        <v>2</v>
      </c>
      <c r="S5" s="37">
        <v>0</v>
      </c>
      <c r="T5" s="37"/>
      <c r="U5" s="37"/>
      <c r="V5" s="37"/>
      <c r="W5" s="37"/>
      <c r="X5" s="37"/>
      <c r="Y5" s="37"/>
    </row>
    <row r="6" spans="3:25" x14ac:dyDescent="0.25">
      <c r="C6" s="37">
        <v>2.4799999999999995</v>
      </c>
      <c r="D6" s="37">
        <v>1.3999999999999995</v>
      </c>
      <c r="E6" s="37">
        <v>1.2000000000000011</v>
      </c>
      <c r="F6" s="37">
        <v>2</v>
      </c>
      <c r="G6" s="37">
        <v>1.7199999999999989</v>
      </c>
      <c r="H6" s="37">
        <v>2.3600000000000012</v>
      </c>
      <c r="I6" s="37">
        <v>1.7999999999999989</v>
      </c>
      <c r="J6" s="37">
        <v>1.4000000000000021</v>
      </c>
      <c r="K6" s="37">
        <v>0</v>
      </c>
      <c r="L6" s="37">
        <v>2.3200000000000003</v>
      </c>
      <c r="M6" s="37">
        <v>0</v>
      </c>
      <c r="N6" s="37">
        <v>1.879999999999999</v>
      </c>
      <c r="O6" s="37">
        <v>2.120000000000001</v>
      </c>
      <c r="P6" s="37">
        <v>1.4799999999999969</v>
      </c>
      <c r="Q6" s="37">
        <v>1.7200000000000024</v>
      </c>
      <c r="R6" s="37">
        <v>1.3999999999999986</v>
      </c>
      <c r="S6" s="37">
        <v>0</v>
      </c>
      <c r="T6" s="37"/>
      <c r="U6" s="37"/>
      <c r="V6" s="37"/>
      <c r="W6" s="37"/>
      <c r="X6" s="37"/>
      <c r="Y6" s="37"/>
    </row>
    <row r="7" spans="3:25" x14ac:dyDescent="0.25">
      <c r="C7" s="37">
        <v>1.3199999999999998</v>
      </c>
      <c r="D7" s="37">
        <v>0.88000000000000012</v>
      </c>
      <c r="E7" s="37">
        <v>0</v>
      </c>
      <c r="F7" s="37">
        <v>1.8400000000000003</v>
      </c>
      <c r="G7" s="37">
        <v>0</v>
      </c>
      <c r="H7" s="37">
        <v>3.5599999999999996</v>
      </c>
      <c r="I7" s="37">
        <v>2.0399999999999991</v>
      </c>
      <c r="J7" s="37">
        <v>1.8800000000000008</v>
      </c>
      <c r="K7" s="37">
        <v>3.4800000000000004</v>
      </c>
      <c r="L7" s="37">
        <v>0.91999999999999993</v>
      </c>
      <c r="M7" s="37">
        <v>0.87999999999999901</v>
      </c>
      <c r="N7" s="37">
        <v>2.6400000000000006</v>
      </c>
      <c r="O7" s="37">
        <v>1.3599999999999994</v>
      </c>
      <c r="P7" s="37">
        <v>0</v>
      </c>
      <c r="Q7" s="37">
        <v>3.1999999999999993</v>
      </c>
      <c r="R7" s="37">
        <v>3</v>
      </c>
      <c r="S7" s="37">
        <v>3.84</v>
      </c>
      <c r="T7" s="37"/>
      <c r="U7" s="37"/>
      <c r="V7" s="37"/>
      <c r="W7" s="37"/>
      <c r="X7" s="37"/>
      <c r="Y7" s="37"/>
    </row>
    <row r="8" spans="3:25" x14ac:dyDescent="0.25">
      <c r="C8" s="37">
        <v>2.3199999999999994</v>
      </c>
      <c r="D8" s="37">
        <v>0</v>
      </c>
      <c r="E8" s="37">
        <v>2.5599999999999996</v>
      </c>
      <c r="F8" s="37">
        <v>1</v>
      </c>
      <c r="G8" s="37">
        <v>3.8000000000000007</v>
      </c>
      <c r="H8" s="37">
        <v>0.91999999999999993</v>
      </c>
      <c r="I8" s="37">
        <v>0</v>
      </c>
      <c r="J8" s="37">
        <v>2.5999999999999996</v>
      </c>
      <c r="K8" s="37">
        <v>1.9200000000000017</v>
      </c>
      <c r="L8" s="37">
        <v>1.3999999999999986</v>
      </c>
      <c r="M8" s="37">
        <v>0</v>
      </c>
      <c r="N8" s="37">
        <v>1.6799999999999997</v>
      </c>
      <c r="O8" s="37">
        <v>0</v>
      </c>
      <c r="P8" s="37">
        <v>2</v>
      </c>
      <c r="Q8" s="37">
        <v>0</v>
      </c>
      <c r="R8" s="37">
        <v>1.6799999999999997</v>
      </c>
      <c r="S8" s="37">
        <v>1.240000000000002</v>
      </c>
      <c r="T8" s="37"/>
      <c r="U8" s="37"/>
      <c r="V8" s="37"/>
      <c r="W8" s="37"/>
      <c r="X8" s="37"/>
      <c r="Y8" s="37"/>
    </row>
    <row r="9" spans="3:25" x14ac:dyDescent="0.25">
      <c r="C9" s="37">
        <v>2.8</v>
      </c>
      <c r="D9" s="37">
        <v>3.12</v>
      </c>
      <c r="E9" s="37">
        <v>1.4800000000000004</v>
      </c>
      <c r="F9" s="37">
        <v>1.879999999999999</v>
      </c>
      <c r="G9" s="37">
        <v>0.72000000000000064</v>
      </c>
      <c r="H9" s="37">
        <v>1</v>
      </c>
      <c r="I9" s="37">
        <v>0.72000000000000064</v>
      </c>
      <c r="J9" s="37">
        <v>0</v>
      </c>
      <c r="K9" s="37">
        <v>1.7599999999999998</v>
      </c>
      <c r="L9" s="37">
        <v>0.59999999999999964</v>
      </c>
      <c r="M9" s="37">
        <v>2.2000000000000011</v>
      </c>
      <c r="N9" s="37">
        <v>1.5999999999999979</v>
      </c>
      <c r="O9" s="37">
        <v>1.8000000000000007</v>
      </c>
      <c r="P9" s="37">
        <v>2.6000000000000014</v>
      </c>
      <c r="Q9" s="37">
        <v>1.3999999999999986</v>
      </c>
      <c r="R9" s="37">
        <v>1.6400000000000006</v>
      </c>
      <c r="S9" s="37">
        <v>1.1600000000000001</v>
      </c>
      <c r="T9" s="37"/>
      <c r="U9" s="37"/>
      <c r="V9" s="37"/>
      <c r="W9" s="37"/>
      <c r="X9" s="37"/>
      <c r="Y9" s="37"/>
    </row>
    <row r="10" spans="3:25" x14ac:dyDescent="0.25">
      <c r="C10" s="37">
        <v>0.88</v>
      </c>
      <c r="D10" s="37">
        <v>1.32</v>
      </c>
      <c r="E10" s="37">
        <v>1</v>
      </c>
      <c r="F10" s="37">
        <v>0</v>
      </c>
      <c r="G10" s="37">
        <v>1.4799999999999995</v>
      </c>
      <c r="H10" s="37">
        <v>1.7200000000000006</v>
      </c>
      <c r="I10" s="37">
        <v>0.75999999999999979</v>
      </c>
      <c r="J10" s="37">
        <v>1.5199999999999996</v>
      </c>
      <c r="K10" s="37">
        <v>3.7200000000000006</v>
      </c>
      <c r="L10" s="37">
        <v>1.7599999999999998</v>
      </c>
      <c r="M10" s="37">
        <v>2.3199999999999985</v>
      </c>
      <c r="N10" s="37">
        <v>1.4000000000000021</v>
      </c>
      <c r="O10" s="37">
        <v>1.8000000000000007</v>
      </c>
      <c r="P10" s="37">
        <v>0</v>
      </c>
      <c r="Q10" s="37">
        <v>1.3999999999999986</v>
      </c>
      <c r="R10" s="37">
        <v>3.3200000000000003</v>
      </c>
      <c r="S10" s="37">
        <v>2.16</v>
      </c>
      <c r="T10" s="37"/>
      <c r="U10" s="37"/>
      <c r="V10" s="37"/>
      <c r="W10" s="37"/>
      <c r="X10" s="37"/>
      <c r="Y10" s="37"/>
    </row>
    <row r="11" spans="3:25" x14ac:dyDescent="0.25">
      <c r="C11" s="37">
        <v>0</v>
      </c>
      <c r="D11" s="37">
        <v>2.120000000000001</v>
      </c>
      <c r="E11" s="37">
        <v>0</v>
      </c>
      <c r="F11" s="37">
        <v>1.7199999999999989</v>
      </c>
      <c r="G11" s="37">
        <v>1.2800000000000011</v>
      </c>
      <c r="H11" s="37">
        <v>1.5199999999999996</v>
      </c>
      <c r="I11" s="37">
        <v>4.16</v>
      </c>
      <c r="J11" s="37">
        <v>0</v>
      </c>
      <c r="K11" s="37">
        <v>0.39999999999999858</v>
      </c>
      <c r="L11" s="37">
        <v>0</v>
      </c>
      <c r="M11" s="37">
        <v>1.879999999999999</v>
      </c>
      <c r="N11" s="37">
        <v>0</v>
      </c>
      <c r="O11" s="37">
        <v>1.8399999999999999</v>
      </c>
      <c r="P11" s="37">
        <v>0</v>
      </c>
      <c r="Q11" s="37">
        <v>2.6799999999999997</v>
      </c>
      <c r="R11" s="37">
        <v>0</v>
      </c>
      <c r="S11" s="37">
        <v>1.5200000000000031</v>
      </c>
      <c r="T11" s="37"/>
      <c r="U11" s="37"/>
      <c r="V11" s="37"/>
      <c r="W11" s="37"/>
      <c r="X11" s="37"/>
      <c r="Y11" s="37"/>
    </row>
    <row r="12" spans="3:25" x14ac:dyDescent="0.25">
      <c r="C12" s="37">
        <v>0.60000000000000053</v>
      </c>
      <c r="D12" s="37">
        <v>2.3199999999999994</v>
      </c>
      <c r="E12" s="37">
        <v>1</v>
      </c>
      <c r="F12" s="37">
        <v>2.0000000000000009</v>
      </c>
      <c r="G12" s="37">
        <v>1.3599999999999994</v>
      </c>
      <c r="H12" s="37">
        <v>1.4000000000000004</v>
      </c>
      <c r="I12" s="37">
        <v>1.6399999999999988</v>
      </c>
      <c r="J12" s="37">
        <v>0</v>
      </c>
      <c r="K12" s="37">
        <v>1.9599999999999991</v>
      </c>
      <c r="L12" s="37">
        <v>0</v>
      </c>
      <c r="M12" s="37">
        <v>1.8400000000000034</v>
      </c>
      <c r="N12" s="37">
        <v>1.759999999999998</v>
      </c>
      <c r="O12" s="37">
        <v>0</v>
      </c>
      <c r="P12" s="37">
        <v>1</v>
      </c>
      <c r="Q12" s="37">
        <v>0</v>
      </c>
      <c r="R12" s="37">
        <v>0.92000000000000171</v>
      </c>
      <c r="S12" s="37">
        <v>0</v>
      </c>
      <c r="T12" s="37"/>
      <c r="U12" s="37"/>
      <c r="V12" s="37"/>
      <c r="W12" s="37"/>
      <c r="X12" s="37"/>
      <c r="Y12" s="37"/>
    </row>
    <row r="13" spans="3:25" x14ac:dyDescent="0.25">
      <c r="C13" s="37">
        <v>1.4</v>
      </c>
      <c r="D13" s="37">
        <v>0.80000000000000027</v>
      </c>
      <c r="E13" s="37">
        <v>0.87999999999999989</v>
      </c>
      <c r="F13" s="37">
        <v>1</v>
      </c>
      <c r="G13" s="37">
        <v>2.12</v>
      </c>
      <c r="H13" s="37">
        <v>1.5999999999999996</v>
      </c>
      <c r="I13" s="37">
        <v>1.08</v>
      </c>
      <c r="J13" s="37">
        <v>1.1199999999999992</v>
      </c>
      <c r="K13" s="37">
        <v>0</v>
      </c>
      <c r="L13" s="37">
        <v>2.6800000000000015</v>
      </c>
      <c r="M13" s="37">
        <v>2.0799999999999983</v>
      </c>
      <c r="N13" s="37">
        <v>3</v>
      </c>
      <c r="O13" s="37">
        <v>2.5199999999999996</v>
      </c>
      <c r="P13" s="37">
        <v>1.4800000000000004</v>
      </c>
      <c r="Q13" s="37">
        <v>1.9200000000000017</v>
      </c>
      <c r="R13" s="37">
        <v>2.120000000000001</v>
      </c>
      <c r="S13" s="37">
        <v>0</v>
      </c>
      <c r="T13" s="37"/>
      <c r="U13" s="37"/>
      <c r="V13" s="37"/>
      <c r="W13" s="37"/>
      <c r="X13" s="37"/>
      <c r="Y13" s="37"/>
    </row>
    <row r="14" spans="3:25" x14ac:dyDescent="0.25"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</row>
    <row r="15" spans="3:25" x14ac:dyDescent="0.25">
      <c r="C15" s="37"/>
      <c r="D15" s="37"/>
      <c r="E15" s="37"/>
      <c r="F15" s="37"/>
      <c r="G15" s="37"/>
      <c r="H15" s="37"/>
      <c r="I15" s="37"/>
      <c r="J15" s="37"/>
      <c r="K15" s="37"/>
      <c r="L15" s="37"/>
    </row>
    <row r="17" spans="3:18" x14ac:dyDescent="0.25">
      <c r="C17" s="149" t="s">
        <v>140</v>
      </c>
      <c r="D17" s="149" t="s">
        <v>141</v>
      </c>
      <c r="E17" s="149" t="s">
        <v>142</v>
      </c>
      <c r="F17" s="149" t="s">
        <v>143</v>
      </c>
      <c r="G17" s="149" t="s">
        <v>144</v>
      </c>
      <c r="H17" s="149" t="s">
        <v>145</v>
      </c>
      <c r="I17" s="149" t="s">
        <v>146</v>
      </c>
      <c r="J17" s="149" t="s">
        <v>147</v>
      </c>
      <c r="K17" s="149" t="s">
        <v>148</v>
      </c>
      <c r="L17" s="149" t="s">
        <v>149</v>
      </c>
      <c r="M17" s="37" t="s">
        <v>150</v>
      </c>
      <c r="N17" s="37" t="s">
        <v>151</v>
      </c>
      <c r="O17" s="37" t="s">
        <v>152</v>
      </c>
      <c r="P17" s="37" t="s">
        <v>153</v>
      </c>
      <c r="Q17" s="37" t="s">
        <v>154</v>
      </c>
      <c r="R17" s="37" t="s">
        <v>155</v>
      </c>
    </row>
    <row r="18" spans="3:18" x14ac:dyDescent="0.25">
      <c r="C18" s="149">
        <v>2.2400000000000002</v>
      </c>
      <c r="D18" s="149">
        <v>2.5999999999999996</v>
      </c>
      <c r="E18" s="149">
        <v>1.96</v>
      </c>
      <c r="F18" s="149">
        <v>2.2000000000000011</v>
      </c>
      <c r="G18" s="149">
        <v>2.1999999999999993</v>
      </c>
      <c r="H18" s="149">
        <v>1.4000000000000004</v>
      </c>
      <c r="I18" s="149">
        <v>2.84</v>
      </c>
      <c r="J18" s="149">
        <v>2.9600000000000009</v>
      </c>
      <c r="K18" s="149">
        <v>2.4399999999999977</v>
      </c>
      <c r="L18" s="149">
        <v>2.4000000000000021</v>
      </c>
      <c r="M18" s="37">
        <v>0.55999999999999872</v>
      </c>
      <c r="O18" s="37"/>
      <c r="Q18" s="37"/>
    </row>
    <row r="19" spans="3:18" x14ac:dyDescent="0.25">
      <c r="C19" s="149">
        <v>0.99999999999999956</v>
      </c>
      <c r="D19" s="149">
        <v>3.4800000000000004</v>
      </c>
      <c r="E19" s="149">
        <v>2.1199999999999992</v>
      </c>
      <c r="F19" s="149">
        <v>1.2000000000000011</v>
      </c>
      <c r="G19" s="149">
        <v>1.5999999999999996</v>
      </c>
      <c r="H19" s="149">
        <v>1.7599999999999998</v>
      </c>
      <c r="I19" s="149">
        <v>2.8000000000000007</v>
      </c>
      <c r="J19" s="149">
        <v>2.72</v>
      </c>
      <c r="K19" s="149">
        <v>3.3200000000000003</v>
      </c>
      <c r="L19" s="149">
        <v>1.879999999999999</v>
      </c>
      <c r="M19" s="37">
        <v>3.0800000000000018</v>
      </c>
      <c r="N19" s="37">
        <v>2</v>
      </c>
      <c r="Q19" s="37"/>
    </row>
    <row r="20" spans="3:18" x14ac:dyDescent="0.25">
      <c r="C20" s="149">
        <v>1.4</v>
      </c>
      <c r="D20" s="149">
        <v>3.0000000000000004</v>
      </c>
      <c r="E20" s="149">
        <v>1.879999999999999</v>
      </c>
      <c r="F20" s="149">
        <v>1.4800000000000004</v>
      </c>
      <c r="G20" s="149">
        <v>2</v>
      </c>
      <c r="H20" s="149">
        <v>3.120000000000001</v>
      </c>
      <c r="I20" s="149">
        <v>1.8000000000000007</v>
      </c>
      <c r="J20" s="149">
        <v>1.1999999999999993</v>
      </c>
      <c r="K20" s="149">
        <v>2.4800000000000004</v>
      </c>
      <c r="L20" s="149">
        <v>3.5999999999999979</v>
      </c>
      <c r="M20" s="37">
        <v>1.9200000000000017</v>
      </c>
      <c r="N20" s="37">
        <v>2</v>
      </c>
      <c r="R20" s="37"/>
    </row>
    <row r="21" spans="3:18" x14ac:dyDescent="0.25">
      <c r="C21" s="149">
        <v>1.3999999999999995</v>
      </c>
      <c r="D21" s="149">
        <v>4</v>
      </c>
      <c r="E21" s="149">
        <v>1</v>
      </c>
      <c r="F21" s="149">
        <v>1.0400000000000009</v>
      </c>
      <c r="G21" s="149">
        <v>1.5999999999999979</v>
      </c>
      <c r="H21" s="149">
        <v>2.6800000000000033</v>
      </c>
      <c r="I21" s="149">
        <v>1.5199999999999996</v>
      </c>
      <c r="J21" s="149">
        <v>1.5599999999999987</v>
      </c>
      <c r="K21" s="149">
        <v>2.120000000000001</v>
      </c>
      <c r="L21" s="149">
        <v>1.4800000000000004</v>
      </c>
      <c r="M21" s="37">
        <v>1.639999999999997</v>
      </c>
      <c r="N21" s="37">
        <v>1.9600000000000009</v>
      </c>
      <c r="O21" s="37">
        <v>1.3200000000000003</v>
      </c>
      <c r="R21" s="37"/>
    </row>
    <row r="22" spans="3:18" x14ac:dyDescent="0.25">
      <c r="C22" s="149">
        <v>2.12</v>
      </c>
      <c r="D22" s="149">
        <v>0.75999999999999979</v>
      </c>
      <c r="E22" s="149">
        <v>3.1199999999999992</v>
      </c>
      <c r="F22" s="149">
        <v>2.6000000000000014</v>
      </c>
      <c r="G22" s="149">
        <v>1.7199999999999989</v>
      </c>
      <c r="H22" s="149">
        <v>1.6799999999999997</v>
      </c>
      <c r="I22" s="149">
        <v>1.879999999999999</v>
      </c>
      <c r="J22" s="149">
        <v>2.3200000000000003</v>
      </c>
      <c r="K22" s="149">
        <v>2.2800000000000011</v>
      </c>
      <c r="L22" s="149">
        <v>1.120000000000001</v>
      </c>
      <c r="M22" s="37">
        <v>1.1999999999999993</v>
      </c>
      <c r="N22" s="37">
        <v>1.879999999999999</v>
      </c>
      <c r="O22" s="37">
        <v>1.4400000000000013</v>
      </c>
      <c r="P22" s="37">
        <v>2</v>
      </c>
      <c r="Q22" s="37"/>
    </row>
    <row r="23" spans="3:18" x14ac:dyDescent="0.25">
      <c r="C23" s="149">
        <v>2.4799999999999995</v>
      </c>
      <c r="D23" s="149">
        <v>1.3999999999999995</v>
      </c>
      <c r="E23" s="149">
        <v>1.2000000000000011</v>
      </c>
      <c r="F23" s="149">
        <v>2</v>
      </c>
      <c r="G23" s="149">
        <v>1.7199999999999989</v>
      </c>
      <c r="H23" s="149">
        <v>2.3600000000000012</v>
      </c>
      <c r="I23" s="149">
        <v>1.7999999999999989</v>
      </c>
      <c r="J23" s="149">
        <v>1.4000000000000021</v>
      </c>
      <c r="K23" s="149">
        <v>2.3199999999999998</v>
      </c>
      <c r="L23" s="149">
        <v>1.879999999999999</v>
      </c>
      <c r="M23" s="37">
        <v>2.120000000000001</v>
      </c>
      <c r="N23" s="37">
        <v>1.4799999999999969</v>
      </c>
      <c r="O23" s="37">
        <v>1.7200000000000024</v>
      </c>
      <c r="P23" s="37">
        <v>1.3999999999999986</v>
      </c>
    </row>
    <row r="24" spans="3:18" x14ac:dyDescent="0.25">
      <c r="C24" s="150">
        <v>1.3199999999999998</v>
      </c>
      <c r="D24" s="150">
        <v>0.88000000000000012</v>
      </c>
      <c r="E24" s="150">
        <v>1.8400000000000003</v>
      </c>
      <c r="F24" s="150">
        <v>3.5599999999999996</v>
      </c>
      <c r="G24" s="150">
        <v>2.0399999999999991</v>
      </c>
      <c r="H24" s="150">
        <v>1.8800000000000008</v>
      </c>
      <c r="I24" s="150">
        <v>3.4800000000000004</v>
      </c>
      <c r="J24" s="150">
        <v>0.91999999999999993</v>
      </c>
      <c r="K24" s="150">
        <v>0.87999999999999901</v>
      </c>
      <c r="L24" s="150">
        <v>2.6400000000000006</v>
      </c>
      <c r="M24" s="37">
        <v>1.3599999999999994</v>
      </c>
      <c r="N24" s="37">
        <v>3.1999999999999993</v>
      </c>
      <c r="O24" s="37">
        <v>3</v>
      </c>
      <c r="P24" s="37"/>
    </row>
    <row r="25" spans="3:18" x14ac:dyDescent="0.25">
      <c r="C25" s="149">
        <v>2.3199999999999994</v>
      </c>
      <c r="D25" s="149">
        <v>2.5599999999999996</v>
      </c>
      <c r="E25" s="149">
        <v>1</v>
      </c>
      <c r="F25" s="149">
        <v>3.8000000000000007</v>
      </c>
      <c r="G25" s="149">
        <v>0.91999999999999993</v>
      </c>
      <c r="H25" s="149">
        <v>2.5999999999999996</v>
      </c>
      <c r="I25" s="149">
        <v>1.9200000000000017</v>
      </c>
      <c r="J25" s="149">
        <v>1.3999999999999986</v>
      </c>
      <c r="K25" s="149">
        <v>1.6799999999999997</v>
      </c>
      <c r="L25" s="149">
        <v>2</v>
      </c>
      <c r="M25" s="37">
        <v>1.6799999999999997</v>
      </c>
      <c r="O25" s="37"/>
      <c r="Q25" s="37"/>
    </row>
    <row r="26" spans="3:18" x14ac:dyDescent="0.25">
      <c r="C26" s="149">
        <v>2.8</v>
      </c>
      <c r="D26" s="149">
        <v>3.12</v>
      </c>
      <c r="E26" s="149">
        <v>1.4800000000000004</v>
      </c>
      <c r="F26" s="149">
        <v>1.879999999999999</v>
      </c>
      <c r="G26" s="149">
        <v>0.72000000000000064</v>
      </c>
      <c r="H26" s="149">
        <v>1</v>
      </c>
      <c r="I26" s="149">
        <v>0.72000000000000064</v>
      </c>
      <c r="J26" s="149">
        <v>1.7599999999999998</v>
      </c>
      <c r="K26" s="149">
        <v>0.59999999999999964</v>
      </c>
      <c r="L26" s="149">
        <v>2.2000000000000011</v>
      </c>
      <c r="M26" s="37">
        <v>1.5999999999999979</v>
      </c>
      <c r="N26" s="37">
        <v>1.8000000000000007</v>
      </c>
      <c r="O26" s="37">
        <v>2.6000000000000014</v>
      </c>
      <c r="P26" s="37">
        <v>1.3999999999999986</v>
      </c>
      <c r="Q26" s="37">
        <v>1.6400000000000006</v>
      </c>
    </row>
    <row r="27" spans="3:18" x14ac:dyDescent="0.25">
      <c r="C27" s="149">
        <v>0.88</v>
      </c>
      <c r="D27" s="149">
        <v>1.32</v>
      </c>
      <c r="E27" s="149">
        <v>1</v>
      </c>
      <c r="F27" s="149">
        <v>1.4799999999999995</v>
      </c>
      <c r="G27" s="149">
        <v>1.7200000000000006</v>
      </c>
      <c r="H27" s="149">
        <v>0.75999999999999979</v>
      </c>
      <c r="I27" s="149">
        <v>1.5199999999999996</v>
      </c>
      <c r="J27" s="149">
        <v>3.7200000000000006</v>
      </c>
      <c r="K27" s="149">
        <v>1.7599999999999998</v>
      </c>
      <c r="L27" s="149">
        <v>2.3199999999999985</v>
      </c>
      <c r="M27" s="37">
        <v>1.4000000000000021</v>
      </c>
      <c r="N27" s="37">
        <v>1.8000000000000007</v>
      </c>
      <c r="O27" s="37">
        <v>1.3999999999999986</v>
      </c>
      <c r="P27" s="37">
        <v>3.3200000000000003</v>
      </c>
    </row>
    <row r="28" spans="3:18" x14ac:dyDescent="0.25">
      <c r="C28" s="149">
        <v>2.120000000000001</v>
      </c>
      <c r="D28" s="149">
        <v>1.7199999999999989</v>
      </c>
      <c r="E28" s="149">
        <v>1.2800000000000011</v>
      </c>
      <c r="F28" s="149">
        <v>1.5199999999999996</v>
      </c>
      <c r="G28" s="149">
        <v>4.16</v>
      </c>
      <c r="H28" s="149">
        <v>0.39999999999999858</v>
      </c>
      <c r="I28" s="149">
        <v>1.879999999999999</v>
      </c>
      <c r="J28" s="149">
        <v>1.8399999999999999</v>
      </c>
      <c r="K28" s="149">
        <v>2.6799999999999997</v>
      </c>
      <c r="L28" s="149">
        <v>1.52</v>
      </c>
      <c r="N28" s="37"/>
      <c r="P28" s="37"/>
      <c r="R28" s="37"/>
    </row>
    <row r="29" spans="3:18" x14ac:dyDescent="0.25">
      <c r="C29" s="149">
        <v>0.60000000000000053</v>
      </c>
      <c r="D29" s="149">
        <v>2.3199999999999994</v>
      </c>
      <c r="E29" s="149">
        <v>1</v>
      </c>
      <c r="F29" s="149">
        <v>2.0000000000000009</v>
      </c>
      <c r="G29" s="149">
        <v>1.3599999999999994</v>
      </c>
      <c r="H29" s="149">
        <v>1.4000000000000004</v>
      </c>
      <c r="I29" s="149">
        <v>1.6399999999999988</v>
      </c>
      <c r="J29" s="149">
        <v>1.9599999999999991</v>
      </c>
      <c r="K29" s="149">
        <v>1.84</v>
      </c>
      <c r="L29" s="149">
        <v>1.759999999999998</v>
      </c>
      <c r="M29" s="37">
        <v>1</v>
      </c>
      <c r="N29" s="37">
        <v>0.92000000000000171</v>
      </c>
      <c r="O29" s="37"/>
    </row>
    <row r="30" spans="3:18" x14ac:dyDescent="0.25">
      <c r="C30" s="149">
        <v>1.4</v>
      </c>
      <c r="D30" s="149">
        <v>0.80000000000000027</v>
      </c>
      <c r="E30" s="149">
        <v>0.87999999999999989</v>
      </c>
      <c r="F30" s="149">
        <v>1</v>
      </c>
      <c r="G30" s="149">
        <v>2.12</v>
      </c>
      <c r="H30" s="149">
        <v>1.5999999999999996</v>
      </c>
      <c r="I30" s="149">
        <v>1.08</v>
      </c>
      <c r="J30" s="149">
        <v>1.1199999999999992</v>
      </c>
      <c r="K30" s="149">
        <v>2.6800000000000015</v>
      </c>
      <c r="L30" s="149">
        <v>2.0799999999999983</v>
      </c>
      <c r="M30" s="37">
        <v>3</v>
      </c>
      <c r="N30" s="37">
        <v>2.5199999999999996</v>
      </c>
      <c r="O30" s="37">
        <v>1.4800000000000004</v>
      </c>
      <c r="P30" s="37">
        <v>1.9200000000000017</v>
      </c>
      <c r="Q30" s="37">
        <v>2.120000000000001</v>
      </c>
    </row>
    <row r="35" spans="1:27" x14ac:dyDescent="0.25">
      <c r="C35" s="37" t="s">
        <v>140</v>
      </c>
      <c r="D35" s="37" t="s">
        <v>141</v>
      </c>
      <c r="E35" s="37" t="s">
        <v>142</v>
      </c>
      <c r="F35" s="37" t="s">
        <v>143</v>
      </c>
      <c r="G35" s="37" t="s">
        <v>144</v>
      </c>
      <c r="H35" s="37" t="s">
        <v>145</v>
      </c>
      <c r="I35" s="37" t="s">
        <v>146</v>
      </c>
      <c r="J35" s="37" t="s">
        <v>147</v>
      </c>
      <c r="K35" s="37" t="s">
        <v>148</v>
      </c>
      <c r="L35" s="37" t="s">
        <v>149</v>
      </c>
      <c r="M35" s="37" t="s">
        <v>150</v>
      </c>
      <c r="N35" s="37" t="s">
        <v>151</v>
      </c>
      <c r="O35" s="37" t="s">
        <v>152</v>
      </c>
      <c r="P35" s="37" t="s">
        <v>153</v>
      </c>
      <c r="Q35" s="37" t="s">
        <v>154</v>
      </c>
      <c r="R35" s="37" t="s">
        <v>155</v>
      </c>
      <c r="S35" s="37" t="s">
        <v>156</v>
      </c>
    </row>
    <row r="36" spans="1:27" x14ac:dyDescent="0.25">
      <c r="C36" s="37" cm="1">
        <f t="array" ref="C36:C47">_xlfn.VSTACK('8.15:5.21'!L14)</f>
        <v>1.9600000000000004</v>
      </c>
      <c r="D36" s="37" cm="1">
        <f t="array" ref="D36:D47">_xlfn.VSTACK('8.15:5.21'!L15)</f>
        <v>0</v>
      </c>
      <c r="E36" s="37" cm="1">
        <f t="array" ref="E36:E47">_xlfn.VSTACK('8.15:5.21'!L16)</f>
        <v>0</v>
      </c>
      <c r="F36" s="37" cm="1">
        <f t="array" ref="F36:F47">_xlfn.VSTACK('8.15:5.21'!L17)</f>
        <v>2.5999999999999996</v>
      </c>
      <c r="G36" s="37" cm="1">
        <f t="array" ref="G36:G47">_xlfn.VSTACK('8.15:5.21'!L18)</f>
        <v>1.8399999999999999</v>
      </c>
      <c r="H36" s="37" cm="1">
        <f t="array" ref="H36:H47">_xlfn.VSTACK('8.15:5.21'!L19)</f>
        <v>2.5600000000000005</v>
      </c>
      <c r="I36" s="37" cm="1">
        <f t="array" ref="I36:I47">_xlfn.VSTACK('8.15:5.21'!L20)</f>
        <v>6.120000000000001</v>
      </c>
      <c r="J36" s="37" cm="1">
        <f t="array" ref="J36:J47">_xlfn.VSTACK('8.15:5.21'!L21)</f>
        <v>1.879999999999999</v>
      </c>
      <c r="K36" s="37" cm="1">
        <f t="array" ref="K36:K47">_xlfn.VSTACK('8.15:5.21'!L22)</f>
        <v>3.120000000000001</v>
      </c>
      <c r="L36" s="37" cm="1">
        <f t="array" ref="L36:L47">_xlfn.VSTACK('8.15:5.21'!L23)</f>
        <v>0</v>
      </c>
      <c r="M36" s="37" cm="1">
        <f t="array" ref="M36:M47">_xlfn.VSTACK('8.15:5.21'!L24)</f>
        <v>2.1999999999999993</v>
      </c>
      <c r="N36" s="37" cm="1">
        <f t="array" ref="N36:N47">_xlfn.VSTACK('8.15:5.21'!L25)</f>
        <v>2.3200000000000003</v>
      </c>
      <c r="O36" s="37" cm="1">
        <f t="array" ref="O36:O47">_xlfn.VSTACK('8.15:5.21'!L26)</f>
        <v>2.759999999999998</v>
      </c>
      <c r="P36" s="37" cm="1">
        <f t="array" ref="P36:P47">_xlfn.VSTACK('8.15:5.21'!L27)</f>
        <v>2.0400000000000027</v>
      </c>
      <c r="Q36" s="37" cm="1">
        <f t="array" ref="Q36:Q47">_xlfn.VSTACK('8.15:5.21'!L28)</f>
        <v>0</v>
      </c>
      <c r="R36" s="37" cm="1">
        <f t="array" ref="R36:R47">_xlfn.VSTACK('8.15:5.21'!L29)</f>
        <v>0</v>
      </c>
      <c r="S36" s="37" cm="1">
        <f t="array" ref="S36:S47">_xlfn.VSTACK('8.15:5.21'!L30)</f>
        <v>0</v>
      </c>
    </row>
    <row r="37" spans="1:27" x14ac:dyDescent="0.25">
      <c r="A37" s="37"/>
      <c r="B37" s="37"/>
      <c r="C37" s="37">
        <v>1.2000000000000002</v>
      </c>
      <c r="D37" s="37">
        <v>2.2000000000000002</v>
      </c>
      <c r="E37" s="37">
        <v>1.04</v>
      </c>
      <c r="F37" s="37">
        <v>0</v>
      </c>
      <c r="G37" s="37">
        <v>4.08</v>
      </c>
      <c r="H37" s="37">
        <v>0</v>
      </c>
      <c r="I37" s="37">
        <v>5.08</v>
      </c>
      <c r="J37" s="37">
        <v>5</v>
      </c>
      <c r="K37" s="37">
        <v>1.9199999999999982</v>
      </c>
      <c r="L37" s="37">
        <v>1.120000000000001</v>
      </c>
      <c r="M37" s="37">
        <v>0</v>
      </c>
      <c r="N37" s="37">
        <v>2.8000000000000007</v>
      </c>
      <c r="O37" s="37">
        <v>2</v>
      </c>
      <c r="P37" s="37">
        <v>1.3599999999999994</v>
      </c>
      <c r="Q37" s="37">
        <v>2.240000000000002</v>
      </c>
      <c r="R37" s="37">
        <v>3.7999999999999972</v>
      </c>
      <c r="S37" s="37">
        <v>0.67999999999999972</v>
      </c>
      <c r="T37" s="37"/>
      <c r="U37" s="37"/>
      <c r="V37" s="37"/>
      <c r="W37" s="37"/>
      <c r="X37" s="37"/>
      <c r="Y37" s="37"/>
      <c r="Z37" s="37"/>
      <c r="AA37" s="37"/>
    </row>
    <row r="38" spans="1:27" x14ac:dyDescent="0.25">
      <c r="A38" s="37"/>
      <c r="B38" s="37"/>
      <c r="C38" s="37">
        <v>2.9600000000000004</v>
      </c>
      <c r="D38" s="37">
        <v>1.4399999999999995</v>
      </c>
      <c r="E38" s="37">
        <v>2.1999999999999993</v>
      </c>
      <c r="F38" s="37">
        <v>0</v>
      </c>
      <c r="G38" s="37">
        <v>2.4800000000000004</v>
      </c>
      <c r="H38" s="37">
        <v>0</v>
      </c>
      <c r="I38" s="37">
        <v>5.879999999999999</v>
      </c>
      <c r="J38" s="37">
        <v>2.0400000000000027</v>
      </c>
      <c r="K38" s="37">
        <v>0.87999999999999901</v>
      </c>
      <c r="L38" s="37">
        <v>1.879999999999999</v>
      </c>
      <c r="M38" s="37">
        <v>2.120000000000001</v>
      </c>
      <c r="N38" s="37">
        <v>2.1999999999999993</v>
      </c>
      <c r="O38" s="37">
        <v>5.120000000000001</v>
      </c>
      <c r="P38" s="37">
        <v>4.6000000000000014</v>
      </c>
      <c r="Q38" s="37">
        <v>0</v>
      </c>
      <c r="R38" s="37">
        <v>0</v>
      </c>
      <c r="S38" s="37">
        <v>0</v>
      </c>
      <c r="T38" s="37"/>
      <c r="U38" s="37"/>
      <c r="V38" s="37"/>
      <c r="W38" s="37"/>
      <c r="X38" s="37"/>
      <c r="Y38" s="37"/>
      <c r="Z38" s="37"/>
      <c r="AA38" s="37"/>
    </row>
    <row r="39" spans="1:27" x14ac:dyDescent="0.25">
      <c r="A39" s="37"/>
      <c r="B39" s="37"/>
      <c r="C39" s="37">
        <v>1.8000000000000003</v>
      </c>
      <c r="D39" s="37">
        <v>3.8399999999999994</v>
      </c>
      <c r="E39" s="37">
        <v>0</v>
      </c>
      <c r="F39" s="37">
        <v>2.5999999999999996</v>
      </c>
      <c r="G39" s="37">
        <v>2.2800000000000011</v>
      </c>
      <c r="H39" s="37">
        <v>2.08</v>
      </c>
      <c r="I39" s="37">
        <v>3.0399999999999991</v>
      </c>
      <c r="J39" s="37">
        <v>3.879999999999999</v>
      </c>
      <c r="K39" s="37">
        <v>2.0800000000000018</v>
      </c>
      <c r="L39" s="37">
        <v>3.120000000000001</v>
      </c>
      <c r="M39" s="37">
        <v>1.3200000000000003</v>
      </c>
      <c r="N39" s="37">
        <v>1.879999999999999</v>
      </c>
      <c r="O39" s="37">
        <v>1</v>
      </c>
      <c r="P39" s="37">
        <v>0</v>
      </c>
      <c r="Q39" s="37">
        <v>2.1999999999999993</v>
      </c>
      <c r="R39" s="37">
        <v>1.1199999999999974</v>
      </c>
      <c r="S39" s="37">
        <v>1.1600000000000037</v>
      </c>
      <c r="T39" s="37"/>
      <c r="U39" s="37"/>
      <c r="V39" s="37"/>
      <c r="W39" s="37"/>
      <c r="X39" s="37"/>
      <c r="Y39" s="37"/>
      <c r="Z39" s="37"/>
      <c r="AA39" s="37"/>
    </row>
    <row r="40" spans="1:27" x14ac:dyDescent="0.25">
      <c r="A40" s="37"/>
      <c r="B40" s="37"/>
      <c r="C40" s="37">
        <v>2.04</v>
      </c>
      <c r="D40" s="37">
        <v>2.4800000000000004</v>
      </c>
      <c r="E40" s="37">
        <v>1.5999999999999996</v>
      </c>
      <c r="F40" s="37">
        <v>2.4000000000000004</v>
      </c>
      <c r="G40" s="37">
        <v>2.2799999999999994</v>
      </c>
      <c r="H40" s="37">
        <v>3.8000000000000007</v>
      </c>
      <c r="I40" s="37">
        <v>3.120000000000001</v>
      </c>
      <c r="J40" s="37">
        <v>0</v>
      </c>
      <c r="K40" s="37">
        <v>2.1999999999999993</v>
      </c>
      <c r="L40" s="37">
        <v>1.3999999999999986</v>
      </c>
      <c r="M40" s="37">
        <v>2</v>
      </c>
      <c r="N40" s="37">
        <v>0</v>
      </c>
      <c r="O40" s="37">
        <v>1.8000000000000007</v>
      </c>
      <c r="P40" s="37">
        <v>0</v>
      </c>
      <c r="Q40" s="37">
        <v>2.7999999999999972</v>
      </c>
      <c r="R40" s="37">
        <v>2.1200000000000045</v>
      </c>
      <c r="S40" s="37">
        <v>1.8799999999999955</v>
      </c>
      <c r="T40" s="37"/>
      <c r="U40" s="37"/>
      <c r="V40" s="37"/>
      <c r="W40" s="37"/>
      <c r="X40" s="37"/>
      <c r="Y40" s="37"/>
      <c r="Z40" s="37"/>
      <c r="AA40" s="37"/>
    </row>
    <row r="41" spans="1:27" x14ac:dyDescent="0.25">
      <c r="A41" s="37"/>
      <c r="B41" s="37"/>
      <c r="C41" s="37">
        <v>0</v>
      </c>
      <c r="D41" s="37">
        <v>2.3199999999999998</v>
      </c>
      <c r="E41" s="37">
        <v>2</v>
      </c>
      <c r="F41" s="37">
        <v>1.2800000000000002</v>
      </c>
      <c r="G41" s="37">
        <v>1.08</v>
      </c>
      <c r="H41" s="37">
        <v>2.5200000000000005</v>
      </c>
      <c r="I41" s="37">
        <v>2.08</v>
      </c>
      <c r="J41" s="37">
        <v>2.1199999999999992</v>
      </c>
      <c r="K41" s="37">
        <v>1.08</v>
      </c>
      <c r="L41" s="37">
        <v>3.1999999999999993</v>
      </c>
      <c r="M41" s="37">
        <v>2.240000000000002</v>
      </c>
      <c r="N41" s="37">
        <v>1.5999999999999979</v>
      </c>
      <c r="O41" s="37">
        <v>1.6799999999999997</v>
      </c>
      <c r="P41" s="37">
        <v>2</v>
      </c>
      <c r="Q41" s="37">
        <v>1.8800000000000026</v>
      </c>
      <c r="R41" s="37">
        <v>2.1999999999999993</v>
      </c>
      <c r="S41" s="37">
        <v>0</v>
      </c>
      <c r="T41" s="37"/>
      <c r="U41" s="37"/>
      <c r="V41" s="37"/>
      <c r="W41" s="37"/>
      <c r="X41" s="37"/>
      <c r="Y41" s="37"/>
      <c r="Z41" s="37"/>
      <c r="AA41" s="37"/>
    </row>
    <row r="42" spans="1:27" x14ac:dyDescent="0.25">
      <c r="A42" s="37"/>
      <c r="B42" s="37"/>
      <c r="C42" s="37">
        <v>0</v>
      </c>
      <c r="D42" s="37">
        <v>2.1199999999999992</v>
      </c>
      <c r="E42" s="37">
        <v>1.9600000000000009</v>
      </c>
      <c r="F42" s="37">
        <v>1.2400000000000002</v>
      </c>
      <c r="G42" s="37">
        <v>1.3599999999999994</v>
      </c>
      <c r="H42" s="37">
        <v>1.6000000000000014</v>
      </c>
      <c r="I42" s="37">
        <v>0</v>
      </c>
      <c r="J42" s="37">
        <v>2.1199999999999974</v>
      </c>
      <c r="K42" s="37">
        <v>2.8800000000000026</v>
      </c>
      <c r="L42" s="37">
        <v>4.32</v>
      </c>
      <c r="M42" s="37">
        <v>0</v>
      </c>
      <c r="N42" s="37">
        <v>1.3199999999999967</v>
      </c>
      <c r="O42" s="37">
        <v>0</v>
      </c>
      <c r="P42" s="37">
        <v>2.7600000000000016</v>
      </c>
      <c r="Q42" s="37">
        <v>7.6400000000000006</v>
      </c>
      <c r="R42" s="37">
        <v>4.2000000000000028</v>
      </c>
      <c r="S42" s="37">
        <v>1.279999999999994</v>
      </c>
      <c r="T42" s="37"/>
      <c r="U42" s="37"/>
      <c r="V42" s="37"/>
      <c r="W42" s="37"/>
      <c r="X42" s="37"/>
      <c r="Y42" s="37"/>
      <c r="Z42" s="37"/>
      <c r="AA42" s="37"/>
    </row>
    <row r="43" spans="1:27" x14ac:dyDescent="0.25">
      <c r="A43" s="37"/>
      <c r="B43" s="37"/>
      <c r="C43" s="37">
        <v>0</v>
      </c>
      <c r="D43" s="37">
        <v>1.04</v>
      </c>
      <c r="E43" s="37">
        <v>1.1600000000000001</v>
      </c>
      <c r="F43" s="37">
        <v>1.2400000000000002</v>
      </c>
      <c r="G43" s="37">
        <v>2.16</v>
      </c>
      <c r="H43" s="37">
        <v>2.6399999999999988</v>
      </c>
      <c r="I43" s="37">
        <v>2.2000000000000011</v>
      </c>
      <c r="J43" s="37">
        <v>2.6799999999999997</v>
      </c>
      <c r="K43" s="37">
        <v>1.4800000000000004</v>
      </c>
      <c r="L43" s="37">
        <v>1.6400000000000006</v>
      </c>
      <c r="M43" s="37">
        <v>1.6799999999999997</v>
      </c>
      <c r="N43" s="37">
        <v>1.6799999999999997</v>
      </c>
      <c r="O43" s="37">
        <v>1</v>
      </c>
      <c r="P43" s="37">
        <v>3.4400000000000013</v>
      </c>
      <c r="Q43" s="37">
        <v>1.1999999999999993</v>
      </c>
      <c r="R43" s="37">
        <v>2.6799999999999997</v>
      </c>
      <c r="S43" s="37">
        <v>1.5999999999999979</v>
      </c>
      <c r="T43" s="37"/>
      <c r="U43" s="37"/>
      <c r="V43" s="37"/>
      <c r="W43" s="37"/>
      <c r="X43" s="37"/>
      <c r="Y43" s="37"/>
      <c r="Z43" s="37"/>
      <c r="AA43" s="37"/>
    </row>
    <row r="44" spans="1:27" x14ac:dyDescent="0.25">
      <c r="A44" s="37"/>
      <c r="B44" s="37"/>
      <c r="C44" s="37">
        <v>1.6400000000000001</v>
      </c>
      <c r="D44" s="37">
        <v>2.2800000000000002</v>
      </c>
      <c r="E44" s="37">
        <v>2.2799999999999994</v>
      </c>
      <c r="F44" s="37">
        <v>2.120000000000001</v>
      </c>
      <c r="G44" s="37">
        <v>1.08</v>
      </c>
      <c r="H44" s="37">
        <v>1.7999999999999989</v>
      </c>
      <c r="I44" s="37">
        <v>0</v>
      </c>
      <c r="J44" s="37">
        <v>5.1999999999999993</v>
      </c>
      <c r="K44" s="37">
        <v>1.6000000000000014</v>
      </c>
      <c r="L44" s="37">
        <v>2.9199999999999982</v>
      </c>
      <c r="M44" s="37">
        <v>0</v>
      </c>
      <c r="N44" s="37">
        <v>3</v>
      </c>
      <c r="O44" s="37">
        <v>1.6799999999999997</v>
      </c>
      <c r="P44" s="37">
        <v>0</v>
      </c>
      <c r="Q44" s="37">
        <v>1.4400000000000013</v>
      </c>
      <c r="R44" s="37">
        <v>1.5599999999999987</v>
      </c>
      <c r="S44" s="37">
        <v>4.9200000000000017</v>
      </c>
      <c r="T44" s="37"/>
      <c r="U44" s="37"/>
      <c r="V44" s="37"/>
      <c r="W44" s="37"/>
      <c r="X44" s="37"/>
      <c r="Y44" s="37"/>
      <c r="Z44" s="37"/>
      <c r="AA44" s="37"/>
    </row>
    <row r="45" spans="1:27" x14ac:dyDescent="0.25">
      <c r="A45" s="37"/>
      <c r="B45" s="37"/>
      <c r="C45" s="37">
        <v>1.72</v>
      </c>
      <c r="D45" s="37">
        <v>1.7199999999999998</v>
      </c>
      <c r="E45" s="37">
        <v>1.96</v>
      </c>
      <c r="F45" s="37">
        <v>1.2400000000000002</v>
      </c>
      <c r="G45" s="37">
        <v>1.1999999999999993</v>
      </c>
      <c r="H45" s="37">
        <v>4.5600000000000005</v>
      </c>
      <c r="I45" s="37">
        <v>0</v>
      </c>
      <c r="J45" s="37">
        <v>0</v>
      </c>
      <c r="K45" s="37">
        <v>2.2400000000000002</v>
      </c>
      <c r="L45" s="37">
        <v>6.8800000000000008</v>
      </c>
      <c r="M45" s="37">
        <v>4.32</v>
      </c>
      <c r="N45" s="37">
        <v>1.3999999999999986</v>
      </c>
      <c r="O45" s="37">
        <v>1.8000000000000007</v>
      </c>
      <c r="P45" s="37">
        <v>3.6799999999999997</v>
      </c>
      <c r="Q45" s="37">
        <v>0</v>
      </c>
      <c r="R45" s="37">
        <v>0</v>
      </c>
      <c r="S45" s="37">
        <v>0</v>
      </c>
      <c r="T45" s="37"/>
      <c r="U45" s="37"/>
      <c r="V45" s="37"/>
      <c r="W45" s="37"/>
      <c r="X45" s="37"/>
      <c r="Y45" s="37"/>
      <c r="Z45" s="37"/>
      <c r="AA45" s="37"/>
    </row>
    <row r="46" spans="1:27" x14ac:dyDescent="0.25">
      <c r="A46" s="37"/>
      <c r="B46" s="37"/>
      <c r="C46" s="37">
        <v>0</v>
      </c>
      <c r="D46" s="37">
        <v>1</v>
      </c>
      <c r="E46" s="37">
        <v>0</v>
      </c>
      <c r="F46" s="37">
        <v>1.7199999999999998</v>
      </c>
      <c r="G46" s="37">
        <v>1.8000000000000007</v>
      </c>
      <c r="H46" s="37">
        <v>1.4000000000000004</v>
      </c>
      <c r="I46" s="37">
        <v>1.6799999999999997</v>
      </c>
      <c r="J46" s="37">
        <v>0</v>
      </c>
      <c r="K46" s="37">
        <v>2.5999999999999996</v>
      </c>
      <c r="L46" s="37">
        <v>0</v>
      </c>
      <c r="M46" s="37">
        <v>5.1199999999999992</v>
      </c>
      <c r="N46" s="37">
        <v>7.4000000000000021</v>
      </c>
      <c r="O46" s="37">
        <v>3.4799999999999969</v>
      </c>
      <c r="P46" s="37">
        <v>0</v>
      </c>
      <c r="Q46" s="37">
        <v>1.6000000000000014</v>
      </c>
      <c r="R46" s="37">
        <v>1.6400000000000006</v>
      </c>
      <c r="S46" s="37">
        <v>2.4799999999999969</v>
      </c>
      <c r="T46" s="37"/>
      <c r="U46" s="37"/>
      <c r="V46" s="37"/>
      <c r="W46" s="37"/>
      <c r="X46" s="37"/>
      <c r="Y46" s="37"/>
      <c r="Z46" s="37"/>
      <c r="AA46" s="37"/>
    </row>
    <row r="47" spans="1:27" x14ac:dyDescent="0.25">
      <c r="A47" s="37"/>
      <c r="B47" s="37"/>
      <c r="C47" s="37">
        <v>2.16</v>
      </c>
      <c r="D47" s="37">
        <v>1.92</v>
      </c>
      <c r="E47" s="37">
        <v>1.88</v>
      </c>
      <c r="F47" s="37">
        <v>3.8400000000000007</v>
      </c>
      <c r="G47" s="37">
        <v>1.4799999999999986</v>
      </c>
      <c r="H47" s="37">
        <v>1.7200000000000006</v>
      </c>
      <c r="I47" s="37">
        <v>1.2000000000000011</v>
      </c>
      <c r="J47" s="37">
        <v>0</v>
      </c>
      <c r="K47" s="37">
        <v>4.68</v>
      </c>
      <c r="L47" s="37">
        <v>1.3200000000000003</v>
      </c>
      <c r="M47" s="37">
        <v>4.8000000000000007</v>
      </c>
      <c r="N47" s="37">
        <v>5.8799999999999955</v>
      </c>
      <c r="O47" s="37">
        <v>2.0800000000000054</v>
      </c>
      <c r="P47" s="37">
        <v>2.9199999999999946</v>
      </c>
      <c r="Q47" s="37">
        <v>1.2800000000000011</v>
      </c>
      <c r="R47" s="37">
        <v>0</v>
      </c>
      <c r="S47" s="37">
        <v>0</v>
      </c>
      <c r="T47" s="37"/>
      <c r="U47" s="37"/>
      <c r="V47" s="37"/>
      <c r="W47" s="37"/>
      <c r="X47" s="37"/>
      <c r="Y47" s="37"/>
      <c r="Z47" s="37"/>
      <c r="AA47" s="37"/>
    </row>
    <row r="48" spans="1:27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1:27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1:27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1:27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1:27" x14ac:dyDescent="0.25">
      <c r="A52" s="37"/>
      <c r="B52" s="37"/>
      <c r="C52" s="149" t="s">
        <v>140</v>
      </c>
      <c r="D52" s="149" t="s">
        <v>141</v>
      </c>
      <c r="E52" s="149" t="s">
        <v>142</v>
      </c>
      <c r="F52" s="149" t="s">
        <v>143</v>
      </c>
      <c r="G52" s="149" t="s">
        <v>144</v>
      </c>
      <c r="H52" s="149" t="s">
        <v>145</v>
      </c>
      <c r="I52" s="149" t="s">
        <v>146</v>
      </c>
      <c r="J52" s="149" t="s">
        <v>147</v>
      </c>
      <c r="K52" s="149" t="s">
        <v>148</v>
      </c>
      <c r="L52" s="149" t="s">
        <v>149</v>
      </c>
      <c r="M52" s="37" t="s">
        <v>150</v>
      </c>
      <c r="N52" s="37" t="s">
        <v>151</v>
      </c>
      <c r="O52" s="37" t="s">
        <v>152</v>
      </c>
      <c r="P52" s="37" t="s">
        <v>153</v>
      </c>
      <c r="Q52" s="37" t="s">
        <v>154</v>
      </c>
      <c r="R52" s="37" t="s">
        <v>155</v>
      </c>
      <c r="S52" s="37" t="s">
        <v>156</v>
      </c>
      <c r="T52" s="37"/>
      <c r="U52" s="37"/>
      <c r="V52" s="37"/>
      <c r="W52" s="37"/>
      <c r="X52" s="37"/>
      <c r="Y52" s="37"/>
      <c r="Z52" s="37"/>
      <c r="AA52" s="37"/>
    </row>
    <row r="53" spans="1:27" x14ac:dyDescent="0.25">
      <c r="A53" s="37"/>
      <c r="B53" s="37"/>
      <c r="C53" s="150">
        <v>1.9600000000000004</v>
      </c>
      <c r="D53" s="150">
        <v>2.5999999999999996</v>
      </c>
      <c r="E53" s="150">
        <v>1.8399999999999999</v>
      </c>
      <c r="F53" s="150">
        <v>2.5600000000000005</v>
      </c>
      <c r="G53" s="150">
        <v>6.120000000000001</v>
      </c>
      <c r="H53" s="150">
        <v>1.879999999999999</v>
      </c>
      <c r="I53" s="150">
        <v>3.120000000000001</v>
      </c>
      <c r="J53" s="150">
        <v>2.1999999999999993</v>
      </c>
      <c r="K53" s="150">
        <v>2.3200000000000003</v>
      </c>
      <c r="L53" s="150">
        <v>2.759999999999998</v>
      </c>
      <c r="M53" s="37">
        <v>2.0400000000000027</v>
      </c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1:27" x14ac:dyDescent="0.25">
      <c r="A54" s="37"/>
      <c r="B54" s="37"/>
      <c r="C54" s="150">
        <v>2.8800000000000003</v>
      </c>
      <c r="D54" s="150">
        <v>3.2399999999999993</v>
      </c>
      <c r="E54" s="150">
        <v>2.4000000000000004</v>
      </c>
      <c r="F54" s="150">
        <v>1.3599999999999994</v>
      </c>
      <c r="G54" s="150">
        <v>1.92</v>
      </c>
      <c r="H54" s="150">
        <v>3.1999999999999993</v>
      </c>
      <c r="I54" s="150">
        <v>1.2800000000000011</v>
      </c>
      <c r="J54" s="150">
        <v>2.8000000000000007</v>
      </c>
      <c r="K54" s="150">
        <v>1.4400000000000013</v>
      </c>
      <c r="L54" s="150">
        <v>2.2799999999999976</v>
      </c>
      <c r="M54" s="37">
        <v>3.8000000000000007</v>
      </c>
      <c r="N54" s="37">
        <v>2.7999999999999972</v>
      </c>
      <c r="O54" s="37">
        <v>2</v>
      </c>
      <c r="T54" s="37"/>
      <c r="U54" s="37"/>
      <c r="V54" s="37"/>
      <c r="W54" s="37"/>
      <c r="X54" s="37"/>
      <c r="Y54" s="37"/>
      <c r="Z54" s="37"/>
      <c r="AA54" s="37"/>
    </row>
    <row r="55" spans="1:27" x14ac:dyDescent="0.25">
      <c r="A55" s="37"/>
      <c r="B55" s="37"/>
      <c r="C55" s="151">
        <v>1.2000000000000002</v>
      </c>
      <c r="D55" s="151">
        <v>2.2000000000000002</v>
      </c>
      <c r="E55" s="151">
        <v>1.04</v>
      </c>
      <c r="F55" s="151">
        <v>4.08</v>
      </c>
      <c r="G55" s="151">
        <v>5.08</v>
      </c>
      <c r="H55" s="151">
        <v>5</v>
      </c>
      <c r="I55" s="151">
        <v>1.9199999999999982</v>
      </c>
      <c r="J55" s="151">
        <v>1.120000000000001</v>
      </c>
      <c r="K55" s="151">
        <v>2.8000000000000007</v>
      </c>
      <c r="L55" s="151">
        <v>2</v>
      </c>
      <c r="M55" s="37">
        <v>1.3599999999999994</v>
      </c>
      <c r="N55" s="37">
        <v>2.240000000000002</v>
      </c>
      <c r="O55" s="37">
        <v>3.7999999999999972</v>
      </c>
      <c r="P55" s="37">
        <v>0.67999999999999972</v>
      </c>
      <c r="T55" s="37"/>
      <c r="U55" s="37"/>
      <c r="V55" s="37"/>
      <c r="W55" s="37"/>
      <c r="X55" s="37"/>
      <c r="Y55" s="37"/>
      <c r="Z55" s="37"/>
      <c r="AA55" s="37"/>
    </row>
    <row r="56" spans="1:27" x14ac:dyDescent="0.25">
      <c r="A56" s="37"/>
      <c r="B56" s="37"/>
      <c r="C56" s="150">
        <v>2.9600000000000004</v>
      </c>
      <c r="D56" s="150">
        <v>1.4399999999999995</v>
      </c>
      <c r="E56" s="150">
        <v>2.1999999999999993</v>
      </c>
      <c r="F56" s="150">
        <v>2.4800000000000004</v>
      </c>
      <c r="G56" s="150">
        <v>5.879999999999999</v>
      </c>
      <c r="H56" s="150">
        <v>2.0400000000000027</v>
      </c>
      <c r="I56" s="150">
        <v>0.87999999999999901</v>
      </c>
      <c r="J56" s="150">
        <v>1.879999999999999</v>
      </c>
      <c r="K56" s="150">
        <v>2.120000000000001</v>
      </c>
      <c r="L56" s="150">
        <v>2.1999999999999993</v>
      </c>
      <c r="M56" s="37">
        <v>5.120000000000001</v>
      </c>
      <c r="N56" s="37">
        <v>4.6000000000000014</v>
      </c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1:27" x14ac:dyDescent="0.25">
      <c r="A57" s="37"/>
      <c r="B57" s="37"/>
      <c r="C57" s="151">
        <v>1.8000000000000003</v>
      </c>
      <c r="D57" s="151">
        <v>3.8399999999999994</v>
      </c>
      <c r="E57" s="151">
        <v>2.5999999999999996</v>
      </c>
      <c r="F57" s="151">
        <v>2.2800000000000011</v>
      </c>
      <c r="G57" s="151">
        <v>2.08</v>
      </c>
      <c r="H57" s="151">
        <v>3.0399999999999991</v>
      </c>
      <c r="I57" s="151">
        <v>3.879999999999999</v>
      </c>
      <c r="J57" s="151">
        <v>2.0800000000000018</v>
      </c>
      <c r="K57" s="151">
        <v>3.120000000000001</v>
      </c>
      <c r="L57" s="151">
        <v>1.3200000000000003</v>
      </c>
      <c r="M57" s="37">
        <v>1.879999999999999</v>
      </c>
      <c r="N57" s="37">
        <v>1</v>
      </c>
      <c r="O57" s="37">
        <v>2.1999999999999993</v>
      </c>
      <c r="P57" s="37">
        <v>1.1199999999999974</v>
      </c>
      <c r="Q57" s="37">
        <v>1.1600000000000037</v>
      </c>
      <c r="T57" s="37"/>
      <c r="U57" s="37"/>
      <c r="V57" s="37"/>
      <c r="W57" s="37"/>
      <c r="X57" s="37"/>
      <c r="Y57" s="37"/>
      <c r="Z57" s="37"/>
      <c r="AA57" s="37"/>
    </row>
    <row r="58" spans="1:27" x14ac:dyDescent="0.25">
      <c r="A58" s="37"/>
      <c r="B58" s="37"/>
      <c r="C58" s="151">
        <v>2.04</v>
      </c>
      <c r="D58" s="151">
        <v>2.4800000000000004</v>
      </c>
      <c r="E58" s="151">
        <v>1.5999999999999996</v>
      </c>
      <c r="F58" s="151">
        <v>2.4000000000000004</v>
      </c>
      <c r="G58" s="151">
        <v>2.2799999999999994</v>
      </c>
      <c r="H58" s="151">
        <v>3.8000000000000007</v>
      </c>
      <c r="I58" s="151">
        <v>3.120000000000001</v>
      </c>
      <c r="J58" s="151">
        <v>2.1999999999999993</v>
      </c>
      <c r="K58" s="151">
        <v>1.3999999999999986</v>
      </c>
      <c r="L58" s="151">
        <v>2</v>
      </c>
      <c r="M58" s="37">
        <v>1.8000000000000007</v>
      </c>
      <c r="N58" s="37">
        <v>2.7999999999999972</v>
      </c>
      <c r="O58" s="37">
        <v>2.1200000000000045</v>
      </c>
      <c r="P58" s="37">
        <v>1.8799999999999955</v>
      </c>
      <c r="T58" s="37"/>
      <c r="U58" s="37"/>
      <c r="V58" s="37"/>
      <c r="W58" s="37"/>
      <c r="X58" s="37"/>
      <c r="Y58" s="37"/>
      <c r="Z58" s="37"/>
      <c r="AA58" s="37"/>
    </row>
    <row r="59" spans="1:27" x14ac:dyDescent="0.25">
      <c r="A59" s="37"/>
      <c r="B59" s="37"/>
      <c r="C59" s="151">
        <v>2.3199999999999998</v>
      </c>
      <c r="D59" s="151">
        <v>2</v>
      </c>
      <c r="E59" s="151">
        <v>1.2800000000000002</v>
      </c>
      <c r="F59" s="151">
        <v>1.08</v>
      </c>
      <c r="G59" s="151">
        <v>2.5200000000000005</v>
      </c>
      <c r="H59" s="151">
        <v>2.08</v>
      </c>
      <c r="I59" s="151">
        <v>2.1199999999999992</v>
      </c>
      <c r="J59" s="151">
        <v>1.08</v>
      </c>
      <c r="K59" s="151">
        <v>3.1999999999999993</v>
      </c>
      <c r="L59" s="151">
        <v>2.240000000000002</v>
      </c>
      <c r="M59" s="37">
        <v>1.5999999999999979</v>
      </c>
      <c r="N59" s="37">
        <v>1.6799999999999997</v>
      </c>
      <c r="O59" s="37">
        <v>2</v>
      </c>
      <c r="P59" s="37">
        <v>1.8800000000000026</v>
      </c>
      <c r="Q59" s="37">
        <v>2.1999999999999993</v>
      </c>
      <c r="S59" s="37"/>
      <c r="T59" s="37"/>
      <c r="U59" s="37"/>
      <c r="V59" s="37"/>
      <c r="W59" s="37"/>
      <c r="X59" s="37"/>
      <c r="Y59" s="37"/>
      <c r="Z59" s="37"/>
      <c r="AA59" s="37"/>
    </row>
    <row r="60" spans="1:27" x14ac:dyDescent="0.25">
      <c r="A60" s="37"/>
      <c r="B60" s="37"/>
      <c r="C60" s="150">
        <v>2.1199999999999992</v>
      </c>
      <c r="D60" s="150">
        <v>1.9600000000000009</v>
      </c>
      <c r="E60" s="150">
        <v>1.2400000000000002</v>
      </c>
      <c r="F60" s="150">
        <v>1.3599999999999994</v>
      </c>
      <c r="G60" s="150">
        <v>1.6000000000000014</v>
      </c>
      <c r="H60" s="150">
        <v>2.1199999999999974</v>
      </c>
      <c r="I60" s="150">
        <v>2.8800000000000026</v>
      </c>
      <c r="J60" s="150">
        <v>4.32</v>
      </c>
      <c r="K60" s="150">
        <v>1.3199999999999967</v>
      </c>
      <c r="L60" s="150">
        <v>2.7600000000000016</v>
      </c>
      <c r="M60" s="37">
        <v>7.6400000000000006</v>
      </c>
      <c r="N60" s="37">
        <v>4.2000000000000028</v>
      </c>
      <c r="O60" s="37">
        <v>1.279999999999994</v>
      </c>
      <c r="T60" s="37"/>
      <c r="U60" s="37"/>
      <c r="V60" s="37"/>
      <c r="W60" s="37"/>
      <c r="X60" s="37"/>
      <c r="Y60" s="37"/>
      <c r="Z60" s="37"/>
      <c r="AA60" s="37"/>
    </row>
    <row r="61" spans="1:27" x14ac:dyDescent="0.25">
      <c r="A61" s="37"/>
      <c r="B61" s="37"/>
      <c r="C61" s="151">
        <v>1.04</v>
      </c>
      <c r="D61" s="151">
        <v>1.1600000000000001</v>
      </c>
      <c r="E61" s="151">
        <v>1.2400000000000002</v>
      </c>
      <c r="F61" s="151">
        <v>2.16</v>
      </c>
      <c r="G61" s="151">
        <v>2.6399999999999988</v>
      </c>
      <c r="H61" s="151">
        <v>2.2000000000000011</v>
      </c>
      <c r="I61" s="151">
        <v>2.6799999999999997</v>
      </c>
      <c r="J61" s="151">
        <v>1.4800000000000004</v>
      </c>
      <c r="K61" s="151">
        <v>1.6400000000000006</v>
      </c>
      <c r="L61" s="151">
        <v>1.6799999999999997</v>
      </c>
      <c r="M61" s="37">
        <v>1.6799999999999997</v>
      </c>
      <c r="N61" s="37">
        <v>1</v>
      </c>
      <c r="O61" s="37">
        <v>3.4400000000000013</v>
      </c>
      <c r="P61" s="37">
        <v>1.1999999999999993</v>
      </c>
      <c r="Q61" s="37">
        <v>2.6799999999999997</v>
      </c>
      <c r="R61" s="37">
        <v>1.5999999999999979</v>
      </c>
      <c r="T61" s="37"/>
      <c r="U61" s="37"/>
      <c r="V61" s="37"/>
      <c r="W61" s="37"/>
      <c r="X61" s="37"/>
      <c r="Y61" s="37"/>
      <c r="Z61" s="37"/>
      <c r="AA61" s="37"/>
    </row>
    <row r="62" spans="1:27" x14ac:dyDescent="0.25">
      <c r="A62" s="37"/>
      <c r="B62" s="37"/>
      <c r="C62" s="150">
        <v>1.6400000000000001</v>
      </c>
      <c r="D62" s="150">
        <v>2.2800000000000002</v>
      </c>
      <c r="E62" s="150">
        <v>2.2799999999999994</v>
      </c>
      <c r="F62" s="150">
        <v>2.120000000000001</v>
      </c>
      <c r="G62" s="150">
        <v>1.08</v>
      </c>
      <c r="H62" s="150">
        <v>1.7999999999999989</v>
      </c>
      <c r="I62" s="150">
        <v>5.1999999999999993</v>
      </c>
      <c r="J62" s="150">
        <v>1.6000000000000014</v>
      </c>
      <c r="K62" s="150">
        <v>2.9199999999999982</v>
      </c>
      <c r="L62" s="150">
        <v>3</v>
      </c>
      <c r="M62" s="37">
        <v>1.6799999999999997</v>
      </c>
      <c r="N62" s="37">
        <v>1.4400000000000013</v>
      </c>
      <c r="O62" s="37">
        <v>1.5599999999999987</v>
      </c>
      <c r="P62" s="37">
        <v>4.9200000000000017</v>
      </c>
      <c r="T62" s="37"/>
      <c r="U62" s="37"/>
      <c r="V62" s="37"/>
      <c r="W62" s="37"/>
      <c r="X62" s="37"/>
      <c r="Y62" s="37"/>
      <c r="Z62" s="37"/>
      <c r="AA62" s="37"/>
    </row>
    <row r="63" spans="1:27" x14ac:dyDescent="0.25">
      <c r="A63" s="37"/>
      <c r="B63" s="37"/>
      <c r="C63" s="150">
        <v>1.72</v>
      </c>
      <c r="D63" s="150">
        <v>1.7199999999999998</v>
      </c>
      <c r="E63" s="150">
        <v>1.96</v>
      </c>
      <c r="F63" s="150">
        <v>1.2400000000000002</v>
      </c>
      <c r="G63" s="150">
        <v>1.1999999999999993</v>
      </c>
      <c r="H63" s="150">
        <v>4.5600000000000005</v>
      </c>
      <c r="I63" s="150">
        <v>2.2400000000000002</v>
      </c>
      <c r="J63" s="150">
        <v>6.8800000000000008</v>
      </c>
      <c r="K63" s="150">
        <v>4.32</v>
      </c>
      <c r="L63" s="150">
        <v>1.3999999999999986</v>
      </c>
      <c r="M63" s="37">
        <v>1.8000000000000007</v>
      </c>
      <c r="N63" s="37">
        <v>3.6799999999999997</v>
      </c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</row>
    <row r="64" spans="1:27" x14ac:dyDescent="0.25">
      <c r="A64" s="37"/>
      <c r="B64" s="37"/>
      <c r="C64" s="151">
        <v>1</v>
      </c>
      <c r="D64" s="151">
        <v>1.7199999999999998</v>
      </c>
      <c r="E64" s="151">
        <v>1.8000000000000007</v>
      </c>
      <c r="F64" s="151">
        <v>1.4000000000000004</v>
      </c>
      <c r="G64" s="151">
        <v>1.6799999999999997</v>
      </c>
      <c r="H64" s="151">
        <v>2.5999999999999996</v>
      </c>
      <c r="I64" s="151">
        <v>5.1199999999999992</v>
      </c>
      <c r="J64" s="151">
        <v>7.4000000000000021</v>
      </c>
      <c r="K64" s="151">
        <v>3.4799999999999969</v>
      </c>
      <c r="L64" s="151">
        <v>1.6000000000000014</v>
      </c>
      <c r="M64" s="37">
        <v>1.6400000000000006</v>
      </c>
      <c r="N64" s="37">
        <v>2.4799999999999969</v>
      </c>
      <c r="T64" s="37"/>
      <c r="U64" s="37"/>
      <c r="V64" s="37"/>
      <c r="W64" s="37"/>
      <c r="X64" s="37"/>
      <c r="Y64" s="37"/>
      <c r="Z64" s="37"/>
      <c r="AA64" s="37"/>
    </row>
    <row r="65" spans="1:27" x14ac:dyDescent="0.25">
      <c r="A65" s="37"/>
      <c r="B65" s="37"/>
      <c r="C65" s="151">
        <v>2.16</v>
      </c>
      <c r="D65" s="151">
        <v>1.92</v>
      </c>
      <c r="E65" s="151">
        <v>1.88</v>
      </c>
      <c r="F65" s="151">
        <v>3.8400000000000007</v>
      </c>
      <c r="G65" s="151">
        <v>1.4799999999999986</v>
      </c>
      <c r="H65" s="151">
        <v>1.7200000000000006</v>
      </c>
      <c r="I65" s="151">
        <v>1.2000000000000011</v>
      </c>
      <c r="J65" s="151">
        <v>4.68</v>
      </c>
      <c r="K65" s="151">
        <v>1.3200000000000003</v>
      </c>
      <c r="L65" s="151">
        <v>4.8000000000000007</v>
      </c>
      <c r="M65" s="37">
        <v>5.8799999999999955</v>
      </c>
      <c r="N65" s="37">
        <v>2.0800000000000054</v>
      </c>
      <c r="O65" s="37">
        <v>2.9199999999999946</v>
      </c>
      <c r="P65" s="37">
        <v>1.2800000000000011</v>
      </c>
      <c r="R65" s="37"/>
      <c r="S65" s="37"/>
      <c r="T65" s="37"/>
      <c r="U65" s="37"/>
      <c r="V65" s="37"/>
      <c r="W65" s="37"/>
      <c r="X65" s="37"/>
      <c r="Y65" s="37"/>
      <c r="Z65" s="37"/>
      <c r="AA65" s="37"/>
    </row>
    <row r="66" spans="1:27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</row>
    <row r="67" spans="1:27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</row>
    <row r="68" spans="1:27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</row>
    <row r="69" spans="1:27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</row>
    <row r="70" spans="1:27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</row>
    <row r="71" spans="1:27" x14ac:dyDescent="0.25">
      <c r="A71" s="37"/>
      <c r="B71" s="37"/>
      <c r="C71" s="37" t="s">
        <v>140</v>
      </c>
      <c r="D71" s="37" t="s">
        <v>141</v>
      </c>
      <c r="E71" s="37" t="s">
        <v>142</v>
      </c>
      <c r="F71" s="37" t="s">
        <v>143</v>
      </c>
      <c r="G71" s="37" t="s">
        <v>144</v>
      </c>
      <c r="H71" s="37" t="s">
        <v>145</v>
      </c>
      <c r="I71" s="37" t="s">
        <v>146</v>
      </c>
      <c r="J71" s="37" t="s">
        <v>147</v>
      </c>
      <c r="K71" s="37" t="s">
        <v>148</v>
      </c>
      <c r="L71" s="37" t="s">
        <v>149</v>
      </c>
      <c r="M71" s="37" t="s">
        <v>150</v>
      </c>
      <c r="N71" s="37" t="s">
        <v>151</v>
      </c>
      <c r="O71" s="37" t="s">
        <v>152</v>
      </c>
      <c r="P71" s="37" t="s">
        <v>153</v>
      </c>
      <c r="Q71" s="37" t="s">
        <v>154</v>
      </c>
      <c r="R71" s="37" t="s">
        <v>155</v>
      </c>
      <c r="S71" s="37" t="s">
        <v>156</v>
      </c>
      <c r="T71" s="37"/>
      <c r="U71" s="37"/>
      <c r="V71" s="37"/>
      <c r="W71" s="37"/>
      <c r="X71" s="37"/>
      <c r="Y71" s="37"/>
      <c r="Z71" s="37"/>
      <c r="AA71" s="37"/>
    </row>
    <row r="72" spans="1:27" x14ac:dyDescent="0.25">
      <c r="A72" s="37"/>
      <c r="B72" s="37"/>
      <c r="C72" s="37" cm="1">
        <f t="array" ref="C72:C83">_xlfn.VSTACK('8.15:5.21'!S14)</f>
        <v>1.2000000000000002</v>
      </c>
      <c r="D72" s="37" cm="1">
        <f t="array" ref="D72:D83">_xlfn.VSTACK('8.15:5.21'!S15)</f>
        <v>1.3199999999999998</v>
      </c>
      <c r="E72" s="37" cm="1">
        <f t="array" ref="E72:E83">_xlfn.VSTACK('8.15:5.21'!S16)</f>
        <v>1.4</v>
      </c>
      <c r="F72" s="37" cm="1">
        <f t="array" ref="F72:F83">_xlfn.VSTACK('8.15:5.21'!S17)</f>
        <v>0</v>
      </c>
      <c r="G72" s="37" cm="1">
        <f t="array" ref="G72:G83">_xlfn.VSTACK('8.15:5.21'!S18)</f>
        <v>1.88</v>
      </c>
      <c r="H72" s="37" cm="1">
        <f t="array" ref="H72:H83">_xlfn.VSTACK('8.15:5.21'!S19)</f>
        <v>0</v>
      </c>
      <c r="I72" s="37" cm="1">
        <f t="array" ref="I72:I83">_xlfn.VSTACK('8.15:5.21'!S20)</f>
        <v>1.3199999999999994</v>
      </c>
      <c r="J72" s="37" cm="1">
        <f t="array" ref="J72:J83">_xlfn.VSTACK('8.15:5.21'!S21)</f>
        <v>0</v>
      </c>
      <c r="K72" s="37" cm="1">
        <f t="array" ref="K72:K83">_xlfn.VSTACK('8.15:5.21'!S22)</f>
        <v>0</v>
      </c>
      <c r="L72" s="37" cm="1">
        <f t="array" ref="L72:L83">_xlfn.VSTACK('8.15:5.21'!S23)</f>
        <v>0</v>
      </c>
      <c r="M72" s="37" cm="1">
        <f t="array" ref="M72:M83">_xlfn.VSTACK('8.15:5.21'!S24)</f>
        <v>0</v>
      </c>
      <c r="N72" s="37" cm="1">
        <f t="array" ref="N72:N83">_xlfn.VSTACK('8.15:5.21'!S25)</f>
        <v>0</v>
      </c>
      <c r="O72" s="37" cm="1">
        <f t="array" ref="O72:O83">_xlfn.VSTACK('8.15:5.21'!S26)</f>
        <v>1.8800000000000008</v>
      </c>
      <c r="P72" s="37" cm="1">
        <f t="array" ref="P72:P83">_xlfn.VSTACK('8.15:5.21'!S27)</f>
        <v>0</v>
      </c>
      <c r="Q72" s="37" cm="1">
        <f t="array" ref="Q72:Q83">_xlfn.VSTACK('8.15:5.21'!S28)</f>
        <v>0</v>
      </c>
      <c r="R72" s="37" cm="1">
        <f t="array" ref="R72:R83">_xlfn.VSTACK('8.15:5.21'!S29)</f>
        <v>0</v>
      </c>
      <c r="S72" s="37" cm="1">
        <f t="array" ref="S72:S83">_xlfn.VSTACK('8.15:5.21'!S30)</f>
        <v>4.9200000000000017</v>
      </c>
      <c r="T72" s="37"/>
      <c r="U72" s="37"/>
      <c r="V72" s="37"/>
      <c r="W72" s="37"/>
      <c r="X72" s="37"/>
      <c r="Y72" s="37"/>
      <c r="Z72" s="37"/>
      <c r="AA72" s="37"/>
    </row>
    <row r="73" spans="1:27" x14ac:dyDescent="0.25">
      <c r="A73" s="37"/>
      <c r="B73" s="37"/>
      <c r="C73" s="37">
        <v>0.99999999999999989</v>
      </c>
      <c r="D73" s="37">
        <v>0</v>
      </c>
      <c r="E73" s="37">
        <v>0</v>
      </c>
      <c r="F73" s="37">
        <v>0</v>
      </c>
      <c r="G73" s="37">
        <v>0</v>
      </c>
      <c r="H73" s="37">
        <v>0</v>
      </c>
      <c r="I73" s="37">
        <v>1.6800000000000006</v>
      </c>
      <c r="J73" s="37">
        <v>2</v>
      </c>
      <c r="K73" s="37">
        <v>0</v>
      </c>
      <c r="L73" s="37">
        <v>3.6399999999999988</v>
      </c>
      <c r="M73" s="37">
        <v>1.2000000000000011</v>
      </c>
      <c r="N73" s="37">
        <v>1.1600000000000001</v>
      </c>
      <c r="O73" s="37">
        <v>1.4000000000000004</v>
      </c>
      <c r="P73" s="37">
        <v>1.7999999999999989</v>
      </c>
      <c r="Q73" s="37">
        <v>0.92000000000000171</v>
      </c>
      <c r="R73" s="37">
        <v>2.1999999999999993</v>
      </c>
      <c r="S73" s="37">
        <v>1.120000000000001</v>
      </c>
      <c r="T73" s="37"/>
      <c r="U73" s="37"/>
      <c r="V73" s="37"/>
      <c r="W73" s="37"/>
      <c r="X73" s="37"/>
      <c r="Y73" s="37"/>
      <c r="Z73" s="37"/>
      <c r="AA73" s="37"/>
    </row>
    <row r="74" spans="1:27" x14ac:dyDescent="0.25">
      <c r="A74" s="37"/>
      <c r="B74" s="37"/>
      <c r="C74" s="37">
        <v>4.12</v>
      </c>
      <c r="D74" s="37">
        <v>0</v>
      </c>
      <c r="E74" s="37">
        <v>0</v>
      </c>
      <c r="F74" s="37">
        <v>2.8</v>
      </c>
      <c r="G74" s="37">
        <v>1.96</v>
      </c>
      <c r="H74" s="37">
        <v>2.1999999999999993</v>
      </c>
      <c r="I74" s="37">
        <v>3.4000000000000004</v>
      </c>
      <c r="J74" s="37">
        <v>1.92</v>
      </c>
      <c r="K74" s="37">
        <v>0</v>
      </c>
      <c r="L74" s="37">
        <v>2.5199999999999996</v>
      </c>
      <c r="M74" s="37">
        <v>1.3599999999999994</v>
      </c>
      <c r="N74" s="37">
        <v>1.6000000000000014</v>
      </c>
      <c r="O74" s="37">
        <v>0.92000000000000171</v>
      </c>
      <c r="P74" s="37">
        <v>1.4799999999999969</v>
      </c>
      <c r="Q74" s="37">
        <v>0</v>
      </c>
      <c r="R74" s="37">
        <v>2.120000000000001</v>
      </c>
      <c r="S74" s="37">
        <v>5.32</v>
      </c>
      <c r="T74" s="37"/>
      <c r="U74" s="37"/>
      <c r="V74" s="37"/>
      <c r="W74" s="37"/>
      <c r="X74" s="37"/>
      <c r="Y74" s="37"/>
      <c r="Z74" s="37"/>
      <c r="AA74" s="37"/>
    </row>
    <row r="75" spans="1:27" x14ac:dyDescent="0.25">
      <c r="A75" s="37"/>
      <c r="B75" s="37"/>
      <c r="C75" s="37">
        <v>2.48</v>
      </c>
      <c r="D75" s="37">
        <v>0</v>
      </c>
      <c r="E75" s="37">
        <v>2.3999999999999995</v>
      </c>
      <c r="F75" s="37">
        <v>3.92</v>
      </c>
      <c r="G75" s="37">
        <v>0</v>
      </c>
      <c r="H75" s="37">
        <v>2.5600000000000005</v>
      </c>
      <c r="I75" s="37">
        <v>1.7999999999999989</v>
      </c>
      <c r="J75" s="37">
        <v>2.9200000000000017</v>
      </c>
      <c r="K75" s="37">
        <v>1.1999999999999993</v>
      </c>
      <c r="L75" s="37">
        <v>1.3200000000000003</v>
      </c>
      <c r="M75" s="37">
        <v>1.6799999999999997</v>
      </c>
      <c r="N75" s="37">
        <v>1</v>
      </c>
      <c r="O75" s="37">
        <v>1.879999999999999</v>
      </c>
      <c r="P75" s="37">
        <v>0</v>
      </c>
      <c r="Q75" s="37">
        <v>2.120000000000001</v>
      </c>
      <c r="R75" s="37">
        <v>5.3999999999999986</v>
      </c>
      <c r="S75" s="37">
        <v>2.2000000000000028</v>
      </c>
      <c r="T75" s="37"/>
      <c r="U75" s="37"/>
      <c r="V75" s="37"/>
      <c r="W75" s="37"/>
      <c r="X75" s="37"/>
      <c r="Y75" s="37"/>
      <c r="Z75" s="37"/>
      <c r="AA75" s="37"/>
    </row>
    <row r="76" spans="1:27" x14ac:dyDescent="0.25">
      <c r="A76" s="37"/>
      <c r="B76" s="37"/>
      <c r="C76" s="37">
        <v>1.7200000000000002</v>
      </c>
      <c r="D76" s="37">
        <v>2</v>
      </c>
      <c r="E76" s="37">
        <v>0</v>
      </c>
      <c r="F76" s="37">
        <v>2.4799999999999995</v>
      </c>
      <c r="G76" s="37">
        <v>1.4800000000000004</v>
      </c>
      <c r="H76" s="37">
        <v>2.0399999999999991</v>
      </c>
      <c r="I76" s="37">
        <v>1.2000000000000011</v>
      </c>
      <c r="J76" s="37">
        <v>0</v>
      </c>
      <c r="K76" s="37">
        <v>1.3999999999999986</v>
      </c>
      <c r="L76" s="37">
        <v>1.2800000000000011</v>
      </c>
      <c r="M76" s="37">
        <v>1.2800000000000011</v>
      </c>
      <c r="N76" s="37">
        <v>1.5199999999999996</v>
      </c>
      <c r="O76" s="37">
        <v>1</v>
      </c>
      <c r="P76" s="37">
        <v>1.8000000000000007</v>
      </c>
      <c r="Q76" s="37">
        <v>1.5199999999999996</v>
      </c>
      <c r="R76" s="37">
        <v>2.2799999999999976</v>
      </c>
      <c r="S76" s="37">
        <v>2.2800000000000011</v>
      </c>
      <c r="T76" s="37"/>
      <c r="U76" s="37"/>
      <c r="V76" s="37"/>
      <c r="W76" s="37"/>
      <c r="X76" s="37"/>
      <c r="Y76" s="37"/>
      <c r="Z76" s="37"/>
      <c r="AA76" s="37"/>
    </row>
    <row r="77" spans="1:27" x14ac:dyDescent="0.25">
      <c r="A77" s="37"/>
      <c r="B77" s="37"/>
      <c r="C77" s="37">
        <v>2.3200000000000003</v>
      </c>
      <c r="D77" s="37">
        <v>1.1600000000000001</v>
      </c>
      <c r="E77" s="37">
        <v>1</v>
      </c>
      <c r="F77" s="37">
        <v>2</v>
      </c>
      <c r="G77" s="37">
        <v>1.7999999999999998</v>
      </c>
      <c r="H77" s="37">
        <v>1.8000000000000007</v>
      </c>
      <c r="I77" s="37">
        <v>2.0399999999999991</v>
      </c>
      <c r="J77" s="37">
        <v>2.16</v>
      </c>
      <c r="K77" s="37">
        <v>1.5199999999999996</v>
      </c>
      <c r="L77" s="37">
        <v>1.6799999999999997</v>
      </c>
      <c r="M77" s="37">
        <v>1.8000000000000007</v>
      </c>
      <c r="N77" s="37">
        <v>2.120000000000001</v>
      </c>
      <c r="O77" s="37">
        <v>2.3999999999999986</v>
      </c>
      <c r="P77" s="37">
        <v>1.879999999999999</v>
      </c>
      <c r="Q77" s="37">
        <v>1.120000000000001</v>
      </c>
      <c r="R77" s="37">
        <v>7.120000000000001</v>
      </c>
      <c r="S77" s="37">
        <v>0</v>
      </c>
      <c r="T77" s="37"/>
      <c r="U77" s="37"/>
      <c r="V77" s="37"/>
      <c r="W77" s="37"/>
      <c r="X77" s="37"/>
      <c r="Y77" s="37"/>
      <c r="Z77" s="37"/>
      <c r="AA77" s="37"/>
    </row>
    <row r="78" spans="1:27" x14ac:dyDescent="0.25">
      <c r="A78" s="37"/>
      <c r="B78" s="37"/>
      <c r="C78" s="37">
        <v>2.12</v>
      </c>
      <c r="D78" s="37">
        <v>1.1999999999999993</v>
      </c>
      <c r="E78" s="37">
        <v>1.6800000000000015</v>
      </c>
      <c r="F78" s="37">
        <v>0.67999999999999972</v>
      </c>
      <c r="G78" s="37">
        <v>1.8399999999999999</v>
      </c>
      <c r="H78" s="37">
        <v>0</v>
      </c>
      <c r="I78" s="37">
        <v>1.7999999999999989</v>
      </c>
      <c r="J78" s="37">
        <v>0</v>
      </c>
      <c r="K78" s="37">
        <v>1.5600000000000023</v>
      </c>
      <c r="L78" s="37">
        <v>1.2399999999999984</v>
      </c>
      <c r="M78" s="37">
        <v>5.5599999999999987</v>
      </c>
      <c r="N78" s="37">
        <v>1.6000000000000014</v>
      </c>
      <c r="O78" s="37">
        <v>0</v>
      </c>
      <c r="P78" s="37">
        <v>1.6000000000000014</v>
      </c>
      <c r="Q78" s="37">
        <v>2.0399999999999991</v>
      </c>
      <c r="R78" s="37">
        <v>4.6000000000000014</v>
      </c>
      <c r="S78" s="37">
        <v>4.68</v>
      </c>
      <c r="T78" s="37"/>
      <c r="U78" s="37"/>
      <c r="V78" s="37"/>
      <c r="W78" s="37"/>
      <c r="X78" s="37"/>
      <c r="Y78" s="37"/>
      <c r="Z78" s="37"/>
      <c r="AA78" s="37"/>
    </row>
    <row r="79" spans="1:27" x14ac:dyDescent="0.25">
      <c r="A79" s="37"/>
      <c r="B79" s="37"/>
      <c r="C79" s="37">
        <v>0.99999999999999956</v>
      </c>
      <c r="D79" s="37">
        <v>0.80000000000000071</v>
      </c>
      <c r="E79" s="37">
        <v>0</v>
      </c>
      <c r="F79" s="37">
        <v>2.1199999999999992</v>
      </c>
      <c r="G79" s="37">
        <v>1.08</v>
      </c>
      <c r="H79" s="37">
        <v>0</v>
      </c>
      <c r="I79" s="37">
        <v>0</v>
      </c>
      <c r="J79" s="37">
        <v>2.8800000000000008</v>
      </c>
      <c r="K79" s="37">
        <v>1.1999999999999993</v>
      </c>
      <c r="L79" s="37">
        <v>2.0400000000000009</v>
      </c>
      <c r="M79" s="37">
        <v>1.4799999999999986</v>
      </c>
      <c r="N79" s="37">
        <v>0</v>
      </c>
      <c r="O79" s="37">
        <v>0</v>
      </c>
      <c r="P79" s="37">
        <v>2.4000000000000021</v>
      </c>
      <c r="Q79" s="37">
        <v>1.7999999999999972</v>
      </c>
      <c r="R79" s="37">
        <v>3.6799999999999997</v>
      </c>
      <c r="S79" s="37">
        <v>3.8000000000000007</v>
      </c>
      <c r="T79" s="37"/>
      <c r="U79" s="37"/>
      <c r="V79" s="37"/>
      <c r="W79" s="37"/>
      <c r="X79" s="37"/>
      <c r="Y79" s="37"/>
      <c r="Z79" s="37"/>
      <c r="AA79" s="37"/>
    </row>
    <row r="80" spans="1:27" x14ac:dyDescent="0.25">
      <c r="A80" s="37"/>
      <c r="B80" s="37"/>
      <c r="C80" s="37">
        <v>1.08</v>
      </c>
      <c r="D80" s="37">
        <v>1.44</v>
      </c>
      <c r="E80" s="37">
        <v>1.7599999999999998</v>
      </c>
      <c r="F80" s="37">
        <v>0</v>
      </c>
      <c r="G80" s="37">
        <v>1.8000000000000007</v>
      </c>
      <c r="H80" s="37">
        <v>0</v>
      </c>
      <c r="I80" s="37">
        <v>2.5999999999999996</v>
      </c>
      <c r="J80" s="37">
        <v>1.4000000000000004</v>
      </c>
      <c r="K80" s="37">
        <v>4.5199999999999996</v>
      </c>
      <c r="L80" s="37">
        <v>2.4800000000000004</v>
      </c>
      <c r="M80" s="37">
        <v>0.80000000000000071</v>
      </c>
      <c r="N80" s="37">
        <v>1.2399999999999984</v>
      </c>
      <c r="O80" s="37">
        <v>3.8000000000000007</v>
      </c>
      <c r="P80" s="37">
        <v>1.759999999999998</v>
      </c>
      <c r="Q80" s="37">
        <v>1.8000000000000007</v>
      </c>
      <c r="R80" s="37">
        <v>0</v>
      </c>
      <c r="S80" s="37">
        <v>2.8000000000000007</v>
      </c>
      <c r="T80" s="37"/>
      <c r="U80" s="37"/>
      <c r="V80" s="37"/>
      <c r="W80" s="37"/>
      <c r="X80" s="37"/>
      <c r="Y80" s="37"/>
      <c r="Z80" s="37"/>
      <c r="AA80" s="37"/>
    </row>
    <row r="81" spans="1:27" x14ac:dyDescent="0.25">
      <c r="A81" s="37"/>
      <c r="B81" s="37"/>
      <c r="C81" s="37">
        <v>0</v>
      </c>
      <c r="D81" s="37">
        <v>1.7999999999999998</v>
      </c>
      <c r="E81" s="37">
        <v>1.88</v>
      </c>
      <c r="F81" s="37">
        <v>1.4799999999999995</v>
      </c>
      <c r="G81" s="37">
        <v>1.92</v>
      </c>
      <c r="H81" s="37">
        <v>1.92</v>
      </c>
      <c r="I81" s="37">
        <v>2.8000000000000007</v>
      </c>
      <c r="J81" s="37">
        <v>2.9599999999999991</v>
      </c>
      <c r="K81" s="37">
        <v>4.84</v>
      </c>
      <c r="L81" s="37">
        <v>3.6000000000000014</v>
      </c>
      <c r="M81" s="37">
        <v>2.3599999999999994</v>
      </c>
      <c r="N81" s="37">
        <v>2.3200000000000003</v>
      </c>
      <c r="O81" s="37">
        <v>1.4799999999999969</v>
      </c>
      <c r="P81" s="37">
        <v>1.6400000000000006</v>
      </c>
      <c r="Q81" s="37">
        <v>1.1600000000000037</v>
      </c>
      <c r="R81" s="37">
        <v>0</v>
      </c>
      <c r="S81" s="37">
        <v>0</v>
      </c>
      <c r="T81" s="37"/>
      <c r="U81" s="37"/>
      <c r="V81" s="37"/>
      <c r="W81" s="37"/>
      <c r="X81" s="37"/>
      <c r="Y81" s="37"/>
      <c r="Z81" s="37"/>
      <c r="AA81" s="37"/>
    </row>
    <row r="82" spans="1:27" x14ac:dyDescent="0.25">
      <c r="A82" s="37"/>
      <c r="B82" s="37"/>
      <c r="C82" s="37">
        <v>0.7200000000000002</v>
      </c>
      <c r="D82" s="37">
        <v>0</v>
      </c>
      <c r="E82" s="37">
        <v>1.7599999999999998</v>
      </c>
      <c r="F82" s="37">
        <v>0.71999999999999975</v>
      </c>
      <c r="G82" s="37">
        <v>1.1200000000000001</v>
      </c>
      <c r="H82" s="37">
        <v>0</v>
      </c>
      <c r="I82" s="37">
        <v>0.6800000000000006</v>
      </c>
      <c r="J82" s="37">
        <v>0.87999999999999989</v>
      </c>
      <c r="K82" s="37">
        <v>0</v>
      </c>
      <c r="L82" s="37">
        <v>2.2399999999999993</v>
      </c>
      <c r="M82" s="37">
        <v>1.1600000000000001</v>
      </c>
      <c r="N82" s="37">
        <v>0</v>
      </c>
      <c r="O82" s="37">
        <v>0.83999999999999986</v>
      </c>
      <c r="P82" s="37">
        <v>0.88000000000000078</v>
      </c>
      <c r="Q82" s="37">
        <v>1.1199999999999992</v>
      </c>
      <c r="R82" s="37">
        <v>0</v>
      </c>
      <c r="S82" s="37">
        <v>1.2000000000000011</v>
      </c>
      <c r="T82" s="37"/>
      <c r="U82" s="37"/>
      <c r="V82" s="37"/>
      <c r="W82" s="37"/>
      <c r="X82" s="37"/>
      <c r="Y82" s="37"/>
      <c r="Z82" s="37"/>
      <c r="AA82" s="37"/>
    </row>
    <row r="83" spans="1:27" x14ac:dyDescent="0.25">
      <c r="A83" s="37"/>
      <c r="B83" s="37"/>
      <c r="C83" s="37">
        <v>0.60000000000000009</v>
      </c>
      <c r="D83" s="37">
        <v>0.75999999999999979</v>
      </c>
      <c r="E83" s="37">
        <v>0.79999999999999982</v>
      </c>
      <c r="F83" s="37">
        <v>1</v>
      </c>
      <c r="G83" s="37">
        <v>1.3200000000000003</v>
      </c>
      <c r="H83" s="37">
        <v>1.5199999999999996</v>
      </c>
      <c r="I83" s="37">
        <v>0</v>
      </c>
      <c r="J83" s="37">
        <v>1.8000000000000007</v>
      </c>
      <c r="K83" s="37">
        <v>1.5999999999999996</v>
      </c>
      <c r="L83" s="37">
        <v>0</v>
      </c>
      <c r="M83" s="37">
        <v>2.2799999999999994</v>
      </c>
      <c r="N83" s="37">
        <v>0</v>
      </c>
      <c r="O83" s="37">
        <v>1.4800000000000004</v>
      </c>
      <c r="P83" s="37">
        <v>2.8000000000000007</v>
      </c>
      <c r="Q83" s="37">
        <v>0.64000000000000057</v>
      </c>
      <c r="R83" s="37">
        <v>0</v>
      </c>
      <c r="S83" s="37">
        <v>2.0799999999999983</v>
      </c>
      <c r="T83" s="37"/>
      <c r="U83" s="37"/>
      <c r="V83" s="37"/>
      <c r="W83" s="37"/>
      <c r="X83" s="37"/>
      <c r="Y83" s="37"/>
      <c r="Z83" s="37"/>
      <c r="AA83" s="37"/>
    </row>
    <row r="84" spans="1:27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</row>
    <row r="85" spans="1:27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</row>
    <row r="86" spans="1:27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</row>
    <row r="87" spans="1:27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</row>
    <row r="88" spans="1:27" x14ac:dyDescent="0.25">
      <c r="A88" s="37"/>
      <c r="B88" s="37"/>
      <c r="C88" s="37" t="s">
        <v>140</v>
      </c>
      <c r="D88" s="37" t="s">
        <v>141</v>
      </c>
      <c r="E88" s="37" t="s">
        <v>142</v>
      </c>
      <c r="F88" s="37" t="s">
        <v>143</v>
      </c>
      <c r="G88" s="37" t="s">
        <v>144</v>
      </c>
      <c r="H88" s="37" t="s">
        <v>145</v>
      </c>
      <c r="I88" s="37" t="s">
        <v>146</v>
      </c>
      <c r="J88" s="37" t="s">
        <v>147</v>
      </c>
      <c r="K88" s="37" t="s">
        <v>148</v>
      </c>
      <c r="L88" s="37" t="s">
        <v>149</v>
      </c>
      <c r="M88" s="37" t="s">
        <v>150</v>
      </c>
      <c r="N88" s="37" t="s">
        <v>151</v>
      </c>
      <c r="O88" s="37" t="s">
        <v>152</v>
      </c>
      <c r="P88" s="37" t="s">
        <v>153</v>
      </c>
      <c r="Q88" s="37" t="s">
        <v>154</v>
      </c>
      <c r="R88" s="37" t="s">
        <v>155</v>
      </c>
      <c r="S88" s="37" t="s">
        <v>156</v>
      </c>
      <c r="T88" s="37"/>
      <c r="U88" s="37"/>
      <c r="V88" s="37"/>
      <c r="W88" s="37"/>
      <c r="X88" s="37"/>
      <c r="Y88" s="37"/>
      <c r="Z88" s="37"/>
      <c r="AA88" s="37"/>
    </row>
    <row r="89" spans="1:27" x14ac:dyDescent="0.25">
      <c r="A89" s="37"/>
      <c r="B89" s="37"/>
      <c r="C89" s="37">
        <v>1.2000000000000002</v>
      </c>
      <c r="D89" s="37">
        <v>1.3199999999999998</v>
      </c>
      <c r="E89" s="37">
        <v>1.4</v>
      </c>
      <c r="F89" s="37">
        <v>1.88</v>
      </c>
      <c r="G89" s="37">
        <v>1.3199999999999994</v>
      </c>
      <c r="H89" s="37"/>
      <c r="J89" s="37"/>
      <c r="K89" s="37"/>
      <c r="L89" s="37"/>
      <c r="M89" s="37"/>
      <c r="N89" s="37"/>
      <c r="O89" s="37">
        <v>1.8800000000000008</v>
      </c>
      <c r="P89" s="37"/>
      <c r="Q89" s="37"/>
      <c r="R89" s="37"/>
      <c r="S89" s="37">
        <v>4.9200000000000017</v>
      </c>
      <c r="T89" s="37"/>
      <c r="U89" s="37"/>
      <c r="V89" s="37"/>
      <c r="W89" s="37"/>
      <c r="X89" s="37"/>
      <c r="Y89" s="37"/>
      <c r="Z89" s="37"/>
      <c r="AA89" s="37"/>
    </row>
    <row r="90" spans="1:27" x14ac:dyDescent="0.25">
      <c r="A90" s="37"/>
      <c r="B90" s="37"/>
      <c r="C90" s="37">
        <v>1.1600000000000001</v>
      </c>
      <c r="D90" s="37">
        <v>2.0399999999999996</v>
      </c>
      <c r="E90" s="37">
        <v>0.96000000000000085</v>
      </c>
      <c r="F90" s="37"/>
      <c r="G90" s="37">
        <v>2</v>
      </c>
      <c r="H90" s="37"/>
      <c r="I90" s="37">
        <v>1.4399999999999995</v>
      </c>
      <c r="J90" s="37"/>
      <c r="K90" s="37"/>
      <c r="L90" s="37">
        <v>1.1999999999999993</v>
      </c>
      <c r="M90" s="37"/>
      <c r="N90" s="37"/>
      <c r="O90" s="37">
        <v>2.16</v>
      </c>
      <c r="P90" s="37"/>
      <c r="Q90" s="37">
        <v>1.0400000000000009</v>
      </c>
      <c r="R90" s="37"/>
      <c r="S90" s="37">
        <v>1.5999999999999996</v>
      </c>
      <c r="T90" s="37"/>
      <c r="U90" s="37"/>
      <c r="V90" s="37"/>
      <c r="W90" s="37"/>
      <c r="X90" s="37"/>
      <c r="Y90" s="37"/>
      <c r="Z90" s="37"/>
      <c r="AA90" s="37"/>
    </row>
    <row r="91" spans="1:27" x14ac:dyDescent="0.25">
      <c r="A91" s="37"/>
      <c r="B91" s="37"/>
      <c r="C91" s="37">
        <v>0.99999999999999989</v>
      </c>
      <c r="D91" s="37"/>
      <c r="E91" s="37"/>
      <c r="F91" s="37"/>
      <c r="G91" s="37"/>
      <c r="H91" s="37"/>
      <c r="I91" s="37">
        <v>1.6800000000000006</v>
      </c>
      <c r="J91" s="37">
        <v>2</v>
      </c>
      <c r="K91" s="37"/>
      <c r="L91" s="37">
        <v>3.6399999999999988</v>
      </c>
      <c r="M91" s="37">
        <v>1.2000000000000011</v>
      </c>
      <c r="N91" s="37">
        <v>1.1600000000000001</v>
      </c>
      <c r="O91" s="37">
        <v>1.4000000000000004</v>
      </c>
      <c r="P91" s="37">
        <v>1.7999999999999989</v>
      </c>
      <c r="Q91" s="37">
        <v>0.92000000000000171</v>
      </c>
      <c r="R91" s="37">
        <v>2.1999999999999993</v>
      </c>
      <c r="S91" s="37">
        <v>1.120000000000001</v>
      </c>
      <c r="T91" s="37"/>
      <c r="U91" s="37"/>
      <c r="V91" s="37"/>
      <c r="W91" s="37"/>
      <c r="X91" s="37"/>
      <c r="Y91" s="37"/>
      <c r="Z91" s="37"/>
      <c r="AA91" s="37"/>
    </row>
    <row r="92" spans="1:27" x14ac:dyDescent="0.25">
      <c r="A92" s="37"/>
      <c r="B92" s="37"/>
      <c r="C92" s="37">
        <v>4.12</v>
      </c>
      <c r="D92" s="37"/>
      <c r="E92" s="37"/>
      <c r="F92" s="37">
        <v>2.8</v>
      </c>
      <c r="G92" s="37">
        <v>1.96</v>
      </c>
      <c r="H92" s="37">
        <v>2.1999999999999993</v>
      </c>
      <c r="I92" s="37">
        <v>3.4000000000000004</v>
      </c>
      <c r="J92" s="37">
        <v>1.92</v>
      </c>
      <c r="K92" s="37"/>
      <c r="L92" s="37">
        <v>2.5199999999999996</v>
      </c>
      <c r="M92" s="37">
        <v>1.3599999999999994</v>
      </c>
      <c r="N92" s="37">
        <v>1.6000000000000014</v>
      </c>
      <c r="O92" s="37">
        <v>0.92000000000000171</v>
      </c>
      <c r="P92" s="37">
        <v>1.4799999999999969</v>
      </c>
      <c r="Q92" s="37"/>
      <c r="R92" s="37">
        <v>2.120000000000001</v>
      </c>
      <c r="S92" s="37">
        <v>5.32</v>
      </c>
      <c r="T92" s="37"/>
      <c r="U92" s="37"/>
      <c r="V92" s="37"/>
      <c r="W92" s="37"/>
      <c r="X92" s="37"/>
      <c r="Y92" s="37"/>
      <c r="Z92" s="37"/>
      <c r="AA92" s="37"/>
    </row>
    <row r="93" spans="1:27" x14ac:dyDescent="0.25">
      <c r="A93" s="37"/>
      <c r="B93" s="37"/>
      <c r="C93" s="37">
        <v>2.48</v>
      </c>
      <c r="D93" s="37"/>
      <c r="E93" s="37">
        <v>2.3999999999999995</v>
      </c>
      <c r="F93" s="37">
        <v>3.92</v>
      </c>
      <c r="G93" s="37"/>
      <c r="H93" s="37">
        <v>2.5600000000000005</v>
      </c>
      <c r="I93" s="37">
        <v>1.7999999999999989</v>
      </c>
      <c r="J93" s="37">
        <v>2.9200000000000017</v>
      </c>
      <c r="K93" s="37">
        <v>1.1999999999999993</v>
      </c>
      <c r="L93" s="37">
        <v>1.3200000000000003</v>
      </c>
      <c r="M93" s="37">
        <v>1.6799999999999997</v>
      </c>
      <c r="N93" s="37">
        <v>1</v>
      </c>
      <c r="O93" s="37">
        <v>1.879999999999999</v>
      </c>
      <c r="P93" s="37"/>
      <c r="Q93" s="37">
        <v>2.120000000000001</v>
      </c>
      <c r="R93" s="37">
        <v>5.3999999999999986</v>
      </c>
      <c r="S93" s="37">
        <v>2.2000000000000028</v>
      </c>
      <c r="T93" s="37"/>
      <c r="U93" s="37"/>
      <c r="V93" s="37"/>
      <c r="W93" s="37"/>
      <c r="X93" s="37"/>
      <c r="Y93" s="37"/>
      <c r="Z93" s="37"/>
      <c r="AA93" s="37"/>
    </row>
    <row r="94" spans="1:27" x14ac:dyDescent="0.25">
      <c r="A94" s="37"/>
      <c r="B94" s="37"/>
      <c r="C94" s="37">
        <v>1.7200000000000002</v>
      </c>
      <c r="D94" s="37">
        <v>2</v>
      </c>
      <c r="E94" s="37"/>
      <c r="F94" s="37">
        <v>2.4799999999999995</v>
      </c>
      <c r="G94" s="37">
        <v>1.4800000000000004</v>
      </c>
      <c r="H94" s="37">
        <v>2.0399999999999991</v>
      </c>
      <c r="I94" s="37">
        <v>1.2000000000000011</v>
      </c>
      <c r="J94" s="37">
        <v>0</v>
      </c>
      <c r="K94" s="37">
        <v>1.3999999999999986</v>
      </c>
      <c r="L94" s="37">
        <v>1.2800000000000011</v>
      </c>
      <c r="M94" s="37">
        <v>1.2800000000000011</v>
      </c>
      <c r="N94" s="37">
        <v>1.5199999999999996</v>
      </c>
      <c r="O94" s="37">
        <v>1</v>
      </c>
      <c r="P94" s="37">
        <v>1.8000000000000007</v>
      </c>
      <c r="Q94" s="37">
        <v>1.5199999999999996</v>
      </c>
      <c r="R94" s="37">
        <v>2.2799999999999976</v>
      </c>
      <c r="S94" s="37">
        <v>2.2800000000000011</v>
      </c>
      <c r="T94" s="37"/>
      <c r="U94" s="37"/>
      <c r="V94" s="37"/>
      <c r="W94" s="37"/>
      <c r="X94" s="37"/>
      <c r="Y94" s="37"/>
      <c r="Z94" s="37"/>
      <c r="AA94" s="37"/>
    </row>
    <row r="95" spans="1:27" x14ac:dyDescent="0.25">
      <c r="A95" s="37"/>
      <c r="B95" s="37"/>
      <c r="C95" s="37">
        <v>2.3200000000000003</v>
      </c>
      <c r="D95" s="37">
        <v>1.1600000000000001</v>
      </c>
      <c r="E95" s="37">
        <v>1</v>
      </c>
      <c r="F95" s="37">
        <v>2</v>
      </c>
      <c r="G95" s="37">
        <v>1.7999999999999998</v>
      </c>
      <c r="H95" s="37">
        <v>1.8000000000000007</v>
      </c>
      <c r="I95" s="37">
        <v>2.0399999999999991</v>
      </c>
      <c r="J95" s="37">
        <v>2.16</v>
      </c>
      <c r="K95" s="37">
        <v>1.5199999999999996</v>
      </c>
      <c r="L95" s="37">
        <v>1.6799999999999997</v>
      </c>
      <c r="M95" s="37">
        <v>1.8000000000000007</v>
      </c>
      <c r="N95" s="37">
        <v>2.120000000000001</v>
      </c>
      <c r="O95" s="37">
        <v>2.3999999999999986</v>
      </c>
      <c r="P95" s="37">
        <v>1.879999999999999</v>
      </c>
      <c r="Q95" s="37">
        <v>1.120000000000001</v>
      </c>
      <c r="R95" s="37">
        <v>7.120000000000001</v>
      </c>
      <c r="S95" s="37"/>
      <c r="T95" s="37"/>
      <c r="U95" s="37"/>
      <c r="V95" s="37"/>
      <c r="W95" s="37"/>
      <c r="X95" s="37"/>
      <c r="Y95" s="37"/>
      <c r="Z95" s="37"/>
      <c r="AA95" s="37"/>
    </row>
    <row r="96" spans="1:27" x14ac:dyDescent="0.25">
      <c r="A96" s="37"/>
      <c r="B96" s="37"/>
      <c r="C96" s="37">
        <v>2.12</v>
      </c>
      <c r="D96" s="37">
        <v>1.1999999999999993</v>
      </c>
      <c r="E96" s="37">
        <v>1.6800000000000015</v>
      </c>
      <c r="F96" s="37">
        <v>0.67999999999999972</v>
      </c>
      <c r="G96" s="37">
        <v>1.8399999999999999</v>
      </c>
      <c r="H96" s="37"/>
      <c r="I96" s="37">
        <v>1.7999999999999989</v>
      </c>
      <c r="J96" s="37"/>
      <c r="K96" s="37">
        <v>1.5600000000000023</v>
      </c>
      <c r="L96" s="37">
        <v>1.2399999999999984</v>
      </c>
      <c r="M96" s="37">
        <v>5.5599999999999987</v>
      </c>
      <c r="N96" s="37">
        <v>1.6000000000000014</v>
      </c>
      <c r="O96" s="37"/>
      <c r="P96" s="37">
        <v>1.6000000000000014</v>
      </c>
      <c r="Q96" s="37">
        <v>2.0399999999999991</v>
      </c>
      <c r="R96" s="37">
        <v>4.6000000000000014</v>
      </c>
      <c r="S96" s="37">
        <v>4.68</v>
      </c>
      <c r="T96" s="37"/>
      <c r="U96" s="37"/>
      <c r="V96" s="37"/>
      <c r="W96" s="37"/>
      <c r="X96" s="37"/>
      <c r="Y96" s="37"/>
      <c r="Z96" s="37"/>
      <c r="AA96" s="37"/>
    </row>
    <row r="97" spans="1:27" x14ac:dyDescent="0.25">
      <c r="A97" s="37"/>
      <c r="B97" s="37"/>
      <c r="C97" s="37">
        <v>0.99999999999999956</v>
      </c>
      <c r="D97" s="37">
        <v>0.80000000000000071</v>
      </c>
      <c r="E97" s="37">
        <v>0</v>
      </c>
      <c r="F97" s="37">
        <v>2.1199999999999992</v>
      </c>
      <c r="G97" s="37">
        <v>1.08</v>
      </c>
      <c r="H97" s="37"/>
      <c r="I97" s="37"/>
      <c r="J97" s="37">
        <v>2.8800000000000008</v>
      </c>
      <c r="K97" s="37">
        <v>1.1999999999999993</v>
      </c>
      <c r="L97" s="37">
        <v>2.0400000000000009</v>
      </c>
      <c r="M97" s="37">
        <v>1.4799999999999986</v>
      </c>
      <c r="N97" s="37"/>
      <c r="O97" s="37"/>
      <c r="P97" s="37">
        <v>2.4000000000000021</v>
      </c>
      <c r="Q97" s="37">
        <v>1.7999999999999972</v>
      </c>
      <c r="R97" s="37">
        <v>3.6799999999999997</v>
      </c>
      <c r="S97" s="37">
        <v>3.8000000000000007</v>
      </c>
      <c r="T97" s="37"/>
      <c r="U97" s="37"/>
      <c r="V97" s="37"/>
      <c r="W97" s="37"/>
      <c r="X97" s="37"/>
      <c r="Y97" s="37"/>
      <c r="Z97" s="37"/>
      <c r="AA97" s="37"/>
    </row>
    <row r="98" spans="1:27" x14ac:dyDescent="0.25">
      <c r="A98" s="37"/>
      <c r="B98" s="37"/>
      <c r="C98" s="37">
        <v>1.08</v>
      </c>
      <c r="D98" s="37">
        <v>1.44</v>
      </c>
      <c r="E98" s="37">
        <v>1.7599999999999998</v>
      </c>
      <c r="F98" s="37"/>
      <c r="G98" s="37">
        <v>1.8000000000000007</v>
      </c>
      <c r="H98" s="37"/>
      <c r="I98" s="37">
        <v>2.5999999999999996</v>
      </c>
      <c r="J98" s="37">
        <v>1.4000000000000004</v>
      </c>
      <c r="K98" s="37">
        <v>4.5199999999999996</v>
      </c>
      <c r="L98" s="37">
        <v>2.4800000000000004</v>
      </c>
      <c r="M98" s="37">
        <v>0.80000000000000071</v>
      </c>
      <c r="N98" s="37">
        <v>1.2399999999999984</v>
      </c>
      <c r="O98" s="37">
        <v>3.8000000000000007</v>
      </c>
      <c r="P98" s="37">
        <v>1.759999999999998</v>
      </c>
      <c r="Q98" s="37">
        <v>1.8000000000000007</v>
      </c>
      <c r="R98" s="37"/>
      <c r="S98" s="37">
        <v>2.8000000000000007</v>
      </c>
      <c r="T98" s="37"/>
      <c r="U98" s="37"/>
      <c r="V98" s="37"/>
      <c r="W98" s="37"/>
      <c r="X98" s="37"/>
      <c r="Y98" s="37"/>
      <c r="Z98" s="37"/>
      <c r="AA98" s="37"/>
    </row>
    <row r="99" spans="1:27" x14ac:dyDescent="0.25">
      <c r="A99" s="37"/>
      <c r="B99" s="37"/>
      <c r="C99" s="37"/>
      <c r="D99" s="37">
        <v>1.7999999999999998</v>
      </c>
      <c r="E99" s="37">
        <v>1.88</v>
      </c>
      <c r="F99" s="37">
        <v>1.4799999999999995</v>
      </c>
      <c r="G99" s="37">
        <v>1.92</v>
      </c>
      <c r="H99" s="37">
        <v>1.92</v>
      </c>
      <c r="I99" s="37">
        <v>2.8000000000000007</v>
      </c>
      <c r="J99" s="37">
        <v>2.9599999999999991</v>
      </c>
      <c r="K99" s="37">
        <v>4.84</v>
      </c>
      <c r="L99" s="37">
        <v>3.6000000000000014</v>
      </c>
      <c r="M99" s="37">
        <v>2.3599999999999994</v>
      </c>
      <c r="N99" s="37">
        <v>2.3200000000000003</v>
      </c>
      <c r="O99" s="37">
        <v>1.4799999999999969</v>
      </c>
      <c r="P99" s="37">
        <v>1.6400000000000006</v>
      </c>
      <c r="Q99" s="37">
        <v>1.1600000000000037</v>
      </c>
      <c r="R99" s="37"/>
      <c r="S99" s="37"/>
      <c r="T99" s="37"/>
      <c r="U99" s="37"/>
      <c r="V99" s="37"/>
      <c r="W99" s="37"/>
      <c r="X99" s="37"/>
      <c r="Y99" s="37"/>
      <c r="Z99" s="37"/>
      <c r="AA99" s="37"/>
    </row>
    <row r="100" spans="1:27" x14ac:dyDescent="0.25">
      <c r="A100" s="37"/>
      <c r="B100" s="37"/>
      <c r="C100" s="37">
        <v>0.7200000000000002</v>
      </c>
      <c r="D100" s="37"/>
      <c r="E100" s="37">
        <v>1.7599999999999998</v>
      </c>
      <c r="F100" s="37">
        <v>0.71999999999999975</v>
      </c>
      <c r="G100" s="37">
        <v>1.1200000000000001</v>
      </c>
      <c r="H100" s="37"/>
      <c r="I100" s="37">
        <v>0.6800000000000006</v>
      </c>
      <c r="J100" s="37">
        <v>0.87999999999999989</v>
      </c>
      <c r="K100" s="37"/>
      <c r="L100" s="37">
        <v>2.2399999999999993</v>
      </c>
      <c r="M100" s="37">
        <v>1.1600000000000001</v>
      </c>
      <c r="N100" s="37"/>
      <c r="O100" s="37">
        <v>0.83999999999999986</v>
      </c>
      <c r="P100" s="37">
        <v>0.88000000000000078</v>
      </c>
      <c r="Q100" s="37">
        <v>1.1199999999999992</v>
      </c>
      <c r="R100" s="37"/>
      <c r="S100" s="37">
        <v>1.2000000000000011</v>
      </c>
      <c r="T100" s="37"/>
      <c r="U100" s="37"/>
      <c r="V100" s="37"/>
      <c r="W100" s="37"/>
      <c r="X100" s="37"/>
      <c r="Y100" s="37"/>
      <c r="Z100" s="37"/>
      <c r="AA100" s="37"/>
    </row>
    <row r="101" spans="1:27" x14ac:dyDescent="0.25">
      <c r="A101" s="37"/>
      <c r="B101" s="37"/>
      <c r="C101" s="37">
        <v>0.60000000000000009</v>
      </c>
      <c r="D101" s="37">
        <v>0.75999999999999979</v>
      </c>
      <c r="E101" s="37">
        <v>0.79999999999999982</v>
      </c>
      <c r="F101" s="37">
        <v>1</v>
      </c>
      <c r="G101" s="37">
        <v>1.3200000000000003</v>
      </c>
      <c r="H101" s="37">
        <v>1.5199999999999996</v>
      </c>
      <c r="I101" s="37"/>
      <c r="J101" s="37">
        <v>1.8000000000000007</v>
      </c>
      <c r="K101" s="37">
        <v>1.5999999999999996</v>
      </c>
      <c r="L101" s="37"/>
      <c r="M101" s="37">
        <v>2.2799999999999994</v>
      </c>
      <c r="N101" s="37"/>
      <c r="O101" s="37">
        <v>1.4800000000000004</v>
      </c>
      <c r="P101" s="37">
        <v>2.8000000000000007</v>
      </c>
      <c r="Q101" s="37">
        <v>0.64000000000000057</v>
      </c>
      <c r="R101" s="37"/>
      <c r="S101" s="37">
        <v>2.0799999999999983</v>
      </c>
      <c r="T101" s="37"/>
      <c r="U101" s="37"/>
      <c r="V101" s="37"/>
      <c r="W101" s="37"/>
      <c r="X101" s="37"/>
      <c r="Y101" s="37"/>
      <c r="Z101" s="37"/>
      <c r="AA101" s="37"/>
    </row>
    <row r="102" spans="1:27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</row>
    <row r="103" spans="1:27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</row>
    <row r="104" spans="1:27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</row>
    <row r="105" spans="1:27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</row>
    <row r="106" spans="1:27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</row>
    <row r="110" spans="1:27" x14ac:dyDescent="0.25">
      <c r="C110" s="149" t="s">
        <v>140</v>
      </c>
      <c r="D110" s="149" t="s">
        <v>141</v>
      </c>
      <c r="E110" s="149" t="s">
        <v>142</v>
      </c>
      <c r="F110" s="149" t="s">
        <v>143</v>
      </c>
      <c r="G110" s="149" t="s">
        <v>144</v>
      </c>
      <c r="H110" s="149" t="s">
        <v>145</v>
      </c>
      <c r="I110" s="149" t="s">
        <v>146</v>
      </c>
      <c r="J110" s="149" t="s">
        <v>147</v>
      </c>
      <c r="K110" s="149" t="s">
        <v>148</v>
      </c>
      <c r="L110" s="149" t="s">
        <v>149</v>
      </c>
    </row>
    <row r="111" spans="1:27" x14ac:dyDescent="0.25">
      <c r="C111" s="149">
        <v>2.2400000000000002</v>
      </c>
      <c r="D111" s="149">
        <v>2.5999999999999996</v>
      </c>
      <c r="E111" s="149">
        <v>1.96</v>
      </c>
      <c r="F111" s="149">
        <v>2.2000000000000011</v>
      </c>
      <c r="G111" s="149">
        <v>2.1999999999999993</v>
      </c>
      <c r="H111" s="149">
        <v>1.4000000000000004</v>
      </c>
      <c r="I111" s="149">
        <v>2.84</v>
      </c>
      <c r="J111" s="149">
        <v>2.9600000000000009</v>
      </c>
      <c r="K111" s="149">
        <v>2.4399999999999977</v>
      </c>
      <c r="L111" s="149">
        <v>2.4000000000000021</v>
      </c>
      <c r="M111" s="149"/>
      <c r="N111" s="152"/>
      <c r="O111" s="152"/>
    </row>
    <row r="112" spans="1:27" x14ac:dyDescent="0.25">
      <c r="C112" s="149">
        <v>0.99999999999999956</v>
      </c>
      <c r="D112" s="149">
        <v>3.4800000000000004</v>
      </c>
      <c r="E112" s="149">
        <v>2.1199999999999992</v>
      </c>
      <c r="F112" s="149">
        <v>1.2000000000000011</v>
      </c>
      <c r="G112" s="149">
        <v>1.5999999999999996</v>
      </c>
      <c r="H112" s="149">
        <v>1.7599999999999998</v>
      </c>
      <c r="I112" s="149">
        <v>2.8000000000000007</v>
      </c>
      <c r="J112" s="149">
        <v>2.72</v>
      </c>
      <c r="K112" s="149">
        <v>3.3200000000000003</v>
      </c>
      <c r="L112" s="149">
        <v>1.879999999999999</v>
      </c>
    </row>
    <row r="113" spans="3:12" x14ac:dyDescent="0.25">
      <c r="C113" s="149">
        <v>1.4</v>
      </c>
      <c r="D113" s="149">
        <v>3.0000000000000004</v>
      </c>
      <c r="E113" s="149">
        <v>1.879999999999999</v>
      </c>
      <c r="F113" s="149">
        <v>1.4800000000000004</v>
      </c>
      <c r="G113" s="149">
        <v>2</v>
      </c>
      <c r="H113" s="149">
        <v>3.120000000000001</v>
      </c>
      <c r="I113" s="149">
        <v>1.8000000000000007</v>
      </c>
      <c r="J113" s="149">
        <v>1.1999999999999993</v>
      </c>
      <c r="K113" s="149">
        <v>2.4800000000000004</v>
      </c>
      <c r="L113" s="149">
        <v>3.5999999999999979</v>
      </c>
    </row>
    <row r="114" spans="3:12" x14ac:dyDescent="0.25">
      <c r="C114" s="149">
        <v>1.3999999999999995</v>
      </c>
      <c r="D114" s="149">
        <v>4</v>
      </c>
      <c r="E114" s="149">
        <v>1</v>
      </c>
      <c r="F114" s="149">
        <v>1.0400000000000009</v>
      </c>
      <c r="G114" s="149">
        <v>1.5999999999999979</v>
      </c>
      <c r="H114" s="149">
        <v>2.6800000000000033</v>
      </c>
      <c r="I114" s="149">
        <v>1.5199999999999996</v>
      </c>
      <c r="J114" s="149">
        <v>1.5599999999999987</v>
      </c>
      <c r="K114" s="149">
        <v>2.120000000000001</v>
      </c>
      <c r="L114" s="149">
        <v>1.4800000000000004</v>
      </c>
    </row>
    <row r="115" spans="3:12" x14ac:dyDescent="0.25">
      <c r="C115" s="149">
        <v>2.12</v>
      </c>
      <c r="D115" s="149">
        <v>0.75999999999999979</v>
      </c>
      <c r="E115" s="149">
        <v>3.1199999999999992</v>
      </c>
      <c r="F115" s="149">
        <v>2.6000000000000014</v>
      </c>
      <c r="G115" s="149">
        <v>1.7199999999999989</v>
      </c>
      <c r="H115" s="149">
        <v>1.6799999999999997</v>
      </c>
      <c r="I115" s="149">
        <v>1.879999999999999</v>
      </c>
      <c r="J115" s="149">
        <v>2.3200000000000003</v>
      </c>
      <c r="K115" s="149">
        <v>2.2800000000000011</v>
      </c>
      <c r="L115" s="149">
        <v>1.120000000000001</v>
      </c>
    </row>
    <row r="116" spans="3:12" x14ac:dyDescent="0.25">
      <c r="C116" s="149">
        <v>2.4799999999999995</v>
      </c>
      <c r="D116" s="149">
        <v>1.3999999999999995</v>
      </c>
      <c r="E116" s="149">
        <v>1.2000000000000011</v>
      </c>
      <c r="F116" s="149">
        <v>2</v>
      </c>
      <c r="G116" s="149">
        <v>1.7199999999999989</v>
      </c>
      <c r="H116" s="149">
        <v>2.3600000000000012</v>
      </c>
      <c r="I116" s="149">
        <v>1.7999999999999989</v>
      </c>
      <c r="J116" s="149">
        <v>1.4000000000000021</v>
      </c>
      <c r="K116" s="149">
        <v>2.3199999999999998</v>
      </c>
      <c r="L116" s="149">
        <v>1.879999999999999</v>
      </c>
    </row>
    <row r="117" spans="3:12" x14ac:dyDescent="0.25">
      <c r="C117" s="150">
        <v>1.3199999999999998</v>
      </c>
      <c r="D117" s="150">
        <v>0.88000000000000012</v>
      </c>
      <c r="E117" s="150">
        <v>1.8400000000000003</v>
      </c>
      <c r="F117" s="150">
        <v>3.5599999999999996</v>
      </c>
      <c r="G117" s="150">
        <v>2.0399999999999991</v>
      </c>
      <c r="H117" s="150">
        <v>1.8800000000000008</v>
      </c>
      <c r="I117" s="150">
        <v>3.4800000000000004</v>
      </c>
      <c r="J117" s="150">
        <v>0.91999999999999993</v>
      </c>
      <c r="K117" s="150">
        <v>0.87999999999999901</v>
      </c>
      <c r="L117" s="150">
        <v>2.6400000000000006</v>
      </c>
    </row>
    <row r="118" spans="3:12" x14ac:dyDescent="0.25">
      <c r="C118" s="149">
        <v>2.3199999999999994</v>
      </c>
      <c r="D118" s="149">
        <v>2.5599999999999996</v>
      </c>
      <c r="E118" s="149">
        <v>1</v>
      </c>
      <c r="F118" s="149">
        <v>3.8000000000000007</v>
      </c>
      <c r="G118" s="149">
        <v>0.91999999999999993</v>
      </c>
      <c r="H118" s="149">
        <v>2.5999999999999996</v>
      </c>
      <c r="I118" s="149">
        <v>1.9200000000000017</v>
      </c>
      <c r="J118" s="149">
        <v>1.3999999999999986</v>
      </c>
      <c r="K118" s="149">
        <v>1.6799999999999997</v>
      </c>
      <c r="L118" s="149">
        <v>2</v>
      </c>
    </row>
    <row r="119" spans="3:12" x14ac:dyDescent="0.25">
      <c r="C119" s="149">
        <v>2.8</v>
      </c>
      <c r="D119" s="149">
        <v>3.12</v>
      </c>
      <c r="E119" s="149">
        <v>1.4800000000000004</v>
      </c>
      <c r="F119" s="149">
        <v>1.879999999999999</v>
      </c>
      <c r="G119" s="149">
        <v>0.72000000000000064</v>
      </c>
      <c r="H119" s="149">
        <v>1</v>
      </c>
      <c r="I119" s="149">
        <v>0.72000000000000064</v>
      </c>
      <c r="J119" s="149">
        <v>1.7599999999999998</v>
      </c>
      <c r="K119" s="149">
        <v>0.59999999999999964</v>
      </c>
      <c r="L119" s="149">
        <v>2.2000000000000011</v>
      </c>
    </row>
    <row r="120" spans="3:12" x14ac:dyDescent="0.25">
      <c r="C120" s="149">
        <v>0.88</v>
      </c>
      <c r="D120" s="149">
        <v>1.32</v>
      </c>
      <c r="E120" s="149">
        <v>1</v>
      </c>
      <c r="F120" s="149">
        <v>1.4799999999999995</v>
      </c>
      <c r="G120" s="149">
        <v>1.7200000000000006</v>
      </c>
      <c r="H120" s="149">
        <v>0.75999999999999979</v>
      </c>
      <c r="I120" s="149">
        <v>1.5199999999999996</v>
      </c>
      <c r="J120" s="149">
        <v>3.7200000000000006</v>
      </c>
      <c r="K120" s="149">
        <v>1.7599999999999998</v>
      </c>
      <c r="L120" s="149">
        <v>2.3199999999999985</v>
      </c>
    </row>
    <row r="121" spans="3:12" x14ac:dyDescent="0.25">
      <c r="C121" s="149">
        <v>2.120000000000001</v>
      </c>
      <c r="D121" s="149">
        <v>1.7199999999999989</v>
      </c>
      <c r="E121" s="149">
        <v>1.2800000000000011</v>
      </c>
      <c r="F121" s="149">
        <v>1.5199999999999996</v>
      </c>
      <c r="G121" s="149">
        <v>4.16</v>
      </c>
      <c r="H121" s="149">
        <v>0.39999999999999858</v>
      </c>
      <c r="I121" s="149">
        <v>1.879999999999999</v>
      </c>
      <c r="J121" s="149">
        <v>1.8399999999999999</v>
      </c>
      <c r="K121" s="149">
        <v>2.6799999999999997</v>
      </c>
      <c r="L121" s="149">
        <v>1.52</v>
      </c>
    </row>
    <row r="122" spans="3:12" x14ac:dyDescent="0.25">
      <c r="C122" s="149">
        <v>0.60000000000000053</v>
      </c>
      <c r="D122" s="149">
        <v>2.3199999999999994</v>
      </c>
      <c r="E122" s="149">
        <v>1</v>
      </c>
      <c r="F122" s="149">
        <v>2.0000000000000009</v>
      </c>
      <c r="G122" s="149">
        <v>1.3599999999999994</v>
      </c>
      <c r="H122" s="149">
        <v>1.4000000000000004</v>
      </c>
      <c r="I122" s="149">
        <v>1.6399999999999988</v>
      </c>
      <c r="J122" s="149">
        <v>1.9599999999999991</v>
      </c>
      <c r="K122" s="149">
        <v>1.84</v>
      </c>
      <c r="L122" s="149">
        <v>1.759999999999998</v>
      </c>
    </row>
    <row r="123" spans="3:12" x14ac:dyDescent="0.25">
      <c r="C123" s="149">
        <v>1.4</v>
      </c>
      <c r="D123" s="149">
        <v>0.80000000000000027</v>
      </c>
      <c r="E123" s="149">
        <v>0.87999999999999989</v>
      </c>
      <c r="F123" s="149">
        <v>1</v>
      </c>
      <c r="G123" s="149">
        <v>2.12</v>
      </c>
      <c r="H123" s="149">
        <v>1.5999999999999996</v>
      </c>
      <c r="I123" s="149">
        <v>1.08</v>
      </c>
      <c r="J123" s="149">
        <v>1.1199999999999992</v>
      </c>
      <c r="K123" s="149">
        <v>2.6800000000000015</v>
      </c>
      <c r="L123" s="149">
        <v>2.0799999999999983</v>
      </c>
    </row>
    <row r="124" spans="3:12" x14ac:dyDescent="0.25">
      <c r="C124" s="150">
        <v>1.9600000000000004</v>
      </c>
      <c r="D124" s="150">
        <v>2.5999999999999996</v>
      </c>
      <c r="E124" s="150">
        <v>1.8399999999999999</v>
      </c>
      <c r="F124" s="150">
        <v>2.5600000000000005</v>
      </c>
      <c r="G124" s="150">
        <v>6.120000000000001</v>
      </c>
      <c r="H124" s="150">
        <v>1.879999999999999</v>
      </c>
      <c r="I124" s="150">
        <v>3.120000000000001</v>
      </c>
      <c r="J124" s="150">
        <v>2.1999999999999993</v>
      </c>
      <c r="K124" s="150">
        <v>2.3200000000000003</v>
      </c>
      <c r="L124" s="150">
        <v>2.759999999999998</v>
      </c>
    </row>
    <row r="125" spans="3:12" x14ac:dyDescent="0.25">
      <c r="C125" s="150">
        <v>2.8800000000000003</v>
      </c>
      <c r="D125" s="150">
        <v>3.2399999999999993</v>
      </c>
      <c r="E125" s="150">
        <v>2.4000000000000004</v>
      </c>
      <c r="F125" s="150">
        <v>1.3599999999999994</v>
      </c>
      <c r="G125" s="150">
        <v>1.92</v>
      </c>
      <c r="H125" s="150">
        <v>3.1999999999999993</v>
      </c>
      <c r="I125" s="150">
        <v>1.2800000000000011</v>
      </c>
      <c r="J125" s="150">
        <v>2.8000000000000007</v>
      </c>
      <c r="K125" s="150">
        <v>1.4400000000000013</v>
      </c>
      <c r="L125" s="150">
        <v>2.2799999999999976</v>
      </c>
    </row>
    <row r="126" spans="3:12" x14ac:dyDescent="0.25">
      <c r="C126" s="151">
        <v>1.2000000000000002</v>
      </c>
      <c r="D126" s="151">
        <v>2.2000000000000002</v>
      </c>
      <c r="E126" s="151">
        <v>1.04</v>
      </c>
      <c r="F126" s="151">
        <v>4.08</v>
      </c>
      <c r="G126" s="151">
        <v>5.08</v>
      </c>
      <c r="H126" s="151">
        <v>5</v>
      </c>
      <c r="I126" s="151">
        <v>1.9199999999999982</v>
      </c>
      <c r="J126" s="151">
        <v>1.120000000000001</v>
      </c>
      <c r="K126" s="151">
        <v>2.8000000000000007</v>
      </c>
      <c r="L126" s="151">
        <v>2</v>
      </c>
    </row>
    <row r="127" spans="3:12" x14ac:dyDescent="0.25">
      <c r="C127" s="150">
        <v>2.9600000000000004</v>
      </c>
      <c r="D127" s="150">
        <v>1.4399999999999995</v>
      </c>
      <c r="E127" s="150">
        <v>2.1999999999999993</v>
      </c>
      <c r="F127" s="150">
        <v>2.4800000000000004</v>
      </c>
      <c r="G127" s="150">
        <v>5.879999999999999</v>
      </c>
      <c r="H127" s="150">
        <v>2.0400000000000027</v>
      </c>
      <c r="I127" s="150">
        <v>0.87999999999999901</v>
      </c>
      <c r="J127" s="150">
        <v>1.879999999999999</v>
      </c>
      <c r="K127" s="150">
        <v>2.120000000000001</v>
      </c>
      <c r="L127" s="150">
        <v>2.1999999999999993</v>
      </c>
    </row>
    <row r="128" spans="3:12" x14ac:dyDescent="0.25">
      <c r="C128" s="151">
        <v>1.8000000000000003</v>
      </c>
      <c r="D128" s="151">
        <v>3.8399999999999994</v>
      </c>
      <c r="E128" s="151">
        <v>2.5999999999999996</v>
      </c>
      <c r="F128" s="151">
        <v>2.2800000000000011</v>
      </c>
      <c r="G128" s="151">
        <v>2.08</v>
      </c>
      <c r="H128" s="151">
        <v>3.0399999999999991</v>
      </c>
      <c r="I128" s="151">
        <v>3.879999999999999</v>
      </c>
      <c r="J128" s="151">
        <v>2.0800000000000018</v>
      </c>
      <c r="K128" s="151">
        <v>3.120000000000001</v>
      </c>
      <c r="L128" s="151">
        <v>1.3200000000000003</v>
      </c>
    </row>
    <row r="129" spans="3:12" x14ac:dyDescent="0.25">
      <c r="C129" s="151">
        <v>2.04</v>
      </c>
      <c r="D129" s="151">
        <v>2.4800000000000004</v>
      </c>
      <c r="E129" s="151">
        <v>1.5999999999999996</v>
      </c>
      <c r="F129" s="151">
        <v>2.4000000000000004</v>
      </c>
      <c r="G129" s="151">
        <v>2.2799999999999994</v>
      </c>
      <c r="H129" s="151">
        <v>3.8000000000000007</v>
      </c>
      <c r="I129" s="151">
        <v>3.120000000000001</v>
      </c>
      <c r="J129" s="151">
        <v>2.1999999999999993</v>
      </c>
      <c r="K129" s="151">
        <v>1.3999999999999986</v>
      </c>
      <c r="L129" s="151">
        <v>2</v>
      </c>
    </row>
    <row r="130" spans="3:12" x14ac:dyDescent="0.25">
      <c r="C130" s="151">
        <v>2.3199999999999998</v>
      </c>
      <c r="D130" s="151">
        <v>2</v>
      </c>
      <c r="E130" s="151">
        <v>1.2800000000000002</v>
      </c>
      <c r="F130" s="151">
        <v>1.08</v>
      </c>
      <c r="G130" s="151">
        <v>2.5200000000000005</v>
      </c>
      <c r="H130" s="151">
        <v>2.08</v>
      </c>
      <c r="I130" s="151">
        <v>2.1199999999999992</v>
      </c>
      <c r="J130" s="151">
        <v>1.08</v>
      </c>
      <c r="K130" s="151">
        <v>3.1999999999999993</v>
      </c>
      <c r="L130" s="151">
        <v>2.240000000000002</v>
      </c>
    </row>
    <row r="131" spans="3:12" x14ac:dyDescent="0.25">
      <c r="C131" s="150">
        <v>2.1199999999999992</v>
      </c>
      <c r="D131" s="150">
        <v>1.9600000000000009</v>
      </c>
      <c r="E131" s="150">
        <v>1.2400000000000002</v>
      </c>
      <c r="F131" s="150">
        <v>1.3599999999999994</v>
      </c>
      <c r="G131" s="150">
        <v>1.6000000000000014</v>
      </c>
      <c r="H131" s="150">
        <v>2.1199999999999974</v>
      </c>
      <c r="I131" s="150">
        <v>2.8800000000000026</v>
      </c>
      <c r="J131" s="150">
        <v>4.32</v>
      </c>
      <c r="K131" s="150">
        <v>1.3199999999999967</v>
      </c>
      <c r="L131" s="150">
        <v>2.7600000000000016</v>
      </c>
    </row>
    <row r="132" spans="3:12" x14ac:dyDescent="0.25">
      <c r="C132" s="151">
        <v>1.04</v>
      </c>
      <c r="D132" s="151">
        <v>1.1600000000000001</v>
      </c>
      <c r="E132" s="151">
        <v>1.2400000000000002</v>
      </c>
      <c r="F132" s="151">
        <v>2.16</v>
      </c>
      <c r="G132" s="151">
        <v>2.6399999999999988</v>
      </c>
      <c r="H132" s="151">
        <v>2.2000000000000011</v>
      </c>
      <c r="I132" s="151">
        <v>2.6799999999999997</v>
      </c>
      <c r="J132" s="151">
        <v>1.4800000000000004</v>
      </c>
      <c r="K132" s="151">
        <v>1.6400000000000006</v>
      </c>
      <c r="L132" s="151">
        <v>1.6799999999999997</v>
      </c>
    </row>
    <row r="133" spans="3:12" x14ac:dyDescent="0.25">
      <c r="C133" s="150">
        <v>1.6400000000000001</v>
      </c>
      <c r="D133" s="150">
        <v>2.2800000000000002</v>
      </c>
      <c r="E133" s="150">
        <v>2.2799999999999994</v>
      </c>
      <c r="F133" s="150">
        <v>2.120000000000001</v>
      </c>
      <c r="G133" s="150">
        <v>1.08</v>
      </c>
      <c r="H133" s="150">
        <v>1.7999999999999989</v>
      </c>
      <c r="I133" s="150">
        <v>5.1999999999999993</v>
      </c>
      <c r="J133" s="150">
        <v>1.6000000000000014</v>
      </c>
      <c r="K133" s="150">
        <v>2.9199999999999982</v>
      </c>
      <c r="L133" s="150">
        <v>3</v>
      </c>
    </row>
    <row r="134" spans="3:12" x14ac:dyDescent="0.25">
      <c r="C134" s="150">
        <v>1.72</v>
      </c>
      <c r="D134" s="150">
        <v>1.7199999999999998</v>
      </c>
      <c r="E134" s="150">
        <v>1.96</v>
      </c>
      <c r="F134" s="150">
        <v>1.2400000000000002</v>
      </c>
      <c r="G134" s="150">
        <v>1.1999999999999993</v>
      </c>
      <c r="H134" s="150">
        <v>4.5600000000000005</v>
      </c>
      <c r="I134" s="150">
        <v>2.2400000000000002</v>
      </c>
      <c r="J134" s="150">
        <v>6.8800000000000008</v>
      </c>
      <c r="K134" s="150">
        <v>4.32</v>
      </c>
      <c r="L134" s="150">
        <v>1.3999999999999986</v>
      </c>
    </row>
    <row r="135" spans="3:12" x14ac:dyDescent="0.25">
      <c r="C135" s="151">
        <v>1</v>
      </c>
      <c r="D135" s="151">
        <v>1.7199999999999998</v>
      </c>
      <c r="E135" s="151">
        <v>1.8000000000000007</v>
      </c>
      <c r="F135" s="151">
        <v>1.4000000000000004</v>
      </c>
      <c r="G135" s="151">
        <v>1.6799999999999997</v>
      </c>
      <c r="H135" s="151">
        <v>2.5999999999999996</v>
      </c>
      <c r="I135" s="151">
        <v>5.1199999999999992</v>
      </c>
      <c r="J135" s="151">
        <v>7.4000000000000021</v>
      </c>
      <c r="K135" s="151">
        <v>3.4799999999999969</v>
      </c>
      <c r="L135" s="151">
        <v>1.6000000000000014</v>
      </c>
    </row>
    <row r="136" spans="3:12" x14ac:dyDescent="0.25">
      <c r="C136" s="151">
        <v>2.16</v>
      </c>
      <c r="D136" s="151">
        <v>1.92</v>
      </c>
      <c r="E136" s="151">
        <v>1.88</v>
      </c>
      <c r="F136" s="151">
        <v>3.8400000000000007</v>
      </c>
      <c r="G136" s="151">
        <v>1.4799999999999986</v>
      </c>
      <c r="H136" s="151">
        <v>1.7200000000000006</v>
      </c>
      <c r="I136" s="151">
        <v>1.2000000000000011</v>
      </c>
      <c r="J136" s="151">
        <v>4.68</v>
      </c>
      <c r="K136" s="151">
        <v>1.3200000000000003</v>
      </c>
      <c r="L136" s="151">
        <v>4.8000000000000007</v>
      </c>
    </row>
  </sheetData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DDF96-0406-45F9-AF3E-47E7BEF1A685}">
  <sheetPr codeName="Sheet1"/>
  <dimension ref="A1:W127"/>
  <sheetViews>
    <sheetView workbookViewId="0">
      <selection activeCell="F6" sqref="F6"/>
    </sheetView>
  </sheetViews>
  <sheetFormatPr defaultRowHeight="15" x14ac:dyDescent="0.25"/>
  <cols>
    <col min="2" max="2" width="10.28515625" bestFit="1" customWidth="1"/>
    <col min="3" max="3" width="13.5703125" customWidth="1"/>
    <col min="4" max="4" width="14.7109375" style="15" bestFit="1" customWidth="1"/>
    <col min="5" max="5" width="12.140625" bestFit="1" customWidth="1"/>
    <col min="6" max="6" width="12.85546875" bestFit="1" customWidth="1"/>
    <col min="8" max="8" width="12.570312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2" ht="15.75" x14ac:dyDescent="0.25">
      <c r="C1" s="155" t="s">
        <v>35</v>
      </c>
      <c r="D1" s="155"/>
      <c r="E1" s="35" t="s">
        <v>60</v>
      </c>
      <c r="F1" s="35"/>
      <c r="G1" s="35"/>
      <c r="H1" s="35"/>
      <c r="I1" s="35"/>
      <c r="J1" s="35"/>
    </row>
    <row r="2" spans="1:22" ht="15.75" x14ac:dyDescent="0.25"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</row>
    <row r="3" spans="1:22" ht="15.75" x14ac:dyDescent="0.25"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</row>
    <row r="4" spans="1:22" ht="15.75" x14ac:dyDescent="0.25"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</row>
    <row r="5" spans="1:22" ht="15.75" x14ac:dyDescent="0.25">
      <c r="E5" s="29" t="s">
        <v>32</v>
      </c>
      <c r="F5" s="29" t="s">
        <v>31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</row>
    <row r="6" spans="1:22" ht="15.75" x14ac:dyDescent="0.25">
      <c r="D6" s="29" t="s">
        <v>136</v>
      </c>
      <c r="E6" s="25">
        <f>COUNTA(B13:B86)*3600/D86</f>
        <v>6098.9010989010985</v>
      </c>
      <c r="F6" s="25">
        <f>SUM(C13:C86)*3600/D86</f>
        <v>4837.0879120879135</v>
      </c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ht="15.75" x14ac:dyDescent="0.25">
      <c r="D7" s="29" t="s">
        <v>30</v>
      </c>
      <c r="E7" s="25">
        <f>SUM(E37:E54)</f>
        <v>8.6799999999999979</v>
      </c>
      <c r="F7" s="25">
        <f>SUM(F37:F54)</f>
        <v>6.7747999999999999</v>
      </c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ht="16.5" thickBot="1" x14ac:dyDescent="0.3">
      <c r="D8" s="29" t="s">
        <v>21</v>
      </c>
      <c r="E8" s="28">
        <f>AVERAGEIF(E16:E86,"&lt;&gt;0")</f>
        <v>0.58873239436619729</v>
      </c>
      <c r="F8" s="28">
        <f>AVERAGEIF(F19:F86,"&lt;&gt;0")</f>
        <v>0.48629999999999995</v>
      </c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6.5" thickBot="1" x14ac:dyDescent="0.3">
      <c r="D9" s="29" t="s">
        <v>7</v>
      </c>
      <c r="E9" s="27">
        <f>3600/E8</f>
        <v>6114.8325358851662</v>
      </c>
      <c r="F9" s="31">
        <f>1200/F8</f>
        <v>2467.6125848241827</v>
      </c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.75" x14ac:dyDescent="0.25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ht="15.75" x14ac:dyDescent="0.25">
      <c r="A11" s="156" t="s">
        <v>26</v>
      </c>
      <c r="B11" s="156"/>
      <c r="C11" s="156"/>
      <c r="D11" s="156"/>
      <c r="E11" s="156"/>
      <c r="F11" s="156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ht="56.25" customHeight="1" x14ac:dyDescent="0.25">
      <c r="A12" s="57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ht="15.75" x14ac:dyDescent="0.25">
      <c r="A13" s="118">
        <v>2</v>
      </c>
      <c r="B13" s="115" t="s">
        <v>12</v>
      </c>
      <c r="C13" s="117">
        <f>VLOOKUP(B13,Log!$B$2:$C$8,2,)</f>
        <v>1</v>
      </c>
      <c r="D13" s="117">
        <v>0</v>
      </c>
      <c r="E13" s="119">
        <v>0</v>
      </c>
      <c r="F13" s="119">
        <v>0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ht="15.75" x14ac:dyDescent="0.25">
      <c r="A14" s="118">
        <v>9</v>
      </c>
      <c r="B14" s="115" t="s">
        <v>13</v>
      </c>
      <c r="C14" s="117">
        <f>VLOOKUP(B14,Log!$B$2:$C$8,2,)</f>
        <v>0.38</v>
      </c>
      <c r="D14" s="117">
        <v>1.48</v>
      </c>
      <c r="E14" s="119">
        <f>D14-D13</f>
        <v>1.48</v>
      </c>
      <c r="F14" s="109">
        <f>IF(E20&lt;&gt;0,C14*E14,IF(E26=0,(C14+C20+C26)*E14,(C14+C20)*E14))</f>
        <v>0.56240000000000001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ht="15.75" x14ac:dyDescent="0.25">
      <c r="A15" s="118">
        <v>17</v>
      </c>
      <c r="B15" s="115" t="s">
        <v>13</v>
      </c>
      <c r="C15" s="117">
        <f>VLOOKUP(B15,Log!$B$2:$C$8,2,)</f>
        <v>0.38</v>
      </c>
      <c r="D15" s="117">
        <v>1.88</v>
      </c>
      <c r="E15" s="119">
        <f t="shared" ref="E15:E78" si="0">D15-D14</f>
        <v>0.39999999999999991</v>
      </c>
      <c r="F15" s="109">
        <f>IF(E19&lt;&gt;0,C15*E15,IF(E27=0,(C15+C19+C27)*E15,(C15+C19)*E15))</f>
        <v>0.15199999999999997</v>
      </c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 ht="15.75" x14ac:dyDescent="0.25">
      <c r="A16" s="118">
        <v>3</v>
      </c>
      <c r="B16" s="115" t="s">
        <v>12</v>
      </c>
      <c r="C16" s="117">
        <f>VLOOKUP(B16,Log!$B$2:$C$8,2,)</f>
        <v>1</v>
      </c>
      <c r="D16" s="117">
        <v>2.8</v>
      </c>
      <c r="E16" s="119">
        <f t="shared" si="0"/>
        <v>0.91999999999999993</v>
      </c>
      <c r="F16" s="109">
        <f t="shared" ref="F16:F78" si="1">IF(E21&lt;&gt;0,C16*E16,IF(E28=0,(C16+C21+C28)*E16,(C16+C21)*E16))</f>
        <v>0.91999999999999993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14" x14ac:dyDescent="0.25">
      <c r="A17" s="118">
        <v>3</v>
      </c>
      <c r="B17" s="115" t="s">
        <v>12</v>
      </c>
      <c r="C17" s="117">
        <f>VLOOKUP(B17,Log!$B$2:$C$8,2,)</f>
        <v>1</v>
      </c>
      <c r="D17" s="117">
        <v>2.92</v>
      </c>
      <c r="E17" s="119">
        <f t="shared" si="0"/>
        <v>0.12000000000000011</v>
      </c>
      <c r="F17" s="109">
        <f t="shared" si="1"/>
        <v>0.12000000000000011</v>
      </c>
      <c r="N17" s="15"/>
    </row>
    <row r="18" spans="1:14" x14ac:dyDescent="0.25">
      <c r="A18" s="118">
        <v>8</v>
      </c>
      <c r="B18" s="115" t="s">
        <v>14</v>
      </c>
      <c r="C18" s="117">
        <f>VLOOKUP(B18,Log!$B$2:$C$8,2,)</f>
        <v>0.45</v>
      </c>
      <c r="D18" s="117">
        <v>3.6</v>
      </c>
      <c r="E18" s="119">
        <f t="shared" si="0"/>
        <v>0.68000000000000016</v>
      </c>
      <c r="F18" s="109">
        <f t="shared" si="1"/>
        <v>0.30600000000000011</v>
      </c>
      <c r="N18" s="15"/>
    </row>
    <row r="19" spans="1:14" x14ac:dyDescent="0.25">
      <c r="A19" s="16">
        <v>21</v>
      </c>
      <c r="B19" s="62" t="s">
        <v>13</v>
      </c>
      <c r="C19" s="5">
        <f>VLOOKUP(B19,Log!$B$2:$C$8,2,)</f>
        <v>0.38</v>
      </c>
      <c r="D19" s="5">
        <v>4.08</v>
      </c>
      <c r="E19" s="119">
        <f t="shared" si="0"/>
        <v>0.48</v>
      </c>
      <c r="F19" s="109">
        <f>IF(E25&lt;&gt;0,C19*E19,IF(E32=0,(C19+C25+C32)*E19,(C19+C25)*E19))</f>
        <v>0.18240000000000001</v>
      </c>
      <c r="N19" s="15"/>
    </row>
    <row r="20" spans="1:14" x14ac:dyDescent="0.25">
      <c r="A20" s="16">
        <v>56</v>
      </c>
      <c r="B20" s="62" t="s">
        <v>13</v>
      </c>
      <c r="C20" s="5">
        <f>VLOOKUP(B20,Log!$B$2:$C$8,2,)</f>
        <v>0.38</v>
      </c>
      <c r="D20" s="5">
        <v>4.5999999999999996</v>
      </c>
      <c r="E20" s="119">
        <f t="shared" si="0"/>
        <v>0.51999999999999957</v>
      </c>
      <c r="F20" s="109">
        <f>IF(E24&lt;&gt;0,C20*E20,IF(E31=0,(C20+C24+C31)*E20,(C20+C24)*E20))</f>
        <v>0.19759999999999983</v>
      </c>
      <c r="N20" s="15"/>
    </row>
    <row r="21" spans="1:14" x14ac:dyDescent="0.25">
      <c r="A21" s="16">
        <v>4</v>
      </c>
      <c r="B21" s="56" t="s">
        <v>12</v>
      </c>
      <c r="C21" s="5">
        <f>VLOOKUP(B21,Log!$B$2:$C$8,2,)</f>
        <v>1</v>
      </c>
      <c r="D21" s="5">
        <v>5.32</v>
      </c>
      <c r="E21" s="119">
        <f t="shared" si="0"/>
        <v>0.72000000000000064</v>
      </c>
      <c r="F21" s="109">
        <f t="shared" si="1"/>
        <v>0.72000000000000064</v>
      </c>
      <c r="N21" s="15"/>
    </row>
    <row r="22" spans="1:14" x14ac:dyDescent="0.25">
      <c r="A22" s="4">
        <v>38</v>
      </c>
      <c r="B22" s="56" t="s">
        <v>13</v>
      </c>
      <c r="C22" s="5">
        <f>VLOOKUP(B22,Log!$B$2:$C$8,2,)</f>
        <v>0.38</v>
      </c>
      <c r="D22" s="5">
        <v>5.4</v>
      </c>
      <c r="E22" s="119">
        <f t="shared" si="0"/>
        <v>8.0000000000000071E-2</v>
      </c>
      <c r="F22" s="109">
        <f t="shared" si="1"/>
        <v>3.0400000000000028E-2</v>
      </c>
      <c r="N22" s="15"/>
    </row>
    <row r="23" spans="1:14" x14ac:dyDescent="0.25">
      <c r="A23" s="4">
        <v>7</v>
      </c>
      <c r="B23" s="56" t="s">
        <v>12</v>
      </c>
      <c r="C23" s="5">
        <f>VLOOKUP(B23,Log!$B$2:$C$8,2,)</f>
        <v>1</v>
      </c>
      <c r="D23" s="5">
        <v>5.72</v>
      </c>
      <c r="E23" s="119">
        <f t="shared" si="0"/>
        <v>0.3199999999999994</v>
      </c>
      <c r="F23" s="109">
        <f t="shared" si="1"/>
        <v>0.3199999999999994</v>
      </c>
      <c r="I23" t="s">
        <v>94</v>
      </c>
      <c r="J23" s="140">
        <v>6</v>
      </c>
      <c r="N23" s="15"/>
    </row>
    <row r="24" spans="1:14" x14ac:dyDescent="0.25">
      <c r="A24" s="118">
        <v>10</v>
      </c>
      <c r="B24" s="115" t="s">
        <v>12</v>
      </c>
      <c r="C24" s="117">
        <f>VLOOKUP(B24,Log!$B$2:$C$8,2,)</f>
        <v>1</v>
      </c>
      <c r="D24" s="117">
        <v>5.92</v>
      </c>
      <c r="E24" s="119">
        <f t="shared" si="0"/>
        <v>0.20000000000000018</v>
      </c>
      <c r="F24" s="109">
        <f t="shared" si="1"/>
        <v>0.20000000000000018</v>
      </c>
      <c r="N24" s="15"/>
    </row>
    <row r="25" spans="1:14" x14ac:dyDescent="0.25">
      <c r="A25" s="4">
        <v>35</v>
      </c>
      <c r="B25" s="56" t="s">
        <v>12</v>
      </c>
      <c r="C25" s="5">
        <f>VLOOKUP(B25,Log!$B$2:$C$8,2,)</f>
        <v>1</v>
      </c>
      <c r="D25" s="5">
        <v>7.4</v>
      </c>
      <c r="E25" s="119">
        <f t="shared" si="0"/>
        <v>1.4800000000000004</v>
      </c>
      <c r="F25" s="109">
        <f t="shared" si="1"/>
        <v>1.4800000000000004</v>
      </c>
      <c r="I25" t="s">
        <v>95</v>
      </c>
      <c r="J25" t="s">
        <v>96</v>
      </c>
      <c r="N25" s="15"/>
    </row>
    <row r="26" spans="1:14" x14ac:dyDescent="0.25">
      <c r="A26" s="16">
        <v>12</v>
      </c>
      <c r="B26" s="56" t="s">
        <v>12</v>
      </c>
      <c r="C26" s="5">
        <f>VLOOKUP(B26,Log!$B$2:$C$8,2,)</f>
        <v>1</v>
      </c>
      <c r="D26" s="5">
        <v>7.48</v>
      </c>
      <c r="E26" s="119">
        <f t="shared" si="0"/>
        <v>8.0000000000000071E-2</v>
      </c>
      <c r="F26" s="109">
        <f t="shared" si="1"/>
        <v>8.0000000000000071E-2</v>
      </c>
      <c r="I26">
        <v>0</v>
      </c>
      <c r="J26">
        <v>0</v>
      </c>
      <c r="N26" s="15"/>
    </row>
    <row r="27" spans="1:14" x14ac:dyDescent="0.25">
      <c r="A27" s="4">
        <v>22</v>
      </c>
      <c r="B27" s="56" t="s">
        <v>12</v>
      </c>
      <c r="C27" s="5">
        <f>VLOOKUP(B27,Log!$B$2:$C$8,2,)</f>
        <v>1</v>
      </c>
      <c r="D27" s="5">
        <v>7.52</v>
      </c>
      <c r="E27" s="119">
        <f t="shared" si="0"/>
        <v>3.9999999999999147E-2</v>
      </c>
      <c r="F27" s="109">
        <f t="shared" si="1"/>
        <v>3.9999999999999147E-2</v>
      </c>
      <c r="I27">
        <f>I26+$J$23</f>
        <v>6</v>
      </c>
      <c r="J27" cm="1">
        <f t="array" ref="J27">SUMPRODUCT(($D$13:$D$86&gt;=I26)*($D$13:$D$86&lt;=I27)*$C$13:$C$86)</f>
        <v>8.35</v>
      </c>
      <c r="N27" s="15"/>
    </row>
    <row r="28" spans="1:14" x14ac:dyDescent="0.25">
      <c r="A28" s="4">
        <v>33</v>
      </c>
      <c r="B28" s="56" t="s">
        <v>12</v>
      </c>
      <c r="C28" s="5">
        <f>VLOOKUP(B28,Log!$B$2:$C$8,2,)</f>
        <v>1</v>
      </c>
      <c r="D28" s="5">
        <v>8.6</v>
      </c>
      <c r="E28" s="119">
        <f t="shared" si="0"/>
        <v>1.08</v>
      </c>
      <c r="F28" s="109">
        <f t="shared" si="1"/>
        <v>1.08</v>
      </c>
      <c r="I28">
        <f t="shared" ref="I28:I42" si="2">I27+$J$23</f>
        <v>12</v>
      </c>
      <c r="J28" cm="1">
        <f t="array" ref="J28">SUMPRODUCT(($D$13:$D$86&gt;=I27)*($D$13:$D$86&lt;=I28)*$C$13:$C$86)</f>
        <v>8.35</v>
      </c>
      <c r="N28" s="15"/>
    </row>
    <row r="29" spans="1:14" x14ac:dyDescent="0.25">
      <c r="A29" s="4">
        <v>79</v>
      </c>
      <c r="B29" s="56" t="s">
        <v>13</v>
      </c>
      <c r="C29" s="5">
        <f>VLOOKUP(B29,Log!$B$2:$C$8,2,)</f>
        <v>0.38</v>
      </c>
      <c r="D29" s="5">
        <v>9.1199999999999992</v>
      </c>
      <c r="E29" s="119">
        <f t="shared" si="0"/>
        <v>0.51999999999999957</v>
      </c>
      <c r="F29" s="109">
        <f t="shared" si="1"/>
        <v>0.19759999999999983</v>
      </c>
      <c r="I29">
        <f t="shared" si="2"/>
        <v>18</v>
      </c>
      <c r="J29" cm="1">
        <f t="array" ref="J29">SUMPRODUCT(($D$13:$D$86&gt;=I28)*($D$13:$D$86&lt;=I29)*$C$13:$C$86)</f>
        <v>8.9600000000000009</v>
      </c>
      <c r="N29" s="15"/>
    </row>
    <row r="30" spans="1:14" x14ac:dyDescent="0.25">
      <c r="A30" s="4">
        <v>63</v>
      </c>
      <c r="B30" s="56" t="s">
        <v>12</v>
      </c>
      <c r="C30" s="5">
        <f>VLOOKUP(B30,Log!$B$2:$C$8,2,)</f>
        <v>1</v>
      </c>
      <c r="D30" s="5">
        <v>9.2799999999999994</v>
      </c>
      <c r="E30" s="119">
        <f t="shared" si="0"/>
        <v>0.16000000000000014</v>
      </c>
      <c r="F30" s="109">
        <f t="shared" si="1"/>
        <v>0.16000000000000014</v>
      </c>
      <c r="I30">
        <f t="shared" si="2"/>
        <v>24</v>
      </c>
      <c r="J30" cm="1">
        <f t="array" ref="J30">SUMPRODUCT(($D$13:$D$86&gt;=I29)*($D$13:$D$86&lt;=I30)*$C$13:$C$86)</f>
        <v>8.4499999999999993</v>
      </c>
      <c r="N30" s="15"/>
    </row>
    <row r="31" spans="1:14" x14ac:dyDescent="0.25">
      <c r="A31" s="4">
        <v>78</v>
      </c>
      <c r="B31" s="56" t="s">
        <v>13</v>
      </c>
      <c r="C31" s="5">
        <f>VLOOKUP(B31,Log!$B$2:$C$8,2,)</f>
        <v>0.38</v>
      </c>
      <c r="D31" s="5">
        <v>9.6</v>
      </c>
      <c r="E31" s="119">
        <f t="shared" si="0"/>
        <v>0.32000000000000028</v>
      </c>
      <c r="F31" s="109">
        <f t="shared" si="1"/>
        <v>0.12160000000000011</v>
      </c>
      <c r="I31">
        <f t="shared" si="2"/>
        <v>30</v>
      </c>
      <c r="J31" cm="1">
        <f t="array" ref="J31">SUMPRODUCT(($D$13:$D$86&gt;=I30)*($D$13:$D$86&lt;=I31)*$C$13:$C$86)</f>
        <v>7.83</v>
      </c>
      <c r="N31" s="15"/>
    </row>
    <row r="32" spans="1:14" x14ac:dyDescent="0.25">
      <c r="A32" s="4">
        <v>81</v>
      </c>
      <c r="B32" s="56" t="s">
        <v>13</v>
      </c>
      <c r="C32" s="5">
        <f>VLOOKUP(B32,Log!$B$2:$C$8,2,)</f>
        <v>0.38</v>
      </c>
      <c r="D32" s="5">
        <v>10</v>
      </c>
      <c r="E32" s="119">
        <f t="shared" si="0"/>
        <v>0.40000000000000036</v>
      </c>
      <c r="F32" s="109">
        <f t="shared" si="1"/>
        <v>0.15200000000000014</v>
      </c>
      <c r="I32">
        <f t="shared" si="2"/>
        <v>36</v>
      </c>
      <c r="J32" cm="1">
        <f t="array" ref="J32">SUMPRODUCT(($D$13:$D$86&gt;=I31)*($D$13:$D$86&lt;=I32)*$C$13:$C$86)</f>
        <v>9.92</v>
      </c>
      <c r="N32" s="15"/>
    </row>
    <row r="33" spans="1:23" x14ac:dyDescent="0.25">
      <c r="A33" s="16">
        <v>52</v>
      </c>
      <c r="B33" s="56" t="s">
        <v>12</v>
      </c>
      <c r="C33" s="5">
        <f>VLOOKUP(B33,Log!$B$2:$C$8,2,)</f>
        <v>1</v>
      </c>
      <c r="D33" s="5">
        <v>10.119999999999999</v>
      </c>
      <c r="E33" s="119">
        <f t="shared" si="0"/>
        <v>0.11999999999999922</v>
      </c>
      <c r="F33" s="109">
        <f t="shared" si="1"/>
        <v>0.11999999999999922</v>
      </c>
      <c r="I33">
        <f t="shared" si="2"/>
        <v>42</v>
      </c>
      <c r="J33" cm="1">
        <f t="array" ref="J33">SUMPRODUCT(($D$13:$D$86&gt;=I32)*($D$13:$D$86&lt;=I33)*$C$13:$C$86)</f>
        <v>5.83</v>
      </c>
      <c r="N33" s="15"/>
    </row>
    <row r="34" spans="1:23" x14ac:dyDescent="0.25">
      <c r="A34" s="4">
        <v>93</v>
      </c>
      <c r="B34" s="56" t="s">
        <v>13</v>
      </c>
      <c r="C34" s="5">
        <f>VLOOKUP(B34,Log!$B$2:$C$8,2,)</f>
        <v>0.38</v>
      </c>
      <c r="D34" s="5">
        <v>11</v>
      </c>
      <c r="E34" s="119">
        <f t="shared" si="0"/>
        <v>0.88000000000000078</v>
      </c>
      <c r="F34" s="109">
        <f t="shared" si="1"/>
        <v>0.33440000000000031</v>
      </c>
      <c r="I34">
        <f t="shared" si="2"/>
        <v>48</v>
      </c>
      <c r="J34" cm="1">
        <f t="array" ref="J34">SUMPRODUCT(($D$13:$D$86&gt;=I33)*($D$13:$D$86&lt;=I34)*$C$13:$C$86)</f>
        <v>1</v>
      </c>
      <c r="N34" s="15"/>
    </row>
    <row r="35" spans="1:23" x14ac:dyDescent="0.25">
      <c r="A35" s="4">
        <v>60</v>
      </c>
      <c r="B35" s="56" t="s">
        <v>14</v>
      </c>
      <c r="C35" s="5">
        <f>VLOOKUP(B35,Log!$B$2:$C$8,2,)</f>
        <v>0.45</v>
      </c>
      <c r="D35" s="5">
        <v>11.48</v>
      </c>
      <c r="E35" s="119">
        <f t="shared" si="0"/>
        <v>0.48000000000000043</v>
      </c>
      <c r="F35" s="109">
        <f t="shared" si="1"/>
        <v>0.21600000000000019</v>
      </c>
      <c r="I35">
        <f t="shared" si="2"/>
        <v>54</v>
      </c>
      <c r="J35" cm="1">
        <f t="array" ref="J35">SUMPRODUCT(($D$13:$D$86&gt;=I34)*($D$13:$D$86&lt;=I35)*$C$13:$C$86)</f>
        <v>0</v>
      </c>
    </row>
    <row r="36" spans="1:23" x14ac:dyDescent="0.25">
      <c r="A36" s="4">
        <v>84</v>
      </c>
      <c r="B36" s="56" t="s">
        <v>13</v>
      </c>
      <c r="C36" s="5">
        <f>VLOOKUP(B36,Log!$B$2:$C$8,2,)</f>
        <v>0.38</v>
      </c>
      <c r="D36" s="5">
        <v>11.72</v>
      </c>
      <c r="E36" s="119">
        <f t="shared" si="0"/>
        <v>0.24000000000000021</v>
      </c>
      <c r="F36" s="109">
        <f t="shared" si="1"/>
        <v>9.1200000000000087E-2</v>
      </c>
      <c r="I36">
        <f t="shared" si="2"/>
        <v>60</v>
      </c>
      <c r="J36" cm="1">
        <f t="array" ref="J36">SUMPRODUCT(($D$13:$D$86&gt;=I35)*($D$13:$D$86&lt;=I36)*$C$13:$C$86)</f>
        <v>0</v>
      </c>
    </row>
    <row r="37" spans="1:23" x14ac:dyDescent="0.25">
      <c r="A37" s="4">
        <v>95</v>
      </c>
      <c r="B37" s="56" t="s">
        <v>13</v>
      </c>
      <c r="C37" s="5">
        <f>VLOOKUP(B37,Log!$B$2:$C$8,2,)</f>
        <v>0.38</v>
      </c>
      <c r="D37" s="5">
        <v>12.2</v>
      </c>
      <c r="E37" s="119">
        <f t="shared" si="0"/>
        <v>0.47999999999999865</v>
      </c>
      <c r="F37" s="109">
        <f t="shared" si="1"/>
        <v>0.18239999999999948</v>
      </c>
      <c r="I37">
        <f>I36+$J$23</f>
        <v>66</v>
      </c>
      <c r="J37" cm="1">
        <f t="array" ref="J37">SUMPRODUCT(($D$13:$D$86&gt;=I36)*($D$13:$D$86&lt;=I37)*$C$13:$C$86)</f>
        <v>0</v>
      </c>
    </row>
    <row r="38" spans="1:23" x14ac:dyDescent="0.25">
      <c r="A38" s="16">
        <v>85</v>
      </c>
      <c r="B38" s="56" t="s">
        <v>28</v>
      </c>
      <c r="C38" s="5">
        <f>VLOOKUP(B38,Log!$B$2:$C$8,2,)</f>
        <v>1.02</v>
      </c>
      <c r="D38" s="5">
        <v>12.32</v>
      </c>
      <c r="E38" s="119">
        <f t="shared" si="0"/>
        <v>0.12000000000000099</v>
      </c>
      <c r="F38" s="109">
        <f t="shared" si="1"/>
        <v>0.12240000000000102</v>
      </c>
      <c r="I38">
        <f t="shared" si="2"/>
        <v>72</v>
      </c>
      <c r="J38" cm="1">
        <f t="array" ref="J38">SUMPRODUCT(($D$13:$D$86&gt;=I37)*($D$13:$D$86&lt;=I38)*$C$13:$C$86)</f>
        <v>0</v>
      </c>
    </row>
    <row r="39" spans="1:23" x14ac:dyDescent="0.25">
      <c r="A39" s="4">
        <v>50</v>
      </c>
      <c r="B39" s="62" t="s">
        <v>12</v>
      </c>
      <c r="C39" s="5">
        <f>VLOOKUP(B39,Log!$B$2:$C$8,2,)</f>
        <v>1</v>
      </c>
      <c r="D39" s="5">
        <v>12.68</v>
      </c>
      <c r="E39" s="119">
        <f t="shared" si="0"/>
        <v>0.35999999999999943</v>
      </c>
      <c r="F39" s="109">
        <f t="shared" si="1"/>
        <v>0.35999999999999943</v>
      </c>
      <c r="I39">
        <f t="shared" si="2"/>
        <v>78</v>
      </c>
      <c r="J39" cm="1">
        <f t="array" ref="J39">SUMPRODUCT(($D$13:$D$86&gt;=I38)*($D$13:$D$86&lt;=I39)*$C$13:$C$86)</f>
        <v>0</v>
      </c>
      <c r="S39" s="9">
        <f>AVERAGE(E76:E76)</f>
        <v>0.19999999999999574</v>
      </c>
      <c r="T39" s="9">
        <f>AVERAGE(F76:F76)</f>
        <v>8.9999999999998082E-2</v>
      </c>
      <c r="W39" s="11"/>
    </row>
    <row r="40" spans="1:23" x14ac:dyDescent="0.25">
      <c r="A40" s="4">
        <v>108</v>
      </c>
      <c r="B40" s="56" t="s">
        <v>12</v>
      </c>
      <c r="C40" s="5">
        <f>VLOOKUP(B40,Log!$B$2:$C$8,2,)</f>
        <v>1</v>
      </c>
      <c r="D40" s="5">
        <v>13.48</v>
      </c>
      <c r="E40" s="119">
        <f t="shared" si="0"/>
        <v>0.80000000000000071</v>
      </c>
      <c r="F40" s="109">
        <f t="shared" si="1"/>
        <v>0.80000000000000071</v>
      </c>
      <c r="I40">
        <f t="shared" si="2"/>
        <v>84</v>
      </c>
      <c r="J40" cm="1">
        <f t="array" ref="J40">SUMPRODUCT(($D$13:$D$86&gt;=I39)*($D$13:$D$86&lt;=I40)*$C$13:$C$86)</f>
        <v>0</v>
      </c>
      <c r="S40" s="10">
        <f>3600/S39</f>
        <v>18000.000000000382</v>
      </c>
      <c r="T40" s="10">
        <f>3600/T39</f>
        <v>40000.000000000851</v>
      </c>
      <c r="W40" s="11"/>
    </row>
    <row r="41" spans="1:23" x14ac:dyDescent="0.25">
      <c r="A41" s="4">
        <v>101</v>
      </c>
      <c r="B41" s="56" t="s">
        <v>13</v>
      </c>
      <c r="C41" s="5">
        <f>VLOOKUP(B41,Log!$B$2:$C$8,2,)</f>
        <v>0.38</v>
      </c>
      <c r="D41" s="5">
        <v>14.08</v>
      </c>
      <c r="E41" s="119">
        <f t="shared" si="0"/>
        <v>0.59999999999999964</v>
      </c>
      <c r="F41" s="109">
        <f t="shared" si="1"/>
        <v>0.22799999999999987</v>
      </c>
      <c r="I41">
        <f t="shared" si="2"/>
        <v>90</v>
      </c>
      <c r="J41" cm="1">
        <f t="array" ref="J41">SUMPRODUCT(($D$13:$D$86&gt;=I40)*($D$13:$D$86&lt;=I41)*$C$13:$C$86)</f>
        <v>0</v>
      </c>
      <c r="W41" s="11"/>
    </row>
    <row r="42" spans="1:23" x14ac:dyDescent="0.25">
      <c r="A42" s="4">
        <v>80</v>
      </c>
      <c r="B42" s="56" t="s">
        <v>12</v>
      </c>
      <c r="C42" s="5">
        <f>VLOOKUP(B42,Log!$B$2:$C$8,2,)</f>
        <v>1</v>
      </c>
      <c r="D42" s="5">
        <v>14.72</v>
      </c>
      <c r="E42" s="119">
        <f t="shared" si="0"/>
        <v>0.64000000000000057</v>
      </c>
      <c r="F42" s="109">
        <f t="shared" si="1"/>
        <v>0.64000000000000057</v>
      </c>
      <c r="I42">
        <f t="shared" si="2"/>
        <v>96</v>
      </c>
      <c r="J42" cm="1">
        <f t="array" ref="J42">SUMPRODUCT(($D$13:$D$86&gt;=I41)*($D$13:$D$86&lt;=I42)*$C$13:$C$86)</f>
        <v>0</v>
      </c>
      <c r="W42" s="11"/>
    </row>
    <row r="43" spans="1:23" x14ac:dyDescent="0.25">
      <c r="A43" s="16">
        <v>97</v>
      </c>
      <c r="B43" s="56" t="s">
        <v>12</v>
      </c>
      <c r="C43" s="5">
        <f>VLOOKUP(B43,Log!$B$2:$C$8,2,)</f>
        <v>1</v>
      </c>
      <c r="D43" s="5">
        <v>15</v>
      </c>
      <c r="E43" s="119">
        <f t="shared" si="0"/>
        <v>0.27999999999999936</v>
      </c>
      <c r="F43" s="109">
        <f t="shared" si="1"/>
        <v>0.27999999999999936</v>
      </c>
      <c r="W43" s="11"/>
    </row>
    <row r="44" spans="1:23" x14ac:dyDescent="0.25">
      <c r="A44" s="4">
        <v>100</v>
      </c>
      <c r="B44" s="83" t="s">
        <v>14</v>
      </c>
      <c r="C44" s="5">
        <f>VLOOKUP(B44,Log!$B$2:$C$8,2,)</f>
        <v>0.45</v>
      </c>
      <c r="D44" s="5">
        <v>16.2</v>
      </c>
      <c r="E44" s="119">
        <f t="shared" si="0"/>
        <v>1.1999999999999993</v>
      </c>
      <c r="F44" s="109">
        <f t="shared" si="1"/>
        <v>0.5399999999999997</v>
      </c>
      <c r="W44" s="11"/>
    </row>
    <row r="45" spans="1:23" x14ac:dyDescent="0.25">
      <c r="A45" s="4">
        <v>114</v>
      </c>
      <c r="B45" s="56" t="s">
        <v>14</v>
      </c>
      <c r="C45" s="5">
        <f>VLOOKUP(B45,Log!$B$2:$C$8,2,)</f>
        <v>0.45</v>
      </c>
      <c r="D45" s="5">
        <v>16.28</v>
      </c>
      <c r="E45" s="119">
        <f t="shared" si="0"/>
        <v>8.0000000000001847E-2</v>
      </c>
      <c r="F45" s="109">
        <f t="shared" si="1"/>
        <v>3.600000000000083E-2</v>
      </c>
    </row>
    <row r="46" spans="1:23" x14ac:dyDescent="0.25">
      <c r="A46" s="16">
        <v>106</v>
      </c>
      <c r="B46" s="56" t="s">
        <v>14</v>
      </c>
      <c r="C46" s="5">
        <f>VLOOKUP(B46,Log!$B$2:$C$8,2,)</f>
        <v>0.45</v>
      </c>
      <c r="D46" s="5">
        <v>16.48</v>
      </c>
      <c r="E46" s="119">
        <f t="shared" si="0"/>
        <v>0.19999999999999929</v>
      </c>
      <c r="F46" s="109">
        <f t="shared" si="1"/>
        <v>8.9999999999999677E-2</v>
      </c>
    </row>
    <row r="47" spans="1:23" x14ac:dyDescent="0.25">
      <c r="A47" s="4">
        <v>115</v>
      </c>
      <c r="B47" s="56" t="s">
        <v>14</v>
      </c>
      <c r="C47" s="5">
        <f>VLOOKUP(B47,Log!$B$2:$C$8,2,)</f>
        <v>0.45</v>
      </c>
      <c r="D47" s="125">
        <v>16.8</v>
      </c>
      <c r="E47" s="119">
        <f t="shared" si="0"/>
        <v>0.32000000000000028</v>
      </c>
      <c r="F47" s="109">
        <f t="shared" si="1"/>
        <v>0.14400000000000013</v>
      </c>
    </row>
    <row r="48" spans="1:23" x14ac:dyDescent="0.25">
      <c r="A48" s="4">
        <v>145</v>
      </c>
      <c r="B48" s="56" t="s">
        <v>13</v>
      </c>
      <c r="C48" s="5">
        <f>VLOOKUP(B48,Log!$B$2:$C$8,2,)</f>
        <v>0.38</v>
      </c>
      <c r="D48" s="5">
        <v>17.2</v>
      </c>
      <c r="E48" s="119">
        <f t="shared" si="0"/>
        <v>0.39999999999999858</v>
      </c>
      <c r="F48" s="109">
        <f t="shared" si="1"/>
        <v>0.15199999999999947</v>
      </c>
    </row>
    <row r="49" spans="1:6" x14ac:dyDescent="0.25">
      <c r="A49" s="4">
        <v>126</v>
      </c>
      <c r="B49" s="56" t="s">
        <v>12</v>
      </c>
      <c r="C49" s="5">
        <f>VLOOKUP(B49,Log!$B$2:$C$8,2,)</f>
        <v>1</v>
      </c>
      <c r="D49" s="5">
        <v>17.88</v>
      </c>
      <c r="E49" s="119">
        <f t="shared" si="0"/>
        <v>0.67999999999999972</v>
      </c>
      <c r="F49" s="109">
        <f t="shared" si="1"/>
        <v>0.67999999999999972</v>
      </c>
    </row>
    <row r="50" spans="1:6" x14ac:dyDescent="0.25">
      <c r="A50" s="16">
        <v>126</v>
      </c>
      <c r="B50" s="56" t="s">
        <v>12</v>
      </c>
      <c r="C50" s="5">
        <f>VLOOKUP(B50,Log!$B$2:$C$8,2,)</f>
        <v>1</v>
      </c>
      <c r="D50" s="5">
        <v>18.12</v>
      </c>
      <c r="E50" s="119">
        <f t="shared" si="0"/>
        <v>0.24000000000000199</v>
      </c>
      <c r="F50" s="109">
        <f t="shared" si="1"/>
        <v>0.24000000000000199</v>
      </c>
    </row>
    <row r="51" spans="1:6" x14ac:dyDescent="0.25">
      <c r="A51" s="4">
        <v>117</v>
      </c>
      <c r="B51" s="56" t="s">
        <v>12</v>
      </c>
      <c r="C51" s="5">
        <f>VLOOKUP(B51,Log!$B$2:$C$8,2,)</f>
        <v>1</v>
      </c>
      <c r="D51" s="5">
        <v>18.600000000000001</v>
      </c>
      <c r="E51" s="119">
        <f t="shared" si="0"/>
        <v>0.48000000000000043</v>
      </c>
      <c r="F51" s="109">
        <f t="shared" si="1"/>
        <v>0.48000000000000043</v>
      </c>
    </row>
    <row r="52" spans="1:6" x14ac:dyDescent="0.25">
      <c r="A52" s="4">
        <v>105</v>
      </c>
      <c r="B52" s="56" t="s">
        <v>12</v>
      </c>
      <c r="C52" s="5">
        <f>VLOOKUP(B52,Log!$B$2:$C$8,2,)</f>
        <v>1</v>
      </c>
      <c r="D52" s="5">
        <v>19.68</v>
      </c>
      <c r="E52" s="119">
        <f t="shared" si="0"/>
        <v>1.0799999999999983</v>
      </c>
      <c r="F52" s="109">
        <f t="shared" si="1"/>
        <v>1.0799999999999983</v>
      </c>
    </row>
    <row r="53" spans="1:6" x14ac:dyDescent="0.25">
      <c r="A53" s="16">
        <v>120</v>
      </c>
      <c r="B53" s="56" t="s">
        <v>12</v>
      </c>
      <c r="C53" s="5">
        <f>VLOOKUP(B53,Log!$B$2:$C$8,2,)</f>
        <v>1</v>
      </c>
      <c r="D53" s="5">
        <v>19.8</v>
      </c>
      <c r="E53" s="119">
        <f t="shared" si="0"/>
        <v>0.12000000000000099</v>
      </c>
      <c r="F53" s="109">
        <f t="shared" si="1"/>
        <v>0.12000000000000099</v>
      </c>
    </row>
    <row r="54" spans="1:6" x14ac:dyDescent="0.25">
      <c r="A54" s="4">
        <v>127</v>
      </c>
      <c r="B54" s="56" t="s">
        <v>12</v>
      </c>
      <c r="C54" s="5">
        <f>VLOOKUP(B54,Log!$B$2:$C$8,2,)</f>
        <v>1</v>
      </c>
      <c r="D54" s="5">
        <v>20.399999999999999</v>
      </c>
      <c r="E54" s="119">
        <f t="shared" si="0"/>
        <v>0.59999999999999787</v>
      </c>
      <c r="F54" s="109">
        <f t="shared" si="1"/>
        <v>0.59999999999999787</v>
      </c>
    </row>
    <row r="55" spans="1:6" x14ac:dyDescent="0.25">
      <c r="A55" s="16">
        <v>153</v>
      </c>
      <c r="B55" s="56" t="s">
        <v>14</v>
      </c>
      <c r="C55" s="5">
        <f>VLOOKUP(B55,Log!$B$2:$C$8,2,)</f>
        <v>0.45</v>
      </c>
      <c r="D55" s="5">
        <v>21.48</v>
      </c>
      <c r="E55" s="119">
        <f t="shared" si="0"/>
        <v>1.0800000000000018</v>
      </c>
      <c r="F55" s="109">
        <f t="shared" si="1"/>
        <v>0.48600000000000082</v>
      </c>
    </row>
    <row r="56" spans="1:6" x14ac:dyDescent="0.25">
      <c r="A56" s="4">
        <v>136</v>
      </c>
      <c r="B56" s="56" t="s">
        <v>12</v>
      </c>
      <c r="C56" s="5">
        <f>VLOOKUP(B56,Log!$B$2:$C$8,2,)</f>
        <v>1</v>
      </c>
      <c r="D56" s="5">
        <v>22.28</v>
      </c>
      <c r="E56" s="119">
        <f t="shared" si="0"/>
        <v>0.80000000000000071</v>
      </c>
      <c r="F56" s="109">
        <f>IF(E61&lt;&gt;0,C56*E56,IF(E70=0,(C56+C61+C70)*E56,(C56+C61)*E56))</f>
        <v>0.80000000000000071</v>
      </c>
    </row>
    <row r="57" spans="1:6" x14ac:dyDescent="0.25">
      <c r="A57" s="16">
        <v>142</v>
      </c>
      <c r="B57" s="56" t="s">
        <v>12</v>
      </c>
      <c r="C57" s="5">
        <f>VLOOKUP(B57,Log!$B$2:$C$8,2,)</f>
        <v>1</v>
      </c>
      <c r="D57" s="5">
        <v>22.48</v>
      </c>
      <c r="E57" s="119">
        <f t="shared" si="0"/>
        <v>0.19999999999999929</v>
      </c>
      <c r="F57" s="109">
        <f>IF(E62&lt;&gt;0,C57*E57,IF(E72=0,(C57+C62+C72)*E57,(C57+C62)*E57))</f>
        <v>0.19999999999999929</v>
      </c>
    </row>
    <row r="58" spans="1:6" x14ac:dyDescent="0.25">
      <c r="A58" s="4">
        <v>159</v>
      </c>
      <c r="B58" s="56" t="s">
        <v>12</v>
      </c>
      <c r="C58" s="5">
        <f>VLOOKUP(B58,Log!$B$2:$C$8,2,)</f>
        <v>1</v>
      </c>
      <c r="D58" s="5">
        <v>23.68</v>
      </c>
      <c r="E58" s="119">
        <f t="shared" si="0"/>
        <v>1.1999999999999993</v>
      </c>
      <c r="F58" s="109">
        <f>IF(E63&lt;&gt;0,C58*E58,IF(E68=0,(C58+C63+C68)*E58,(C58+C63)*E58))</f>
        <v>1.1999999999999993</v>
      </c>
    </row>
    <row r="59" spans="1:6" x14ac:dyDescent="0.25">
      <c r="A59" s="4">
        <v>156</v>
      </c>
      <c r="B59" s="56" t="s">
        <v>12</v>
      </c>
      <c r="C59" s="5">
        <f>VLOOKUP(B59,Log!$B$2:$C$8,2,)</f>
        <v>1</v>
      </c>
      <c r="D59" s="5">
        <v>24.08</v>
      </c>
      <c r="E59" s="119">
        <f t="shared" si="0"/>
        <v>0.39999999999999858</v>
      </c>
      <c r="F59" s="109">
        <f>IF(E64&lt;&gt;0,C59*E59,IF(E69=0,(C59+C64+C69)*E59,(C59+C64)*E59))</f>
        <v>0.39999999999999858</v>
      </c>
    </row>
    <row r="60" spans="1:6" x14ac:dyDescent="0.25">
      <c r="A60" s="4">
        <v>171</v>
      </c>
      <c r="B60" s="56" t="s">
        <v>12</v>
      </c>
      <c r="C60" s="5">
        <f>VLOOKUP(B60,Log!$B$2:$C$8,2,)</f>
        <v>1</v>
      </c>
      <c r="D60" s="5">
        <v>25.32</v>
      </c>
      <c r="E60" s="119">
        <f t="shared" si="0"/>
        <v>1.240000000000002</v>
      </c>
      <c r="F60" s="109">
        <f>IF(E65&lt;&gt;0,C60*E60,IF(E71=0,(C60+C65+C71)*E60,(C60+C65)*E60))</f>
        <v>1.240000000000002</v>
      </c>
    </row>
    <row r="61" spans="1:6" x14ac:dyDescent="0.25">
      <c r="A61" s="16">
        <v>157</v>
      </c>
      <c r="B61" s="56" t="s">
        <v>14</v>
      </c>
      <c r="C61" s="5">
        <f>VLOOKUP(B61,Log!$B$2:$C$8,2,)</f>
        <v>0.45</v>
      </c>
      <c r="D61" s="5">
        <v>25.92</v>
      </c>
      <c r="E61" s="119">
        <f t="shared" si="0"/>
        <v>0.60000000000000142</v>
      </c>
      <c r="F61" s="109">
        <f t="shared" si="1"/>
        <v>0.27000000000000063</v>
      </c>
    </row>
    <row r="62" spans="1:6" x14ac:dyDescent="0.25">
      <c r="A62" s="4">
        <v>166</v>
      </c>
      <c r="B62" s="56" t="s">
        <v>12</v>
      </c>
      <c r="C62" s="5">
        <f>VLOOKUP(B62,Log!$B$2:$C$8,2,)</f>
        <v>1</v>
      </c>
      <c r="D62" s="5">
        <v>26.48</v>
      </c>
      <c r="E62" s="119">
        <f t="shared" si="0"/>
        <v>0.55999999999999872</v>
      </c>
      <c r="F62" s="109">
        <f t="shared" si="1"/>
        <v>0.55999999999999872</v>
      </c>
    </row>
    <row r="63" spans="1:6" x14ac:dyDescent="0.25">
      <c r="A63" s="16">
        <v>162</v>
      </c>
      <c r="B63" s="56" t="s">
        <v>12</v>
      </c>
      <c r="C63" s="5">
        <f>VLOOKUP(B63,Log!$B$2:$C$8,2,)</f>
        <v>1</v>
      </c>
      <c r="D63" s="5">
        <v>27.12</v>
      </c>
      <c r="E63" s="119">
        <f t="shared" si="0"/>
        <v>0.64000000000000057</v>
      </c>
      <c r="F63" s="109">
        <f>IF(E70&lt;&gt;0,C63*E63,IF(E75=0,(C63+C70+C75)*E63,(C63+C70)*E63))</f>
        <v>0.64000000000000057</v>
      </c>
    </row>
    <row r="64" spans="1:6" x14ac:dyDescent="0.25">
      <c r="A64" s="4">
        <v>180</v>
      </c>
      <c r="B64" s="56" t="s">
        <v>13</v>
      </c>
      <c r="C64" s="5">
        <f>VLOOKUP(B64,Log!$B$2:$C$8,2,)</f>
        <v>0.38</v>
      </c>
      <c r="D64" s="5">
        <v>27.68</v>
      </c>
      <c r="E64" s="119">
        <f t="shared" si="0"/>
        <v>0.55999999999999872</v>
      </c>
      <c r="F64" s="109">
        <f>IF(E72&lt;&gt;0,C64*E64,IF(E76=0,(C64+C72+C76)*E64,(C64+C72)*E64))</f>
        <v>0.21279999999999952</v>
      </c>
    </row>
    <row r="65" spans="1:6" x14ac:dyDescent="0.25">
      <c r="A65" s="4">
        <v>148</v>
      </c>
      <c r="B65" s="56" t="s">
        <v>12</v>
      </c>
      <c r="C65" s="5">
        <f>VLOOKUP(B65,Log!$B$2:$C$8,2,)</f>
        <v>1</v>
      </c>
      <c r="D65" s="5">
        <v>27.88</v>
      </c>
      <c r="E65" s="119">
        <f t="shared" si="0"/>
        <v>0.19999999999999929</v>
      </c>
      <c r="F65" s="109">
        <f>IF(E68&lt;&gt;0,C65*E65,IF(E77=0,(C65+C68+C77)*E65,(C65+C68)*E65))</f>
        <v>0.19999999999999929</v>
      </c>
    </row>
    <row r="66" spans="1:6" x14ac:dyDescent="0.25">
      <c r="A66" s="4">
        <v>183</v>
      </c>
      <c r="B66" s="56" t="s">
        <v>12</v>
      </c>
      <c r="C66" s="5">
        <f>VLOOKUP(B66,Log!$B$2:$C$8,2,)</f>
        <v>1</v>
      </c>
      <c r="D66" s="5">
        <v>28.6</v>
      </c>
      <c r="E66" s="119">
        <f t="shared" si="0"/>
        <v>0.72000000000000242</v>
      </c>
      <c r="F66" s="109">
        <f>IF(E69&lt;&gt;0,C66*E66,IF(E78=0,(C66+C69+C78)*E66,(C66+C69)*E66))</f>
        <v>0.72000000000000242</v>
      </c>
    </row>
    <row r="67" spans="1:6" x14ac:dyDescent="0.25">
      <c r="A67" s="16">
        <v>189</v>
      </c>
      <c r="B67" s="56" t="s">
        <v>12</v>
      </c>
      <c r="C67" s="5">
        <f>VLOOKUP(B67,Log!$B$2:$C$8,2,)</f>
        <v>1</v>
      </c>
      <c r="D67" s="5">
        <v>29.8</v>
      </c>
      <c r="E67" s="119">
        <f t="shared" si="0"/>
        <v>1.1999999999999993</v>
      </c>
      <c r="F67" s="109">
        <f>IF(E71&lt;&gt;0,C67*E67,IF(E79=0,(C67+C71+C79)*E67,(C67+C71)*E67))</f>
        <v>1.1999999999999993</v>
      </c>
    </row>
    <row r="68" spans="1:6" x14ac:dyDescent="0.25">
      <c r="A68" s="4">
        <v>220</v>
      </c>
      <c r="B68" s="56" t="s">
        <v>14</v>
      </c>
      <c r="C68" s="5">
        <f>VLOOKUP(B68,Log!$B$2:$C$8,2,)</f>
        <v>0.45</v>
      </c>
      <c r="D68" s="5">
        <v>30.8</v>
      </c>
      <c r="E68" s="119">
        <f t="shared" si="0"/>
        <v>1</v>
      </c>
      <c r="F68" s="109">
        <f>IF(E75&lt;&gt;0,C68*E68,IF(E82=0,(C68+C75+C82)*E68,(C68+C75)*E68))</f>
        <v>0.45</v>
      </c>
    </row>
    <row r="69" spans="1:6" x14ac:dyDescent="0.25">
      <c r="A69" s="16">
        <v>177</v>
      </c>
      <c r="B69" s="56" t="s">
        <v>12</v>
      </c>
      <c r="C69" s="5">
        <f>VLOOKUP(B69,Log!$B$2:$C$8,2,)</f>
        <v>1</v>
      </c>
      <c r="D69" s="5">
        <v>31.4</v>
      </c>
      <c r="E69" s="119">
        <f t="shared" si="0"/>
        <v>0.59999999999999787</v>
      </c>
      <c r="F69" s="109">
        <f>IF(E76&lt;&gt;0,C69*E69,IF(E83=0,(C69+C76+C83)*E69,(C69+C76)*E69))</f>
        <v>0.59999999999999787</v>
      </c>
    </row>
    <row r="70" spans="1:6" x14ac:dyDescent="0.25">
      <c r="A70" s="4">
        <v>199</v>
      </c>
      <c r="B70" s="56" t="s">
        <v>12</v>
      </c>
      <c r="C70" s="5">
        <f>VLOOKUP(B70,Log!$B$2:$C$8,2,)</f>
        <v>1</v>
      </c>
      <c r="D70" s="5">
        <v>31.52</v>
      </c>
      <c r="E70" s="119">
        <f t="shared" si="0"/>
        <v>0.12000000000000099</v>
      </c>
      <c r="F70" s="109">
        <f>IF(E73&lt;&gt;0,C70*E70,IF(E80=0,(C70+C73+C80)*E70,(C70+C73)*E70))</f>
        <v>0.12000000000000099</v>
      </c>
    </row>
    <row r="71" spans="1:6" x14ac:dyDescent="0.25">
      <c r="A71" s="4">
        <v>192</v>
      </c>
      <c r="B71" s="56" t="s">
        <v>12</v>
      </c>
      <c r="C71" s="5">
        <f>VLOOKUP(B71,Log!$B$2:$C$8,2,)</f>
        <v>1</v>
      </c>
      <c r="D71" s="5">
        <v>32</v>
      </c>
      <c r="E71" s="119">
        <f t="shared" si="0"/>
        <v>0.48000000000000043</v>
      </c>
      <c r="F71" s="109">
        <f>IF(E77&lt;&gt;0,C71*E71,IF(E84=0,(C71+C77+C84)*E71,(C71+C77)*E71))</f>
        <v>0.48000000000000043</v>
      </c>
    </row>
    <row r="72" spans="1:6" x14ac:dyDescent="0.25">
      <c r="A72" s="4">
        <v>206</v>
      </c>
      <c r="B72" s="56" t="s">
        <v>12</v>
      </c>
      <c r="C72" s="5">
        <f>VLOOKUP(B72,Log!$B$2:$C$8,2,)</f>
        <v>1</v>
      </c>
      <c r="D72" s="5">
        <v>32.880000000000003</v>
      </c>
      <c r="E72" s="119">
        <f t="shared" si="0"/>
        <v>0.88000000000000256</v>
      </c>
      <c r="F72" s="109">
        <f>IF(E74&lt;&gt;0,C72*E72,IF(E81=0,(C72+C74+C81)*E72,(C72+C74)*E72))</f>
        <v>0.88000000000000256</v>
      </c>
    </row>
    <row r="73" spans="1:6" x14ac:dyDescent="0.25">
      <c r="A73" s="32">
        <v>197</v>
      </c>
      <c r="B73" s="56" t="s">
        <v>12</v>
      </c>
      <c r="C73" s="5">
        <f>VLOOKUP(B73,Log!$B$2:$C$8,2,)</f>
        <v>1</v>
      </c>
      <c r="D73" s="5">
        <v>33</v>
      </c>
      <c r="E73" s="119">
        <f t="shared" si="0"/>
        <v>0.11999999999999744</v>
      </c>
      <c r="F73" s="109">
        <f t="shared" si="1"/>
        <v>0.11999999999999744</v>
      </c>
    </row>
    <row r="74" spans="1:6" x14ac:dyDescent="0.25">
      <c r="A74" s="4">
        <v>197</v>
      </c>
      <c r="B74" s="56" t="s">
        <v>12</v>
      </c>
      <c r="C74" s="5">
        <f>VLOOKUP(B74,Log!$B$2:$C$8,2,)</f>
        <v>1</v>
      </c>
      <c r="D74" s="5">
        <v>33.479999999999997</v>
      </c>
      <c r="E74" s="119">
        <f t="shared" si="0"/>
        <v>0.47999999999999687</v>
      </c>
      <c r="F74" s="109">
        <f t="shared" si="1"/>
        <v>0.47999999999999687</v>
      </c>
    </row>
    <row r="75" spans="1:6" x14ac:dyDescent="0.25">
      <c r="A75" s="7">
        <v>203</v>
      </c>
      <c r="B75" s="80" t="s">
        <v>12</v>
      </c>
      <c r="C75" s="5">
        <f>VLOOKUP(B75,Log!$B$2:$C$8,2,)</f>
        <v>1</v>
      </c>
      <c r="D75" s="5">
        <v>34.200000000000003</v>
      </c>
      <c r="E75" s="119">
        <f t="shared" si="0"/>
        <v>0.72000000000000597</v>
      </c>
      <c r="F75" s="109">
        <f t="shared" si="1"/>
        <v>0.72000000000000597</v>
      </c>
    </row>
    <row r="76" spans="1:6" x14ac:dyDescent="0.25">
      <c r="A76" s="4">
        <v>215</v>
      </c>
      <c r="B76" s="56" t="s">
        <v>14</v>
      </c>
      <c r="C76" s="5">
        <f>VLOOKUP(B76,Log!$B$2:$C$8,2,)</f>
        <v>0.45</v>
      </c>
      <c r="D76" s="5">
        <v>34.4</v>
      </c>
      <c r="E76" s="119">
        <f t="shared" si="0"/>
        <v>0.19999999999999574</v>
      </c>
      <c r="F76" s="109">
        <f t="shared" si="1"/>
        <v>8.9999999999998082E-2</v>
      </c>
    </row>
    <row r="77" spans="1:6" x14ac:dyDescent="0.25">
      <c r="A77" s="4">
        <v>211</v>
      </c>
      <c r="B77" s="56" t="s">
        <v>28</v>
      </c>
      <c r="C77" s="5">
        <f>VLOOKUP(B77,Log!$B$2:$C$8,2,)</f>
        <v>1.02</v>
      </c>
      <c r="D77" s="5">
        <v>34.68</v>
      </c>
      <c r="E77" s="119">
        <f t="shared" si="0"/>
        <v>0.28000000000000114</v>
      </c>
      <c r="F77" s="109">
        <f t="shared" si="1"/>
        <v>0.28560000000000119</v>
      </c>
    </row>
    <row r="78" spans="1:6" x14ac:dyDescent="0.25">
      <c r="A78" s="4">
        <v>212</v>
      </c>
      <c r="B78" s="56" t="s">
        <v>12</v>
      </c>
      <c r="C78" s="5">
        <f>VLOOKUP(B78,Log!$B$2:$C$8,2,)</f>
        <v>1</v>
      </c>
      <c r="D78" s="5">
        <v>35</v>
      </c>
      <c r="E78" s="119">
        <f t="shared" si="0"/>
        <v>0.32000000000000028</v>
      </c>
      <c r="F78" s="109">
        <f t="shared" si="1"/>
        <v>0.32000000000000028</v>
      </c>
    </row>
    <row r="79" spans="1:6" x14ac:dyDescent="0.25">
      <c r="A79" s="4">
        <v>219</v>
      </c>
      <c r="B79" s="56" t="s">
        <v>12</v>
      </c>
      <c r="C79" s="5">
        <f>VLOOKUP(B79,Log!$B$2:$C$8,2,)</f>
        <v>1</v>
      </c>
      <c r="D79" s="5">
        <v>36.200000000000003</v>
      </c>
      <c r="E79" s="119">
        <f t="shared" ref="E79:E86" si="3">D79-D78</f>
        <v>1.2000000000000028</v>
      </c>
      <c r="F79" s="109">
        <f t="shared" ref="F79" si="4">IF(E84&lt;&gt;0,C79*E79,IF(E92=0,(C79+C84+C92)*E79,(C79+C84)*E79))</f>
        <v>1.2000000000000028</v>
      </c>
    </row>
    <row r="80" spans="1:6" x14ac:dyDescent="0.25">
      <c r="A80" s="7">
        <v>233</v>
      </c>
      <c r="B80" s="80" t="s">
        <v>12</v>
      </c>
      <c r="C80" s="5">
        <f>VLOOKUP(B80,Log!$B$2:$C$8,2,)</f>
        <v>1</v>
      </c>
      <c r="D80" s="5">
        <v>36.479999999999997</v>
      </c>
      <c r="E80" s="119">
        <f t="shared" si="3"/>
        <v>0.27999999999999403</v>
      </c>
      <c r="F80" s="109">
        <f>IF(E85&lt;&gt;0,C80*E80,IF(E96=0,(C80+C85+C96)*E80,(C80+C85)*E80))</f>
        <v>0.27999999999999403</v>
      </c>
    </row>
    <row r="81" spans="1:9" x14ac:dyDescent="0.25">
      <c r="A81" s="4">
        <v>231</v>
      </c>
      <c r="B81" s="56" t="s">
        <v>12</v>
      </c>
      <c r="C81" s="5">
        <f>VLOOKUP(B81,Log!$B$2:$C$8,2,)</f>
        <v>1</v>
      </c>
      <c r="D81" s="5">
        <v>37.08</v>
      </c>
      <c r="E81" s="119">
        <f t="shared" si="3"/>
        <v>0.60000000000000142</v>
      </c>
      <c r="F81" s="109">
        <f>IF(E86&lt;&gt;0,C81*E81,IF(G97=0,(C81+C86+#REF!)*E81,(C81+C86)*E81))</f>
        <v>0.60000000000000142</v>
      </c>
    </row>
    <row r="82" spans="1:9" x14ac:dyDescent="0.25">
      <c r="A82" s="7">
        <v>242</v>
      </c>
      <c r="B82" s="80" t="s">
        <v>13</v>
      </c>
      <c r="C82" s="5">
        <f>VLOOKUP(B82,Log!$B$2:$C$8,2,)</f>
        <v>0.38</v>
      </c>
      <c r="D82" s="5">
        <v>37.28</v>
      </c>
      <c r="E82" s="119">
        <f t="shared" si="3"/>
        <v>0.20000000000000284</v>
      </c>
      <c r="F82" s="109">
        <f>C82*E82</f>
        <v>7.6000000000001081E-2</v>
      </c>
    </row>
    <row r="83" spans="1:9" x14ac:dyDescent="0.25">
      <c r="A83" s="4">
        <v>238</v>
      </c>
      <c r="B83" s="56" t="s">
        <v>12</v>
      </c>
      <c r="C83" s="5">
        <f>VLOOKUP(B83,Log!$B$2:$C$8,2,)</f>
        <v>1</v>
      </c>
      <c r="D83" s="5">
        <v>38.68</v>
      </c>
      <c r="E83" s="119">
        <f t="shared" si="3"/>
        <v>1.3999999999999986</v>
      </c>
      <c r="F83" s="109">
        <f t="shared" ref="F83:F86" si="5">C83*E83</f>
        <v>1.3999999999999986</v>
      </c>
    </row>
    <row r="84" spans="1:9" x14ac:dyDescent="0.25">
      <c r="A84" s="4">
        <v>253</v>
      </c>
      <c r="B84" s="56" t="s">
        <v>14</v>
      </c>
      <c r="C84" s="5">
        <f>VLOOKUP(B84,Log!$B$2:$C$8,2,)</f>
        <v>0.45</v>
      </c>
      <c r="D84" s="5">
        <v>39.880000000000003</v>
      </c>
      <c r="E84" s="119">
        <f t="shared" si="3"/>
        <v>1.2000000000000028</v>
      </c>
      <c r="F84" s="109">
        <f t="shared" si="5"/>
        <v>0.54000000000000126</v>
      </c>
    </row>
    <row r="85" spans="1:9" x14ac:dyDescent="0.25">
      <c r="A85" s="4">
        <v>257</v>
      </c>
      <c r="B85" s="56" t="s">
        <v>12</v>
      </c>
      <c r="C85" s="5">
        <f>VLOOKUP(B85,Log!$B$2:$C$8,2,)</f>
        <v>1</v>
      </c>
      <c r="D85" s="5">
        <v>40.32</v>
      </c>
      <c r="E85" s="119">
        <f t="shared" si="3"/>
        <v>0.43999999999999773</v>
      </c>
      <c r="F85" s="109">
        <f t="shared" si="5"/>
        <v>0.43999999999999773</v>
      </c>
    </row>
    <row r="86" spans="1:9" x14ac:dyDescent="0.25">
      <c r="A86" s="4">
        <v>283</v>
      </c>
      <c r="B86" s="56" t="s">
        <v>12</v>
      </c>
      <c r="C86" s="5">
        <f>VLOOKUP(B86,Log!$B$2:$C$8,2,)</f>
        <v>1</v>
      </c>
      <c r="D86" s="5">
        <v>43.68</v>
      </c>
      <c r="E86" s="119">
        <f t="shared" si="3"/>
        <v>3.3599999999999994</v>
      </c>
      <c r="F86" s="109">
        <f t="shared" si="5"/>
        <v>3.3599999999999994</v>
      </c>
    </row>
    <row r="89" spans="1:9" x14ac:dyDescent="0.25">
      <c r="H89" s="153" t="s">
        <v>29</v>
      </c>
      <c r="I89" s="154"/>
    </row>
    <row r="90" spans="1:9" x14ac:dyDescent="0.25">
      <c r="H90" s="132" t="s">
        <v>12</v>
      </c>
      <c r="I90" s="18">
        <v>1</v>
      </c>
    </row>
    <row r="91" spans="1:9" x14ac:dyDescent="0.25">
      <c r="H91" s="132" t="s">
        <v>27</v>
      </c>
      <c r="I91" s="18">
        <v>1.56</v>
      </c>
    </row>
    <row r="92" spans="1:9" x14ac:dyDescent="0.25">
      <c r="H92" s="132" t="s">
        <v>14</v>
      </c>
      <c r="I92" s="18">
        <v>0.45</v>
      </c>
    </row>
    <row r="93" spans="1:9" x14ac:dyDescent="0.25">
      <c r="H93" s="132" t="s">
        <v>13</v>
      </c>
      <c r="I93" s="18">
        <v>0.38</v>
      </c>
    </row>
    <row r="94" spans="1:9" x14ac:dyDescent="0.25">
      <c r="H94" s="132" t="s">
        <v>28</v>
      </c>
      <c r="I94" s="18">
        <v>1.02</v>
      </c>
    </row>
    <row r="95" spans="1:9" x14ac:dyDescent="0.25">
      <c r="H95" s="132" t="s">
        <v>15</v>
      </c>
      <c r="I95" s="18">
        <v>0.33</v>
      </c>
    </row>
    <row r="96" spans="1:9" x14ac:dyDescent="0.25">
      <c r="H96" s="132" t="s">
        <v>33</v>
      </c>
      <c r="I96" s="18">
        <v>1.84</v>
      </c>
    </row>
    <row r="97" spans="2:13" ht="30" x14ac:dyDescent="0.25">
      <c r="B97" s="3" t="s">
        <v>17</v>
      </c>
      <c r="C97" s="6" t="s">
        <v>81</v>
      </c>
      <c r="D97" s="3" t="s">
        <v>10</v>
      </c>
      <c r="E97" s="3" t="s">
        <v>82</v>
      </c>
      <c r="F97" s="3" t="s">
        <v>11</v>
      </c>
      <c r="H97" s="133" t="s">
        <v>87</v>
      </c>
      <c r="I97" s="18">
        <f>AVERAGE(L99:L104)</f>
        <v>3.1999999999999997</v>
      </c>
      <c r="K97" s="3" t="s">
        <v>83</v>
      </c>
      <c r="L97" s="3" t="s">
        <v>84</v>
      </c>
      <c r="M97" s="3" t="s">
        <v>85</v>
      </c>
    </row>
    <row r="98" spans="2:13" x14ac:dyDescent="0.25">
      <c r="B98" s="4" t="s">
        <v>12</v>
      </c>
      <c r="C98" s="5">
        <f>VLOOKUP(B98,$H$90:$I$96,2,)</f>
        <v>1</v>
      </c>
      <c r="D98" s="4">
        <v>0</v>
      </c>
      <c r="E98" s="41">
        <f t="shared" ref="E98:E125" si="6">INT(D98/$I$98)+1</f>
        <v>1</v>
      </c>
      <c r="F98" s="4">
        <f>C98</f>
        <v>1</v>
      </c>
      <c r="H98" s="132" t="s">
        <v>86</v>
      </c>
      <c r="I98" s="18">
        <v>6</v>
      </c>
      <c r="K98" s="5" cm="1">
        <f t="array" ref="K98:K105">_xlfn.UNIQUE(E98:E125)</f>
        <v>1</v>
      </c>
      <c r="L98" s="5">
        <f>SUMIFS(C98:C125,E98:E125,K98)</f>
        <v>3</v>
      </c>
      <c r="M98" s="5" t="str">
        <f>IF(K98=1,"",(L98-I97)^2)</f>
        <v/>
      </c>
    </row>
    <row r="99" spans="2:13" x14ac:dyDescent="0.25">
      <c r="B99" s="4" t="s">
        <v>12</v>
      </c>
      <c r="C99" s="5">
        <f t="shared" ref="C99:C125" si="7">VLOOKUP(B99,$H$90:$I$96,2,)</f>
        <v>1</v>
      </c>
      <c r="D99" s="4">
        <v>2.8</v>
      </c>
      <c r="E99" s="41">
        <f t="shared" si="6"/>
        <v>1</v>
      </c>
      <c r="F99" s="4">
        <f t="shared" ref="F99:F125" si="8">C99</f>
        <v>1</v>
      </c>
      <c r="K99" s="5">
        <v>2</v>
      </c>
      <c r="L99" s="5">
        <f t="shared" ref="L99:L119" si="9">SUMIFS(C99:C126,E99:E126,K99)</f>
        <v>3.1399999999999997</v>
      </c>
      <c r="M99" s="134">
        <f>IF(K99=1,"",(L99-$I$97)^2)</f>
        <v>3.6000000000000064E-3</v>
      </c>
    </row>
    <row r="100" spans="2:13" x14ac:dyDescent="0.25">
      <c r="B100" s="4" t="s">
        <v>12</v>
      </c>
      <c r="C100" s="5">
        <f t="shared" si="7"/>
        <v>1</v>
      </c>
      <c r="D100" s="4">
        <v>5.92</v>
      </c>
      <c r="E100" s="41">
        <f t="shared" si="6"/>
        <v>1</v>
      </c>
      <c r="F100" s="4">
        <f t="shared" si="8"/>
        <v>1</v>
      </c>
      <c r="H100" s="132" t="s">
        <v>88</v>
      </c>
      <c r="I100" s="134">
        <f>SQRT(AVERAGE(M99:M105))</f>
        <v>0.84608341365207174</v>
      </c>
      <c r="K100" s="5">
        <v>3</v>
      </c>
      <c r="L100" s="5">
        <f t="shared" si="9"/>
        <v>3.21</v>
      </c>
      <c r="M100" s="134">
        <f t="shared" ref="M100:M119" si="10">IF(K100=1,"",(L100-$I$97)^2)</f>
        <v>1.0000000000000461E-4</v>
      </c>
    </row>
    <row r="101" spans="2:13" x14ac:dyDescent="0.25">
      <c r="B101" s="4" t="s">
        <v>12</v>
      </c>
      <c r="C101" s="5">
        <f t="shared" si="7"/>
        <v>1</v>
      </c>
      <c r="D101" s="4">
        <v>7.4</v>
      </c>
      <c r="E101" s="41">
        <f t="shared" si="6"/>
        <v>2</v>
      </c>
      <c r="F101" s="4">
        <f t="shared" si="8"/>
        <v>1</v>
      </c>
      <c r="K101" s="5">
        <v>4</v>
      </c>
      <c r="L101" s="5">
        <f t="shared" si="9"/>
        <v>3</v>
      </c>
      <c r="M101" s="134">
        <f t="shared" si="10"/>
        <v>3.9999999999999897E-2</v>
      </c>
    </row>
    <row r="102" spans="2:13" x14ac:dyDescent="0.25">
      <c r="B102" s="4" t="s">
        <v>12</v>
      </c>
      <c r="C102" s="5">
        <f t="shared" si="7"/>
        <v>1</v>
      </c>
      <c r="D102" s="4">
        <v>9.2799999999999994</v>
      </c>
      <c r="E102" s="41">
        <f t="shared" si="6"/>
        <v>2</v>
      </c>
      <c r="F102" s="4">
        <f t="shared" si="8"/>
        <v>1</v>
      </c>
      <c r="K102" s="5">
        <v>5</v>
      </c>
      <c r="L102" s="5">
        <f t="shared" si="9"/>
        <v>3.38</v>
      </c>
      <c r="M102" s="134">
        <f t="shared" si="10"/>
        <v>3.2400000000000061E-2</v>
      </c>
    </row>
    <row r="103" spans="2:13" x14ac:dyDescent="0.25">
      <c r="B103" s="4" t="s">
        <v>13</v>
      </c>
      <c r="C103" s="5">
        <f t="shared" si="7"/>
        <v>0.38</v>
      </c>
      <c r="D103" s="4">
        <v>10</v>
      </c>
      <c r="E103" s="41">
        <f t="shared" si="6"/>
        <v>2</v>
      </c>
      <c r="F103" s="4">
        <f t="shared" si="8"/>
        <v>0.38</v>
      </c>
      <c r="K103" s="5">
        <v>6</v>
      </c>
      <c r="L103" s="5">
        <f t="shared" si="9"/>
        <v>3.02</v>
      </c>
      <c r="M103" s="134">
        <f t="shared" si="10"/>
        <v>3.2399999999999901E-2</v>
      </c>
    </row>
    <row r="104" spans="2:13" x14ac:dyDescent="0.25">
      <c r="B104" s="4" t="s">
        <v>13</v>
      </c>
      <c r="C104" s="5">
        <f t="shared" si="7"/>
        <v>0.38</v>
      </c>
      <c r="D104" s="4">
        <v>11</v>
      </c>
      <c r="E104" s="41">
        <f t="shared" si="6"/>
        <v>2</v>
      </c>
      <c r="F104" s="4">
        <f t="shared" si="8"/>
        <v>0.38</v>
      </c>
      <c r="I104">
        <f>600*I97</f>
        <v>1919.9999999999998</v>
      </c>
      <c r="K104" s="5">
        <v>7</v>
      </c>
      <c r="L104" s="5">
        <f t="shared" si="9"/>
        <v>3.45</v>
      </c>
      <c r="M104" s="134">
        <f t="shared" si="10"/>
        <v>6.2500000000000222E-2</v>
      </c>
    </row>
    <row r="105" spans="2:13" x14ac:dyDescent="0.25">
      <c r="B105" s="4" t="s">
        <v>13</v>
      </c>
      <c r="C105" s="5">
        <f t="shared" si="7"/>
        <v>0.38</v>
      </c>
      <c r="D105" s="4">
        <v>11.72</v>
      </c>
      <c r="E105" s="41">
        <f t="shared" si="6"/>
        <v>2</v>
      </c>
      <c r="F105" s="4">
        <f t="shared" si="8"/>
        <v>0.38</v>
      </c>
      <c r="K105" s="5">
        <v>8</v>
      </c>
      <c r="L105" s="5">
        <f t="shared" si="9"/>
        <v>1</v>
      </c>
      <c r="M105" s="134">
        <f t="shared" si="10"/>
        <v>4.839999999999999</v>
      </c>
    </row>
    <row r="106" spans="2:13" x14ac:dyDescent="0.25">
      <c r="B106" s="4" t="s">
        <v>13</v>
      </c>
      <c r="C106" s="5">
        <f t="shared" si="7"/>
        <v>0.38</v>
      </c>
      <c r="D106" s="4">
        <v>12.2</v>
      </c>
      <c r="E106" s="41">
        <f t="shared" si="6"/>
        <v>3</v>
      </c>
      <c r="F106" s="4">
        <f t="shared" si="8"/>
        <v>0.38</v>
      </c>
      <c r="K106" s="5"/>
      <c r="L106" s="5">
        <f t="shared" si="9"/>
        <v>0</v>
      </c>
      <c r="M106" s="134">
        <f t="shared" si="10"/>
        <v>10.239999999999998</v>
      </c>
    </row>
    <row r="107" spans="2:13" x14ac:dyDescent="0.25">
      <c r="B107" s="4" t="s">
        <v>12</v>
      </c>
      <c r="C107" s="5">
        <f t="shared" si="7"/>
        <v>1</v>
      </c>
      <c r="D107" s="4">
        <v>13.48</v>
      </c>
      <c r="E107" s="41">
        <f t="shared" si="6"/>
        <v>3</v>
      </c>
      <c r="F107" s="4">
        <f t="shared" si="8"/>
        <v>1</v>
      </c>
      <c r="K107" s="5"/>
      <c r="L107" s="5">
        <f t="shared" si="9"/>
        <v>0</v>
      </c>
      <c r="M107" s="134">
        <f t="shared" si="10"/>
        <v>10.239999999999998</v>
      </c>
    </row>
    <row r="108" spans="2:13" x14ac:dyDescent="0.25">
      <c r="B108" s="4" t="s">
        <v>13</v>
      </c>
      <c r="C108" s="5">
        <f t="shared" si="7"/>
        <v>0.38</v>
      </c>
      <c r="D108" s="4">
        <v>14.08</v>
      </c>
      <c r="E108" s="41">
        <f t="shared" si="6"/>
        <v>3</v>
      </c>
      <c r="F108" s="4">
        <f t="shared" si="8"/>
        <v>0.38</v>
      </c>
      <c r="K108" s="5"/>
      <c r="L108" s="5">
        <f t="shared" si="9"/>
        <v>0</v>
      </c>
      <c r="M108" s="134">
        <f t="shared" si="10"/>
        <v>10.239999999999998</v>
      </c>
    </row>
    <row r="109" spans="2:13" x14ac:dyDescent="0.25">
      <c r="B109" s="4" t="s">
        <v>14</v>
      </c>
      <c r="C109" s="5">
        <f t="shared" si="7"/>
        <v>0.45</v>
      </c>
      <c r="D109" s="4">
        <v>16.28</v>
      </c>
      <c r="E109" s="41">
        <f t="shared" si="6"/>
        <v>3</v>
      </c>
      <c r="F109" s="4">
        <f t="shared" si="8"/>
        <v>0.45</v>
      </c>
      <c r="K109" s="5"/>
      <c r="L109" s="5">
        <f t="shared" si="9"/>
        <v>0</v>
      </c>
      <c r="M109" s="134">
        <f t="shared" si="10"/>
        <v>10.239999999999998</v>
      </c>
    </row>
    <row r="110" spans="2:13" x14ac:dyDescent="0.25">
      <c r="B110" s="4" t="s">
        <v>12</v>
      </c>
      <c r="C110" s="5">
        <f t="shared" si="7"/>
        <v>1</v>
      </c>
      <c r="D110" s="4">
        <v>17.88</v>
      </c>
      <c r="E110" s="41">
        <f t="shared" si="6"/>
        <v>3</v>
      </c>
      <c r="F110" s="4">
        <f t="shared" si="8"/>
        <v>1</v>
      </c>
      <c r="K110" s="5"/>
      <c r="L110" s="5">
        <f t="shared" si="9"/>
        <v>0</v>
      </c>
      <c r="M110" s="134">
        <f t="shared" si="10"/>
        <v>10.239999999999998</v>
      </c>
    </row>
    <row r="111" spans="2:13" x14ac:dyDescent="0.25">
      <c r="B111" s="4" t="s">
        <v>12</v>
      </c>
      <c r="C111" s="5">
        <f t="shared" si="7"/>
        <v>1</v>
      </c>
      <c r="D111" s="4">
        <v>19.68</v>
      </c>
      <c r="E111" s="41">
        <f t="shared" si="6"/>
        <v>4</v>
      </c>
      <c r="F111" s="4">
        <f t="shared" si="8"/>
        <v>1</v>
      </c>
      <c r="K111" s="5"/>
      <c r="L111" s="5">
        <f t="shared" si="9"/>
        <v>0</v>
      </c>
      <c r="M111" s="134">
        <f t="shared" si="10"/>
        <v>10.239999999999998</v>
      </c>
    </row>
    <row r="112" spans="2:13" x14ac:dyDescent="0.25">
      <c r="B112" s="4" t="s">
        <v>12</v>
      </c>
      <c r="C112" s="5">
        <f t="shared" si="7"/>
        <v>1</v>
      </c>
      <c r="D112" s="4">
        <v>22.28</v>
      </c>
      <c r="E112" s="41">
        <f t="shared" si="6"/>
        <v>4</v>
      </c>
      <c r="F112" s="4">
        <f t="shared" si="8"/>
        <v>1</v>
      </c>
      <c r="K112" s="5"/>
      <c r="L112" s="5">
        <f t="shared" si="9"/>
        <v>0</v>
      </c>
      <c r="M112" s="134">
        <f t="shared" si="10"/>
        <v>10.239999999999998</v>
      </c>
    </row>
    <row r="113" spans="2:16" x14ac:dyDescent="0.25">
      <c r="B113" s="4" t="s">
        <v>12</v>
      </c>
      <c r="C113" s="5">
        <f t="shared" si="7"/>
        <v>1</v>
      </c>
      <c r="D113" s="4">
        <v>23.68</v>
      </c>
      <c r="E113" s="41">
        <f t="shared" si="6"/>
        <v>4</v>
      </c>
      <c r="F113" s="4">
        <f t="shared" si="8"/>
        <v>1</v>
      </c>
      <c r="K113" s="5"/>
      <c r="L113" s="5">
        <f t="shared" si="9"/>
        <v>0</v>
      </c>
      <c r="M113" s="134">
        <f t="shared" si="10"/>
        <v>10.239999999999998</v>
      </c>
    </row>
    <row r="114" spans="2:16" x14ac:dyDescent="0.25">
      <c r="B114" s="4" t="s">
        <v>12</v>
      </c>
      <c r="C114" s="5">
        <f t="shared" si="7"/>
        <v>1</v>
      </c>
      <c r="D114" s="4">
        <v>25.32</v>
      </c>
      <c r="E114" s="41">
        <f t="shared" si="6"/>
        <v>5</v>
      </c>
      <c r="F114" s="4">
        <f t="shared" si="8"/>
        <v>1</v>
      </c>
      <c r="K114" s="5"/>
      <c r="L114" s="5">
        <f t="shared" si="9"/>
        <v>0</v>
      </c>
      <c r="M114" s="134">
        <f t="shared" si="10"/>
        <v>10.239999999999998</v>
      </c>
    </row>
    <row r="115" spans="2:16" x14ac:dyDescent="0.25">
      <c r="B115" s="4" t="s">
        <v>12</v>
      </c>
      <c r="C115" s="5">
        <f t="shared" si="7"/>
        <v>1</v>
      </c>
      <c r="D115" s="4">
        <v>26.48</v>
      </c>
      <c r="E115" s="41">
        <f t="shared" si="6"/>
        <v>5</v>
      </c>
      <c r="F115" s="4">
        <f t="shared" si="8"/>
        <v>1</v>
      </c>
      <c r="K115" s="5"/>
      <c r="L115" s="5">
        <f t="shared" si="9"/>
        <v>0</v>
      </c>
      <c r="M115" s="134">
        <f t="shared" si="10"/>
        <v>10.239999999999998</v>
      </c>
    </row>
    <row r="116" spans="2:16" x14ac:dyDescent="0.25">
      <c r="B116" s="4" t="s">
        <v>13</v>
      </c>
      <c r="C116" s="5">
        <f t="shared" si="7"/>
        <v>0.38</v>
      </c>
      <c r="D116" s="4">
        <v>27.68</v>
      </c>
      <c r="E116" s="41">
        <f t="shared" si="6"/>
        <v>5</v>
      </c>
      <c r="F116" s="4">
        <f t="shared" si="8"/>
        <v>0.38</v>
      </c>
      <c r="K116" s="5"/>
      <c r="L116" s="5">
        <f t="shared" si="9"/>
        <v>0</v>
      </c>
      <c r="M116" s="134">
        <f t="shared" si="10"/>
        <v>10.239999999999998</v>
      </c>
      <c r="O116">
        <v>0</v>
      </c>
      <c r="P116">
        <v>0</v>
      </c>
    </row>
    <row r="117" spans="2:16" x14ac:dyDescent="0.25">
      <c r="B117" s="4" t="s">
        <v>12</v>
      </c>
      <c r="C117" s="5">
        <f t="shared" si="7"/>
        <v>1</v>
      </c>
      <c r="D117" s="4">
        <v>28.6</v>
      </c>
      <c r="E117" s="41">
        <f t="shared" si="6"/>
        <v>5</v>
      </c>
      <c r="F117" s="4">
        <f t="shared" si="8"/>
        <v>1</v>
      </c>
      <c r="K117" s="5"/>
      <c r="L117" s="5">
        <f t="shared" si="9"/>
        <v>0</v>
      </c>
      <c r="M117" s="134">
        <f t="shared" si="10"/>
        <v>10.239999999999998</v>
      </c>
      <c r="O117">
        <v>5</v>
      </c>
      <c r="P117">
        <f>COUNTIFS($D$98:$D$125,"&gt;="&amp;O116,$D$98:$D$125,"&lt;="&amp;O117)</f>
        <v>2</v>
      </c>
    </row>
    <row r="118" spans="2:16" x14ac:dyDescent="0.25">
      <c r="B118" s="4" t="s">
        <v>12</v>
      </c>
      <c r="C118" s="5">
        <f t="shared" si="7"/>
        <v>1</v>
      </c>
      <c r="D118" s="4">
        <v>31.52</v>
      </c>
      <c r="E118" s="41">
        <f t="shared" si="6"/>
        <v>6</v>
      </c>
      <c r="F118" s="4">
        <f t="shared" si="8"/>
        <v>1</v>
      </c>
      <c r="K118" s="5"/>
      <c r="L118" s="5">
        <f t="shared" si="9"/>
        <v>0</v>
      </c>
      <c r="M118" s="134">
        <f t="shared" si="10"/>
        <v>10.239999999999998</v>
      </c>
      <c r="O118">
        <v>10</v>
      </c>
      <c r="P118">
        <f t="shared" ref="P118:P126" si="11">COUNTIFS($D$98:$D$125,"&gt;="&amp;O117,$D$98:$D$125,"&lt;="&amp;O118)</f>
        <v>4</v>
      </c>
    </row>
    <row r="119" spans="2:16" x14ac:dyDescent="0.25">
      <c r="B119" s="4" t="s">
        <v>12</v>
      </c>
      <c r="C119" s="5">
        <f t="shared" si="7"/>
        <v>1</v>
      </c>
      <c r="D119" s="4">
        <v>32.880000000000003</v>
      </c>
      <c r="E119" s="41">
        <f t="shared" si="6"/>
        <v>6</v>
      </c>
      <c r="F119" s="4">
        <f t="shared" si="8"/>
        <v>1</v>
      </c>
      <c r="K119" s="5"/>
      <c r="L119" s="5">
        <f t="shared" si="9"/>
        <v>0</v>
      </c>
      <c r="M119" s="134">
        <f t="shared" si="10"/>
        <v>10.239999999999998</v>
      </c>
      <c r="O119">
        <v>15</v>
      </c>
      <c r="P119">
        <f t="shared" si="11"/>
        <v>6</v>
      </c>
    </row>
    <row r="120" spans="2:16" x14ac:dyDescent="0.25">
      <c r="B120" s="4" t="s">
        <v>28</v>
      </c>
      <c r="C120" s="5">
        <f t="shared" si="7"/>
        <v>1.02</v>
      </c>
      <c r="D120" s="4">
        <v>34.68</v>
      </c>
      <c r="E120" s="41">
        <f t="shared" si="6"/>
        <v>6</v>
      </c>
      <c r="F120" s="4">
        <f t="shared" si="8"/>
        <v>1.02</v>
      </c>
      <c r="O120">
        <v>20</v>
      </c>
      <c r="P120">
        <f t="shared" si="11"/>
        <v>3</v>
      </c>
    </row>
    <row r="121" spans="2:16" x14ac:dyDescent="0.25">
      <c r="B121" s="4" t="s">
        <v>12</v>
      </c>
      <c r="C121" s="5">
        <f t="shared" si="7"/>
        <v>1</v>
      </c>
      <c r="D121" s="4">
        <v>36.200000000000003</v>
      </c>
      <c r="E121" s="41">
        <f t="shared" si="6"/>
        <v>7</v>
      </c>
      <c r="F121" s="4">
        <f t="shared" si="8"/>
        <v>1</v>
      </c>
      <c r="O121">
        <v>25</v>
      </c>
      <c r="P121">
        <f t="shared" si="11"/>
        <v>2</v>
      </c>
    </row>
    <row r="122" spans="2:16" x14ac:dyDescent="0.25">
      <c r="B122" s="4" t="s">
        <v>12</v>
      </c>
      <c r="C122" s="5">
        <f t="shared" si="7"/>
        <v>1</v>
      </c>
      <c r="D122" s="4">
        <v>38.68</v>
      </c>
      <c r="E122" s="41">
        <f t="shared" si="6"/>
        <v>7</v>
      </c>
      <c r="F122" s="4">
        <f t="shared" si="8"/>
        <v>1</v>
      </c>
      <c r="O122">
        <v>30</v>
      </c>
      <c r="P122">
        <f t="shared" si="11"/>
        <v>4</v>
      </c>
    </row>
    <row r="123" spans="2:16" x14ac:dyDescent="0.25">
      <c r="B123" s="4" t="s">
        <v>14</v>
      </c>
      <c r="C123" s="5">
        <f t="shared" si="7"/>
        <v>0.45</v>
      </c>
      <c r="D123" s="4">
        <v>39.880000000000003</v>
      </c>
      <c r="E123" s="41">
        <f t="shared" si="6"/>
        <v>7</v>
      </c>
      <c r="F123" s="4">
        <f t="shared" si="8"/>
        <v>0.45</v>
      </c>
      <c r="O123">
        <v>35</v>
      </c>
      <c r="P123">
        <f t="shared" si="11"/>
        <v>3</v>
      </c>
    </row>
    <row r="124" spans="2:16" x14ac:dyDescent="0.25">
      <c r="B124" s="4" t="s">
        <v>12</v>
      </c>
      <c r="C124" s="5">
        <f t="shared" si="7"/>
        <v>1</v>
      </c>
      <c r="D124" s="4">
        <v>40.32</v>
      </c>
      <c r="E124" s="41">
        <f t="shared" si="6"/>
        <v>7</v>
      </c>
      <c r="F124" s="4">
        <f t="shared" si="8"/>
        <v>1</v>
      </c>
      <c r="O124">
        <v>40</v>
      </c>
      <c r="P124">
        <f t="shared" si="11"/>
        <v>3</v>
      </c>
    </row>
    <row r="125" spans="2:16" x14ac:dyDescent="0.25">
      <c r="B125" s="4" t="s">
        <v>12</v>
      </c>
      <c r="C125" s="5">
        <f t="shared" si="7"/>
        <v>1</v>
      </c>
      <c r="D125" s="4">
        <v>43.68</v>
      </c>
      <c r="E125" s="41">
        <f t="shared" si="6"/>
        <v>8</v>
      </c>
      <c r="F125" s="4">
        <f t="shared" si="8"/>
        <v>1</v>
      </c>
      <c r="O125">
        <v>45</v>
      </c>
      <c r="P125">
        <f t="shared" si="11"/>
        <v>2</v>
      </c>
    </row>
    <row r="126" spans="2:16" x14ac:dyDescent="0.25">
      <c r="H126" s="130"/>
      <c r="O126">
        <v>50</v>
      </c>
      <c r="P126">
        <f t="shared" si="11"/>
        <v>0</v>
      </c>
    </row>
    <row r="127" spans="2:16" x14ac:dyDescent="0.25">
      <c r="H127" s="131"/>
    </row>
  </sheetData>
  <mergeCells count="3">
    <mergeCell ref="H89:I89"/>
    <mergeCell ref="C1:D1"/>
    <mergeCell ref="A11:F11"/>
  </mergeCells>
  <conditionalFormatting sqref="E13:F86">
    <cfRule type="cellIs" dxfId="207" priority="22" operator="greater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C5E60-FBF1-47DB-A3CD-A91489D17938}">
  <sheetPr codeName="Sheet16"/>
  <dimension ref="A1:G59"/>
  <sheetViews>
    <sheetView workbookViewId="0">
      <selection activeCell="I28" sqref="I28"/>
    </sheetView>
  </sheetViews>
  <sheetFormatPr defaultRowHeight="15" x14ac:dyDescent="0.25"/>
  <cols>
    <col min="3" max="3" width="10.140625" bestFit="1" customWidth="1"/>
  </cols>
  <sheetData>
    <row r="1" spans="1:7" ht="15.75" x14ac:dyDescent="0.25">
      <c r="A1" s="141" t="s">
        <v>79</v>
      </c>
    </row>
    <row r="2" spans="1:7" x14ac:dyDescent="0.25">
      <c r="A2" s="157" t="s">
        <v>26</v>
      </c>
      <c r="B2" s="158"/>
      <c r="C2" s="158"/>
      <c r="F2" s="156" t="s">
        <v>26</v>
      </c>
      <c r="G2" s="156"/>
    </row>
    <row r="3" spans="1:7" x14ac:dyDescent="0.25">
      <c r="A3" s="57" t="s">
        <v>16</v>
      </c>
      <c r="B3" s="3" t="s">
        <v>17</v>
      </c>
      <c r="C3" s="3" t="s">
        <v>10</v>
      </c>
      <c r="E3" s="3" t="s">
        <v>97</v>
      </c>
      <c r="F3" s="3" t="s">
        <v>17</v>
      </c>
      <c r="G3" s="3" t="s">
        <v>10</v>
      </c>
    </row>
    <row r="4" spans="1:7" x14ac:dyDescent="0.25">
      <c r="A4" s="118">
        <v>2</v>
      </c>
      <c r="B4" s="115" t="s">
        <v>12</v>
      </c>
      <c r="C4" s="117">
        <v>0</v>
      </c>
      <c r="E4" s="4">
        <v>0</v>
      </c>
      <c r="F4" s="4" t="str">
        <f>B4</f>
        <v>Car</v>
      </c>
      <c r="G4" s="4">
        <f>C4</f>
        <v>0</v>
      </c>
    </row>
    <row r="5" spans="1:7" ht="15.75" thickBot="1" x14ac:dyDescent="0.3">
      <c r="A5" s="120">
        <v>3</v>
      </c>
      <c r="B5" s="115" t="s">
        <v>12</v>
      </c>
      <c r="C5" s="117">
        <v>2.8</v>
      </c>
      <c r="E5" s="4">
        <v>1</v>
      </c>
      <c r="F5" s="4" t="str">
        <f>B4</f>
        <v>Car</v>
      </c>
      <c r="G5" s="4">
        <f>C4</f>
        <v>0</v>
      </c>
    </row>
    <row r="6" spans="1:7" x14ac:dyDescent="0.25">
      <c r="A6" s="114">
        <v>10</v>
      </c>
      <c r="B6" s="115" t="s">
        <v>12</v>
      </c>
      <c r="C6" s="117">
        <v>5.92</v>
      </c>
      <c r="E6" s="4">
        <v>1</v>
      </c>
      <c r="F6" s="4" t="str">
        <f>B5</f>
        <v>Car</v>
      </c>
      <c r="G6" s="4">
        <f>C5</f>
        <v>2.8</v>
      </c>
    </row>
    <row r="7" spans="1:7" x14ac:dyDescent="0.25">
      <c r="A7" s="60">
        <v>35</v>
      </c>
      <c r="B7" s="56" t="s">
        <v>12</v>
      </c>
      <c r="C7" s="5">
        <v>7.4</v>
      </c>
      <c r="E7" s="4">
        <v>2</v>
      </c>
      <c r="F7" s="4" t="str">
        <f>B5</f>
        <v>Car</v>
      </c>
      <c r="G7" s="4">
        <f>C5</f>
        <v>2.8</v>
      </c>
    </row>
    <row r="8" spans="1:7" x14ac:dyDescent="0.25">
      <c r="A8" s="60">
        <v>63</v>
      </c>
      <c r="B8" s="56" t="s">
        <v>12</v>
      </c>
      <c r="C8" s="5">
        <v>9.2799999999999994</v>
      </c>
      <c r="E8" s="4">
        <v>2</v>
      </c>
      <c r="F8" s="4" t="str">
        <f>B6</f>
        <v>Car</v>
      </c>
      <c r="G8" s="4">
        <f>C6</f>
        <v>5.92</v>
      </c>
    </row>
    <row r="9" spans="1:7" x14ac:dyDescent="0.25">
      <c r="A9" s="60">
        <v>81</v>
      </c>
      <c r="B9" s="56" t="s">
        <v>13</v>
      </c>
      <c r="C9" s="5">
        <v>10</v>
      </c>
      <c r="E9" s="4">
        <v>3</v>
      </c>
      <c r="F9" s="4" t="str">
        <f>B6</f>
        <v>Car</v>
      </c>
      <c r="G9" s="4">
        <f>C6</f>
        <v>5.92</v>
      </c>
    </row>
    <row r="10" spans="1:7" x14ac:dyDescent="0.25">
      <c r="A10" s="60">
        <v>93</v>
      </c>
      <c r="B10" s="56" t="s">
        <v>13</v>
      </c>
      <c r="C10" s="5">
        <v>11</v>
      </c>
      <c r="E10" s="4">
        <v>3</v>
      </c>
      <c r="F10" s="4" t="str">
        <f>B7</f>
        <v>Car</v>
      </c>
      <c r="G10" s="4">
        <f>C7</f>
        <v>7.4</v>
      </c>
    </row>
    <row r="11" spans="1:7" x14ac:dyDescent="0.25">
      <c r="A11" s="60">
        <v>84</v>
      </c>
      <c r="B11" s="56" t="s">
        <v>13</v>
      </c>
      <c r="C11" s="5">
        <v>11.72</v>
      </c>
      <c r="E11" s="4">
        <v>4</v>
      </c>
      <c r="F11" s="4" t="str">
        <f>B7</f>
        <v>Car</v>
      </c>
      <c r="G11" s="4">
        <f>C7</f>
        <v>7.4</v>
      </c>
    </row>
    <row r="12" spans="1:7" x14ac:dyDescent="0.25">
      <c r="A12" s="60">
        <v>95</v>
      </c>
      <c r="B12" s="56" t="s">
        <v>13</v>
      </c>
      <c r="C12" s="5">
        <v>12.2</v>
      </c>
      <c r="E12" s="4">
        <v>4</v>
      </c>
      <c r="F12" s="4" t="str">
        <f>B8</f>
        <v>Car</v>
      </c>
      <c r="G12" s="4">
        <f>C8</f>
        <v>9.2799999999999994</v>
      </c>
    </row>
    <row r="13" spans="1:7" x14ac:dyDescent="0.25">
      <c r="A13" s="60">
        <v>108</v>
      </c>
      <c r="B13" s="56" t="s">
        <v>12</v>
      </c>
      <c r="C13" s="5">
        <v>13.48</v>
      </c>
      <c r="E13" s="4">
        <v>5</v>
      </c>
      <c r="F13" s="4" t="str">
        <f>B8</f>
        <v>Car</v>
      </c>
      <c r="G13" s="4">
        <f>C8</f>
        <v>9.2799999999999994</v>
      </c>
    </row>
    <row r="14" spans="1:7" x14ac:dyDescent="0.25">
      <c r="A14" s="60">
        <v>101</v>
      </c>
      <c r="B14" s="56" t="s">
        <v>13</v>
      </c>
      <c r="C14" s="5">
        <v>14.08</v>
      </c>
      <c r="E14" s="4">
        <v>5</v>
      </c>
      <c r="F14" s="4" t="str">
        <f>B9</f>
        <v>Motorbike</v>
      </c>
      <c r="G14" s="4">
        <f>C9</f>
        <v>10</v>
      </c>
    </row>
    <row r="15" spans="1:7" x14ac:dyDescent="0.25">
      <c r="A15" s="60">
        <v>114</v>
      </c>
      <c r="B15" s="56" t="s">
        <v>14</v>
      </c>
      <c r="C15" s="5">
        <v>16.28</v>
      </c>
      <c r="E15" s="4">
        <v>6</v>
      </c>
      <c r="F15" s="4" t="str">
        <f>B9</f>
        <v>Motorbike</v>
      </c>
      <c r="G15" s="4">
        <f>C9</f>
        <v>10</v>
      </c>
    </row>
    <row r="16" spans="1:7" x14ac:dyDescent="0.25">
      <c r="A16" s="60">
        <v>126</v>
      </c>
      <c r="B16" s="56" t="s">
        <v>12</v>
      </c>
      <c r="C16" s="5">
        <v>17.88</v>
      </c>
      <c r="E16" s="4">
        <v>6</v>
      </c>
      <c r="F16" s="4" t="str">
        <f>B10</f>
        <v>Motorbike</v>
      </c>
      <c r="G16" s="4">
        <f>C10</f>
        <v>11</v>
      </c>
    </row>
    <row r="17" spans="1:7" x14ac:dyDescent="0.25">
      <c r="A17" s="60">
        <v>105</v>
      </c>
      <c r="B17" s="56" t="s">
        <v>12</v>
      </c>
      <c r="C17" s="5">
        <v>19.68</v>
      </c>
      <c r="E17" s="4">
        <v>7</v>
      </c>
      <c r="F17" s="4" t="str">
        <f>B10</f>
        <v>Motorbike</v>
      </c>
      <c r="G17" s="4">
        <f>C10</f>
        <v>11</v>
      </c>
    </row>
    <row r="18" spans="1:7" x14ac:dyDescent="0.25">
      <c r="A18" s="60">
        <v>136</v>
      </c>
      <c r="B18" s="56" t="s">
        <v>12</v>
      </c>
      <c r="C18" s="5">
        <v>22.28</v>
      </c>
      <c r="E18" s="4">
        <v>7</v>
      </c>
      <c r="F18" s="4" t="str">
        <f>B11</f>
        <v>Motorbike</v>
      </c>
      <c r="G18" s="4">
        <f>C11</f>
        <v>11.72</v>
      </c>
    </row>
    <row r="19" spans="1:7" x14ac:dyDescent="0.25">
      <c r="A19" s="60">
        <v>159</v>
      </c>
      <c r="B19" s="56" t="s">
        <v>12</v>
      </c>
      <c r="C19" s="5">
        <v>23.68</v>
      </c>
      <c r="E19" s="4">
        <v>8</v>
      </c>
      <c r="F19" s="4" t="str">
        <f>B11</f>
        <v>Motorbike</v>
      </c>
      <c r="G19" s="4">
        <f>C11</f>
        <v>11.72</v>
      </c>
    </row>
    <row r="20" spans="1:7" x14ac:dyDescent="0.25">
      <c r="A20" s="60">
        <v>171</v>
      </c>
      <c r="B20" s="56" t="s">
        <v>12</v>
      </c>
      <c r="C20" s="5">
        <v>25.32</v>
      </c>
      <c r="E20" s="4">
        <v>8</v>
      </c>
      <c r="F20" s="4" t="str">
        <f>B12</f>
        <v>Motorbike</v>
      </c>
      <c r="G20" s="4">
        <f>C12</f>
        <v>12.2</v>
      </c>
    </row>
    <row r="21" spans="1:7" x14ac:dyDescent="0.25">
      <c r="A21" s="60">
        <v>166</v>
      </c>
      <c r="B21" s="56" t="s">
        <v>12</v>
      </c>
      <c r="C21" s="5">
        <v>26.48</v>
      </c>
      <c r="E21" s="4">
        <v>9</v>
      </c>
      <c r="F21" s="4" t="str">
        <f>B12</f>
        <v>Motorbike</v>
      </c>
      <c r="G21" s="4">
        <f>C12</f>
        <v>12.2</v>
      </c>
    </row>
    <row r="22" spans="1:7" x14ac:dyDescent="0.25">
      <c r="A22" s="60">
        <v>180</v>
      </c>
      <c r="B22" s="56" t="s">
        <v>13</v>
      </c>
      <c r="C22" s="5">
        <v>27.68</v>
      </c>
      <c r="E22" s="4">
        <v>9</v>
      </c>
      <c r="F22" s="4" t="str">
        <f>B13</f>
        <v>Car</v>
      </c>
      <c r="G22" s="4">
        <f>C13</f>
        <v>13.48</v>
      </c>
    </row>
    <row r="23" spans="1:7" x14ac:dyDescent="0.25">
      <c r="A23" s="60">
        <v>183</v>
      </c>
      <c r="B23" s="56" t="s">
        <v>12</v>
      </c>
      <c r="C23" s="5">
        <v>28.6</v>
      </c>
      <c r="E23" s="4">
        <v>10</v>
      </c>
      <c r="F23" s="4" t="str">
        <f>B13</f>
        <v>Car</v>
      </c>
      <c r="G23" s="4">
        <f>C13</f>
        <v>13.48</v>
      </c>
    </row>
    <row r="24" spans="1:7" x14ac:dyDescent="0.25">
      <c r="A24" s="60">
        <v>199</v>
      </c>
      <c r="B24" s="56" t="s">
        <v>12</v>
      </c>
      <c r="C24" s="5">
        <v>31.52</v>
      </c>
      <c r="E24" s="4">
        <v>10</v>
      </c>
      <c r="F24" s="4" t="str">
        <f>B14</f>
        <v>Motorbike</v>
      </c>
      <c r="G24" s="4">
        <f>C14</f>
        <v>14.08</v>
      </c>
    </row>
    <row r="25" spans="1:7" x14ac:dyDescent="0.25">
      <c r="A25" s="60">
        <v>206</v>
      </c>
      <c r="B25" s="56" t="s">
        <v>12</v>
      </c>
      <c r="C25" s="5">
        <v>32.880000000000003</v>
      </c>
      <c r="E25" s="4">
        <v>11</v>
      </c>
      <c r="F25" s="4" t="str">
        <f>B14</f>
        <v>Motorbike</v>
      </c>
      <c r="G25" s="4">
        <f>C14</f>
        <v>14.08</v>
      </c>
    </row>
    <row r="26" spans="1:7" x14ac:dyDescent="0.25">
      <c r="A26" s="60">
        <v>211</v>
      </c>
      <c r="B26" s="56" t="s">
        <v>28</v>
      </c>
      <c r="C26" s="5">
        <v>34.68</v>
      </c>
      <c r="E26" s="4">
        <v>11</v>
      </c>
      <c r="F26" s="4" t="str">
        <f>B15</f>
        <v>CNG</v>
      </c>
      <c r="G26" s="4">
        <f>C15</f>
        <v>16.28</v>
      </c>
    </row>
    <row r="27" spans="1:7" x14ac:dyDescent="0.25">
      <c r="A27" s="60">
        <v>219</v>
      </c>
      <c r="B27" s="56" t="s">
        <v>12</v>
      </c>
      <c r="C27" s="5">
        <v>36.200000000000003</v>
      </c>
      <c r="E27" s="4">
        <v>12</v>
      </c>
      <c r="F27" s="4" t="str">
        <f>B15</f>
        <v>CNG</v>
      </c>
      <c r="G27" s="4">
        <f>C15</f>
        <v>16.28</v>
      </c>
    </row>
    <row r="28" spans="1:7" x14ac:dyDescent="0.25">
      <c r="A28" s="60">
        <v>238</v>
      </c>
      <c r="B28" s="56" t="s">
        <v>12</v>
      </c>
      <c r="C28" s="5">
        <v>38.68</v>
      </c>
      <c r="E28" s="4">
        <v>12</v>
      </c>
      <c r="F28" s="4" t="str">
        <f>B16</f>
        <v>Car</v>
      </c>
      <c r="G28" s="4">
        <f>C16</f>
        <v>17.88</v>
      </c>
    </row>
    <row r="29" spans="1:7" x14ac:dyDescent="0.25">
      <c r="A29" s="60">
        <v>253</v>
      </c>
      <c r="B29" s="56" t="s">
        <v>14</v>
      </c>
      <c r="C29" s="5">
        <v>39.880000000000003</v>
      </c>
      <c r="E29" s="4">
        <v>13</v>
      </c>
      <c r="F29" s="4" t="str">
        <f>B16</f>
        <v>Car</v>
      </c>
      <c r="G29" s="4">
        <f>C16</f>
        <v>17.88</v>
      </c>
    </row>
    <row r="30" spans="1:7" x14ac:dyDescent="0.25">
      <c r="A30" s="60">
        <v>257</v>
      </c>
      <c r="B30" s="56" t="s">
        <v>12</v>
      </c>
      <c r="C30" s="5">
        <v>40.32</v>
      </c>
      <c r="E30" s="4">
        <v>13</v>
      </c>
      <c r="F30" s="4" t="str">
        <f>B17</f>
        <v>Car</v>
      </c>
      <c r="G30" s="4">
        <f>C17</f>
        <v>19.68</v>
      </c>
    </row>
    <row r="31" spans="1:7" ht="15.75" thickBot="1" x14ac:dyDescent="0.3">
      <c r="A31" s="61">
        <v>283</v>
      </c>
      <c r="B31" s="56" t="s">
        <v>12</v>
      </c>
      <c r="C31" s="5">
        <v>43.68</v>
      </c>
      <c r="E31" s="4">
        <v>14</v>
      </c>
      <c r="F31" s="4" t="str">
        <f>B17</f>
        <v>Car</v>
      </c>
      <c r="G31" s="4">
        <f>C17</f>
        <v>19.68</v>
      </c>
    </row>
    <row r="32" spans="1:7" x14ac:dyDescent="0.25">
      <c r="E32" s="4">
        <v>14</v>
      </c>
      <c r="F32" s="4" t="str">
        <f>B18</f>
        <v>Car</v>
      </c>
      <c r="G32" s="4">
        <f>C18</f>
        <v>22.28</v>
      </c>
    </row>
    <row r="33" spans="5:7" x14ac:dyDescent="0.25">
      <c r="E33" s="4">
        <v>15</v>
      </c>
      <c r="F33" s="4" t="str">
        <f>B18</f>
        <v>Car</v>
      </c>
      <c r="G33" s="4">
        <f>C18</f>
        <v>22.28</v>
      </c>
    </row>
    <row r="34" spans="5:7" x14ac:dyDescent="0.25">
      <c r="E34" s="4">
        <v>15</v>
      </c>
      <c r="F34" s="4" t="str">
        <f>B19</f>
        <v>Car</v>
      </c>
      <c r="G34" s="4">
        <f>C19</f>
        <v>23.68</v>
      </c>
    </row>
    <row r="35" spans="5:7" x14ac:dyDescent="0.25">
      <c r="E35" s="4">
        <v>16</v>
      </c>
      <c r="F35" s="4" t="str">
        <f>B19</f>
        <v>Car</v>
      </c>
      <c r="G35" s="4">
        <f>C19</f>
        <v>23.68</v>
      </c>
    </row>
    <row r="36" spans="5:7" x14ac:dyDescent="0.25">
      <c r="E36" s="4">
        <v>16</v>
      </c>
      <c r="F36" s="4" t="str">
        <f>B20</f>
        <v>Car</v>
      </c>
      <c r="G36" s="4">
        <f>C20</f>
        <v>25.32</v>
      </c>
    </row>
    <row r="37" spans="5:7" x14ac:dyDescent="0.25">
      <c r="E37" s="4">
        <v>17</v>
      </c>
      <c r="F37" s="4" t="str">
        <f>B20</f>
        <v>Car</v>
      </c>
      <c r="G37" s="4">
        <f>C20</f>
        <v>25.32</v>
      </c>
    </row>
    <row r="38" spans="5:7" x14ac:dyDescent="0.25">
      <c r="E38" s="4">
        <v>17</v>
      </c>
      <c r="F38" s="4" t="str">
        <f>B21</f>
        <v>Car</v>
      </c>
      <c r="G38" s="4">
        <f>C21</f>
        <v>26.48</v>
      </c>
    </row>
    <row r="39" spans="5:7" x14ac:dyDescent="0.25">
      <c r="E39" s="4">
        <v>18</v>
      </c>
      <c r="F39" s="4" t="str">
        <f>B21</f>
        <v>Car</v>
      </c>
      <c r="G39" s="4">
        <f>C21</f>
        <v>26.48</v>
      </c>
    </row>
    <row r="40" spans="5:7" x14ac:dyDescent="0.25">
      <c r="E40" s="4">
        <v>18</v>
      </c>
      <c r="F40" s="4" t="str">
        <f>B22</f>
        <v>Motorbike</v>
      </c>
      <c r="G40" s="4">
        <f>C22</f>
        <v>27.68</v>
      </c>
    </row>
    <row r="41" spans="5:7" x14ac:dyDescent="0.25">
      <c r="E41" s="4">
        <v>19</v>
      </c>
      <c r="F41" s="4" t="str">
        <f>B22</f>
        <v>Motorbike</v>
      </c>
      <c r="G41" s="4">
        <f>C22</f>
        <v>27.68</v>
      </c>
    </row>
    <row r="42" spans="5:7" x14ac:dyDescent="0.25">
      <c r="E42" s="4">
        <v>19</v>
      </c>
      <c r="F42" s="4" t="str">
        <f>B23</f>
        <v>Car</v>
      </c>
      <c r="G42" s="4">
        <f>C23</f>
        <v>28.6</v>
      </c>
    </row>
    <row r="43" spans="5:7" x14ac:dyDescent="0.25">
      <c r="E43" s="4">
        <v>20</v>
      </c>
      <c r="F43" s="4" t="str">
        <f>B23</f>
        <v>Car</v>
      </c>
      <c r="G43" s="4">
        <f>C23</f>
        <v>28.6</v>
      </c>
    </row>
    <row r="44" spans="5:7" x14ac:dyDescent="0.25">
      <c r="E44" s="4">
        <v>20</v>
      </c>
      <c r="F44" s="4" t="str">
        <f>B24</f>
        <v>Car</v>
      </c>
      <c r="G44" s="4">
        <f>C24</f>
        <v>31.52</v>
      </c>
    </row>
    <row r="45" spans="5:7" x14ac:dyDescent="0.25">
      <c r="E45" s="4">
        <v>21</v>
      </c>
      <c r="F45" s="4" t="str">
        <f>B24</f>
        <v>Car</v>
      </c>
      <c r="G45" s="4">
        <f>C24</f>
        <v>31.52</v>
      </c>
    </row>
    <row r="46" spans="5:7" x14ac:dyDescent="0.25">
      <c r="E46" s="4">
        <v>21</v>
      </c>
      <c r="F46" s="4" t="str">
        <f>B25</f>
        <v>Car</v>
      </c>
      <c r="G46" s="4">
        <f>C25</f>
        <v>32.880000000000003</v>
      </c>
    </row>
    <row r="47" spans="5:7" x14ac:dyDescent="0.25">
      <c r="E47" s="4">
        <v>22</v>
      </c>
      <c r="F47" s="4" t="str">
        <f>B25</f>
        <v>Car</v>
      </c>
      <c r="G47" s="4">
        <f>C25</f>
        <v>32.880000000000003</v>
      </c>
    </row>
    <row r="48" spans="5:7" x14ac:dyDescent="0.25">
      <c r="E48" s="4">
        <v>22</v>
      </c>
      <c r="F48" s="4" t="str">
        <f>B26</f>
        <v>Truck</v>
      </c>
      <c r="G48" s="4">
        <f>C26</f>
        <v>34.68</v>
      </c>
    </row>
    <row r="49" spans="5:7" x14ac:dyDescent="0.25">
      <c r="E49" s="4">
        <v>23</v>
      </c>
      <c r="F49" s="4" t="str">
        <f>B26</f>
        <v>Truck</v>
      </c>
      <c r="G49" s="4">
        <f>C26</f>
        <v>34.68</v>
      </c>
    </row>
    <row r="50" spans="5:7" x14ac:dyDescent="0.25">
      <c r="E50" s="4">
        <v>23</v>
      </c>
      <c r="F50" s="4" t="str">
        <f t="shared" ref="F50:G50" si="0">B27</f>
        <v>Car</v>
      </c>
      <c r="G50" s="4">
        <f t="shared" si="0"/>
        <v>36.200000000000003</v>
      </c>
    </row>
    <row r="51" spans="5:7" x14ac:dyDescent="0.25">
      <c r="E51" s="4">
        <v>24</v>
      </c>
      <c r="F51" s="4" t="str">
        <f>B27</f>
        <v>Car</v>
      </c>
      <c r="G51" s="4">
        <f>C27</f>
        <v>36.200000000000003</v>
      </c>
    </row>
    <row r="52" spans="5:7" x14ac:dyDescent="0.25">
      <c r="E52" s="4">
        <v>24</v>
      </c>
      <c r="F52" s="4" t="str">
        <f>B28</f>
        <v>Car</v>
      </c>
      <c r="G52" s="4">
        <f>C28</f>
        <v>38.68</v>
      </c>
    </row>
    <row r="53" spans="5:7" x14ac:dyDescent="0.25">
      <c r="E53" s="4">
        <v>25</v>
      </c>
      <c r="F53" s="4" t="str">
        <f>B28</f>
        <v>Car</v>
      </c>
      <c r="G53" s="4">
        <f>C28</f>
        <v>38.68</v>
      </c>
    </row>
    <row r="54" spans="5:7" x14ac:dyDescent="0.25">
      <c r="E54" s="4">
        <v>25</v>
      </c>
      <c r="F54" s="4" t="str">
        <f>B29</f>
        <v>CNG</v>
      </c>
      <c r="G54" s="4">
        <f>C29</f>
        <v>39.880000000000003</v>
      </c>
    </row>
    <row r="55" spans="5:7" x14ac:dyDescent="0.25">
      <c r="E55" s="4">
        <v>26</v>
      </c>
      <c r="F55" s="4" t="str">
        <f>B29</f>
        <v>CNG</v>
      </c>
      <c r="G55" s="4">
        <f>C29</f>
        <v>39.880000000000003</v>
      </c>
    </row>
    <row r="56" spans="5:7" x14ac:dyDescent="0.25">
      <c r="E56" s="4">
        <v>26</v>
      </c>
      <c r="F56" s="4" t="str">
        <f>B30</f>
        <v>Car</v>
      </c>
      <c r="G56" s="4">
        <f>C30</f>
        <v>40.32</v>
      </c>
    </row>
    <row r="57" spans="5:7" x14ac:dyDescent="0.25">
      <c r="E57" s="4">
        <v>27</v>
      </c>
      <c r="F57" s="4" t="str">
        <f>B30</f>
        <v>Car</v>
      </c>
      <c r="G57" s="4">
        <f>C30</f>
        <v>40.32</v>
      </c>
    </row>
    <row r="58" spans="5:7" x14ac:dyDescent="0.25">
      <c r="E58" s="4">
        <v>27</v>
      </c>
      <c r="F58" s="4" t="str">
        <f>B31</f>
        <v>Car</v>
      </c>
      <c r="G58" s="4">
        <f>C31</f>
        <v>43.68</v>
      </c>
    </row>
    <row r="59" spans="5:7" x14ac:dyDescent="0.25">
      <c r="E59" s="4">
        <v>28</v>
      </c>
      <c r="F59" s="4" t="str">
        <f>B31</f>
        <v>Car</v>
      </c>
      <c r="G59" s="4">
        <f>C31</f>
        <v>43.68</v>
      </c>
    </row>
  </sheetData>
  <mergeCells count="2">
    <mergeCell ref="A2:C2"/>
    <mergeCell ref="F2:G2"/>
  </mergeCells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C2DE-8129-4698-A5C1-604971020A1F}">
  <sheetPr codeName="Sheet2">
    <pageSetUpPr fitToPage="1"/>
  </sheetPr>
  <dimension ref="A1:W88"/>
  <sheetViews>
    <sheetView topLeftCell="A32" zoomScaleNormal="100" workbookViewId="0">
      <selection activeCell="C22" sqref="C22"/>
    </sheetView>
  </sheetViews>
  <sheetFormatPr defaultRowHeight="15" x14ac:dyDescent="0.25"/>
  <cols>
    <col min="1" max="1" width="12" style="36" customWidth="1"/>
    <col min="2" max="2" width="23.28515625" style="36" customWidth="1"/>
    <col min="3" max="5" width="9.7109375" style="37" customWidth="1"/>
    <col min="6" max="6" width="5.140625" style="36" customWidth="1"/>
    <col min="7" max="7" width="10.42578125" style="36" bestFit="1" customWidth="1"/>
    <col min="8" max="8" width="9.5703125" style="36" bestFit="1" customWidth="1"/>
    <col min="9" max="12" width="9.140625" style="36"/>
    <col min="13" max="13" width="28.28515625" style="36" bestFit="1" customWidth="1"/>
    <col min="14" max="18" width="9.140625" style="36"/>
    <col min="19" max="19" width="23.42578125" style="36" bestFit="1" customWidth="1"/>
    <col min="20" max="20" width="79.140625" style="36" customWidth="1"/>
    <col min="21" max="21" width="10" style="36" bestFit="1" customWidth="1"/>
    <col min="22" max="22" width="32.28515625" style="36" bestFit="1" customWidth="1"/>
    <col min="23" max="16384" width="9.140625" style="36"/>
  </cols>
  <sheetData>
    <row r="1" spans="2:23" ht="15.75" x14ac:dyDescent="0.25">
      <c r="B1" s="153" t="s">
        <v>29</v>
      </c>
      <c r="C1" s="154"/>
      <c r="M1" s="14" t="s">
        <v>0</v>
      </c>
      <c r="N1"/>
      <c r="O1"/>
      <c r="S1" s="36" t="s">
        <v>119</v>
      </c>
      <c r="T1" s="37" t="s">
        <v>120</v>
      </c>
      <c r="U1" s="36" t="s">
        <v>121</v>
      </c>
      <c r="V1" s="36" t="s">
        <v>127</v>
      </c>
      <c r="W1" s="36" t="s">
        <v>125</v>
      </c>
    </row>
    <row r="2" spans="2:23" x14ac:dyDescent="0.25">
      <c r="B2" s="17" t="s">
        <v>12</v>
      </c>
      <c r="C2" s="18">
        <v>1</v>
      </c>
      <c r="M2" t="s">
        <v>1</v>
      </c>
      <c r="N2" s="36">
        <v>48.3</v>
      </c>
      <c r="O2" s="36" t="s">
        <v>90</v>
      </c>
      <c r="S2" s="36" t="s">
        <v>98</v>
      </c>
      <c r="T2" s="50" t="s">
        <v>112</v>
      </c>
      <c r="U2" s="36" t="s">
        <v>122</v>
      </c>
      <c r="W2" s="36" t="s">
        <v>126</v>
      </c>
    </row>
    <row r="3" spans="2:23" x14ac:dyDescent="0.25">
      <c r="B3" s="17" t="s">
        <v>27</v>
      </c>
      <c r="C3" s="18">
        <v>1.56</v>
      </c>
      <c r="N3" s="137">
        <f>N2*0.621371</f>
        <v>30.012219299999998</v>
      </c>
      <c r="O3" t="s">
        <v>2</v>
      </c>
      <c r="R3" s="36" t="s">
        <v>132</v>
      </c>
      <c r="S3" s="36" t="s">
        <v>105</v>
      </c>
      <c r="T3" s="50" t="s">
        <v>113</v>
      </c>
      <c r="U3" s="36" t="s">
        <v>123</v>
      </c>
    </row>
    <row r="4" spans="2:23" x14ac:dyDescent="0.25">
      <c r="B4" s="17" t="s">
        <v>14</v>
      </c>
      <c r="C4" s="18">
        <v>0.45</v>
      </c>
      <c r="M4"/>
      <c r="N4" s="136">
        <f>N3*5280/3600</f>
        <v>44.017921639999997</v>
      </c>
      <c r="O4" t="s">
        <v>6</v>
      </c>
      <c r="S4" s="36" t="s">
        <v>118</v>
      </c>
      <c r="T4" s="50" t="s">
        <v>133</v>
      </c>
      <c r="U4" s="36" t="s">
        <v>124</v>
      </c>
    </row>
    <row r="5" spans="2:23" x14ac:dyDescent="0.25">
      <c r="B5" s="17" t="s">
        <v>13</v>
      </c>
      <c r="C5" s="18">
        <v>0.38</v>
      </c>
      <c r="M5" t="s">
        <v>24</v>
      </c>
      <c r="N5" s="13">
        <v>22</v>
      </c>
      <c r="O5" t="s">
        <v>3</v>
      </c>
      <c r="S5" s="36" t="s">
        <v>108</v>
      </c>
      <c r="T5" s="50" t="s">
        <v>109</v>
      </c>
    </row>
    <row r="6" spans="2:23" x14ac:dyDescent="0.25">
      <c r="B6" s="17" t="s">
        <v>28</v>
      </c>
      <c r="C6" s="18">
        <v>1.02</v>
      </c>
      <c r="M6" t="s">
        <v>25</v>
      </c>
      <c r="N6" s="12">
        <v>1</v>
      </c>
      <c r="O6" t="s">
        <v>4</v>
      </c>
      <c r="S6" s="36" t="s">
        <v>108</v>
      </c>
      <c r="T6" s="50" t="s">
        <v>110</v>
      </c>
    </row>
    <row r="7" spans="2:23" x14ac:dyDescent="0.25">
      <c r="B7" s="17" t="s">
        <v>15</v>
      </c>
      <c r="C7" s="18">
        <v>0.33</v>
      </c>
      <c r="M7" t="s">
        <v>91</v>
      </c>
      <c r="N7" s="135">
        <f>((N3/10)+1)*(N5*N6)</f>
        <v>88.026882459999996</v>
      </c>
      <c r="O7" t="s">
        <v>3</v>
      </c>
      <c r="S7" s="36" t="s">
        <v>108</v>
      </c>
      <c r="T7" s="50" t="s">
        <v>111</v>
      </c>
    </row>
    <row r="8" spans="2:23" x14ac:dyDescent="0.25">
      <c r="B8" s="17" t="s">
        <v>33</v>
      </c>
      <c r="C8" s="18">
        <v>1.84</v>
      </c>
      <c r="M8"/>
      <c r="N8" s="138">
        <f>0.3*N7</f>
        <v>26.408064737999997</v>
      </c>
      <c r="O8" t="s">
        <v>89</v>
      </c>
      <c r="S8" s="36" t="s">
        <v>108</v>
      </c>
      <c r="T8" s="50" t="s">
        <v>114</v>
      </c>
    </row>
    <row r="9" spans="2:23" x14ac:dyDescent="0.25">
      <c r="M9"/>
      <c r="N9"/>
      <c r="O9"/>
      <c r="S9" s="36" t="s">
        <v>117</v>
      </c>
      <c r="T9" s="50" t="s">
        <v>116</v>
      </c>
    </row>
    <row r="10" spans="2:23" x14ac:dyDescent="0.25">
      <c r="B10" s="160" t="s">
        <v>39</v>
      </c>
      <c r="C10" s="160"/>
      <c r="D10" s="160"/>
      <c r="E10" s="50" t="s">
        <v>52</v>
      </c>
      <c r="M10" s="1" t="s">
        <v>92</v>
      </c>
      <c r="N10" s="139">
        <f>N7/N4</f>
        <v>1.9997964279169451</v>
      </c>
      <c r="O10" s="1" t="s">
        <v>9</v>
      </c>
      <c r="S10" s="36" t="s">
        <v>106</v>
      </c>
      <c r="T10" s="50" t="s">
        <v>107</v>
      </c>
    </row>
    <row r="11" spans="2:23" x14ac:dyDescent="0.25">
      <c r="B11" s="40" t="s">
        <v>43</v>
      </c>
      <c r="C11" s="40" t="s">
        <v>5</v>
      </c>
      <c r="D11" s="40" t="s">
        <v>42</v>
      </c>
      <c r="E11" s="50" t="s">
        <v>44</v>
      </c>
      <c r="M11" s="1" t="s">
        <v>7</v>
      </c>
      <c r="N11" s="1">
        <f>3600/N10</f>
        <v>1800.1832335253646</v>
      </c>
      <c r="O11" s="1" t="s">
        <v>8</v>
      </c>
      <c r="S11" s="36" t="s">
        <v>130</v>
      </c>
      <c r="T11" s="50" t="s">
        <v>128</v>
      </c>
    </row>
    <row r="12" spans="2:23" x14ac:dyDescent="0.25">
      <c r="B12" s="24" t="s">
        <v>40</v>
      </c>
      <c r="C12" s="46">
        <v>1</v>
      </c>
      <c r="D12" s="47">
        <f>3600/C12</f>
        <v>3600</v>
      </c>
      <c r="E12" s="123" t="s">
        <v>71</v>
      </c>
      <c r="M12"/>
      <c r="N12"/>
      <c r="O12"/>
      <c r="S12" s="36" t="s">
        <v>134</v>
      </c>
      <c r="T12" s="50" t="s">
        <v>135</v>
      </c>
    </row>
    <row r="13" spans="2:23" x14ac:dyDescent="0.25">
      <c r="B13" s="24" t="s">
        <v>41</v>
      </c>
      <c r="C13" s="48">
        <v>0.6</v>
      </c>
      <c r="D13" s="47">
        <f>3600/C13</f>
        <v>6000</v>
      </c>
      <c r="E13" s="123" t="s">
        <v>70</v>
      </c>
      <c r="M13"/>
      <c r="N13"/>
      <c r="O13"/>
      <c r="S13" s="36" t="s">
        <v>115</v>
      </c>
      <c r="T13" s="50"/>
    </row>
    <row r="14" spans="2:23" x14ac:dyDescent="0.25">
      <c r="B14" s="24" t="s">
        <v>45</v>
      </c>
      <c r="C14" s="161" t="s">
        <v>46</v>
      </c>
      <c r="D14" s="161"/>
      <c r="E14" s="50" t="s">
        <v>47</v>
      </c>
      <c r="M14"/>
      <c r="N14"/>
      <c r="O14"/>
      <c r="S14" s="36" t="s">
        <v>99</v>
      </c>
      <c r="T14" s="50"/>
    </row>
    <row r="15" spans="2:23" x14ac:dyDescent="0.25">
      <c r="B15" s="24" t="s">
        <v>49</v>
      </c>
      <c r="C15" s="161" t="s">
        <v>48</v>
      </c>
      <c r="D15" s="161"/>
      <c r="E15" s="50" t="s">
        <v>47</v>
      </c>
      <c r="M15"/>
      <c r="N15"/>
      <c r="O15"/>
      <c r="S15" s="36" t="s">
        <v>100</v>
      </c>
      <c r="T15" s="50"/>
    </row>
    <row r="16" spans="2:23" x14ac:dyDescent="0.25">
      <c r="M16"/>
      <c r="N16"/>
      <c r="O16"/>
      <c r="S16" s="36" t="s">
        <v>101</v>
      </c>
      <c r="T16" s="50"/>
    </row>
    <row r="17" spans="1:20" x14ac:dyDescent="0.25">
      <c r="B17" s="124" t="s">
        <v>75</v>
      </c>
      <c r="M17"/>
      <c r="N17"/>
      <c r="O17"/>
      <c r="S17" s="36" t="s">
        <v>102</v>
      </c>
    </row>
    <row r="18" spans="1:20" x14ac:dyDescent="0.25">
      <c r="B18" s="36" t="s">
        <v>72</v>
      </c>
      <c r="M18"/>
      <c r="N18"/>
      <c r="O18"/>
      <c r="S18" s="36" t="s">
        <v>103</v>
      </c>
      <c r="T18" s="50"/>
    </row>
    <row r="19" spans="1:20" x14ac:dyDescent="0.25">
      <c r="B19" s="36" t="s">
        <v>73</v>
      </c>
      <c r="M19"/>
      <c r="N19"/>
      <c r="O19"/>
      <c r="S19" s="36" t="s">
        <v>104</v>
      </c>
      <c r="T19" s="50"/>
    </row>
    <row r="20" spans="1:20" x14ac:dyDescent="0.25">
      <c r="B20" s="159" t="s">
        <v>74</v>
      </c>
      <c r="C20" s="159" t="s">
        <v>34</v>
      </c>
      <c r="D20" s="159"/>
      <c r="E20" s="159"/>
      <c r="H20" s="38"/>
      <c r="I20" s="38"/>
      <c r="M20"/>
      <c r="N20"/>
      <c r="O20"/>
      <c r="S20" s="36" t="s">
        <v>129</v>
      </c>
      <c r="T20" s="50" t="s">
        <v>131</v>
      </c>
    </row>
    <row r="21" spans="1:20" ht="15.75" thickBot="1" x14ac:dyDescent="0.3">
      <c r="B21" s="159"/>
      <c r="C21" s="49" t="s">
        <v>26</v>
      </c>
      <c r="D21" s="49" t="s">
        <v>18</v>
      </c>
      <c r="E21" s="49" t="s">
        <v>23</v>
      </c>
      <c r="H21" s="40" t="s">
        <v>26</v>
      </c>
      <c r="I21" s="40" t="s">
        <v>18</v>
      </c>
      <c r="J21" s="40" t="s">
        <v>23</v>
      </c>
      <c r="M21"/>
      <c r="N21"/>
      <c r="O21"/>
      <c r="T21" s="50"/>
    </row>
    <row r="22" spans="1:20" ht="15.75" thickBot="1" x14ac:dyDescent="0.3">
      <c r="A22" s="37">
        <f>56-19</f>
        <v>37</v>
      </c>
      <c r="B22" s="29" t="str">
        <f>'8.15'!E1</f>
        <v>08:15:19-08:15:56 AM</v>
      </c>
      <c r="C22" s="94">
        <f>'8.15'!F9</f>
        <v>1397.9858648095892</v>
      </c>
      <c r="D22" s="94">
        <f>'8.15'!M9</f>
        <v>2454.0992546809675</v>
      </c>
      <c r="E22" s="94">
        <f>'8.15'!T9</f>
        <v>2008.5698982324584</v>
      </c>
      <c r="G22" s="39" t="s">
        <v>67</v>
      </c>
      <c r="H22" s="31">
        <f>AVERAGE(C22:C34)</f>
        <v>1868.8687907371184</v>
      </c>
      <c r="I22" s="31">
        <f t="shared" ref="I22:J22" si="0">AVERAGE(D22:D34)</f>
        <v>1860.6924970991893</v>
      </c>
      <c r="J22" s="31">
        <f t="shared" si="0"/>
        <v>2274.4439444246391</v>
      </c>
      <c r="M22"/>
      <c r="N22"/>
      <c r="O22"/>
      <c r="T22" s="50"/>
    </row>
    <row r="23" spans="1:20" x14ac:dyDescent="0.25">
      <c r="A23" s="37">
        <f>20+21</f>
        <v>41</v>
      </c>
      <c r="B23" s="29" t="str">
        <f>'08.58'!E1</f>
        <v>08:58:39-08:59:20 AM</v>
      </c>
      <c r="C23" s="106">
        <f>'08.58'!F9</f>
        <v>1668.4277848840443</v>
      </c>
      <c r="D23" s="94">
        <f>'08.58'!M9</f>
        <v>1563.8031693077569</v>
      </c>
      <c r="E23" s="100">
        <f>'08.58'!T9</f>
        <v>3478.4529166551638</v>
      </c>
      <c r="G23" s="127" t="s">
        <v>66</v>
      </c>
      <c r="H23" s="26">
        <f>_xlfn.STDEV.S(C22:C34)</f>
        <v>208.2431940836733</v>
      </c>
      <c r="I23" s="26">
        <f t="shared" ref="I23:J23" si="1">_xlfn.STDEV.S(D22:D34)</f>
        <v>462.03722684326056</v>
      </c>
      <c r="J23" s="26">
        <f t="shared" si="1"/>
        <v>689.18093382756967</v>
      </c>
      <c r="T23" s="50"/>
    </row>
    <row r="24" spans="1:20" x14ac:dyDescent="0.25">
      <c r="A24" s="37">
        <f>24+19</f>
        <v>43</v>
      </c>
      <c r="B24" s="29" t="str">
        <f>'9.03'!E1</f>
        <v>09:03:36-09:04:19 AM</v>
      </c>
      <c r="C24" s="106">
        <f>'9.03'!F9</f>
        <v>1961.1403668058833</v>
      </c>
      <c r="D24" s="94">
        <f>'9.03'!M9</f>
        <v>1960.0725952813063</v>
      </c>
      <c r="E24" s="106">
        <f>'9.03'!T9</f>
        <v>2072.5865880619012</v>
      </c>
      <c r="G24" s="127" t="s">
        <v>78</v>
      </c>
      <c r="H24" s="107">
        <f>H23/H22</f>
        <v>0.11142740202833508</v>
      </c>
      <c r="I24" s="107">
        <f>I23/I22</f>
        <v>0.24831466110793396</v>
      </c>
      <c r="J24" s="107">
        <f>J23/J22</f>
        <v>0.30301073610407675</v>
      </c>
      <c r="T24" s="50"/>
    </row>
    <row r="25" spans="1:20" x14ac:dyDescent="0.25">
      <c r="A25" s="37">
        <f>58-16</f>
        <v>42</v>
      </c>
      <c r="B25" s="29" t="str">
        <f>'12.07'!E1</f>
        <v>12:07:16-12:07:58 PM</v>
      </c>
      <c r="C25" s="106">
        <f>'12.07'!F9</f>
        <v>2095.5682611957677</v>
      </c>
      <c r="D25" s="94">
        <f>'12.07'!M9</f>
        <v>2462.5150487030755</v>
      </c>
      <c r="E25" s="106">
        <f>'12.07'!T9</f>
        <v>1936.6954888688913</v>
      </c>
      <c r="T25" s="50"/>
    </row>
    <row r="26" spans="1:20" x14ac:dyDescent="0.25">
      <c r="A26" s="37">
        <f>39+4</f>
        <v>43</v>
      </c>
      <c r="B26" s="29" t="str">
        <f>'12.16'!E1</f>
        <v>12:16:56-12:17:39 PM</v>
      </c>
      <c r="C26" s="106">
        <f>'12.16'!F9</f>
        <v>2046.2916647719521</v>
      </c>
      <c r="D26" s="106">
        <f>'12.16'!M9</f>
        <v>1890.2929954142892</v>
      </c>
      <c r="E26" s="106">
        <f>'12.16'!T9</f>
        <v>1809.7066081710996</v>
      </c>
      <c r="G26" s="127" t="s">
        <v>65</v>
      </c>
      <c r="H26" s="26">
        <f>_xlfn.PERCENTILE.EXC(C22:C34,0.5)</f>
        <v>1892.0890889529201</v>
      </c>
      <c r="I26" s="26">
        <f t="shared" ref="I26:J26" si="2">_xlfn.PERCENTILE.EXC(D22:D34,0.5)</f>
        <v>1920.8605455243949</v>
      </c>
      <c r="J26" s="26">
        <f t="shared" si="2"/>
        <v>1996.5772960638901</v>
      </c>
      <c r="T26" s="50"/>
    </row>
    <row r="27" spans="1:20" x14ac:dyDescent="0.25">
      <c r="A27" s="37">
        <f>34+7</f>
        <v>41</v>
      </c>
      <c r="B27" s="29" t="str">
        <f>'1.00'!E1</f>
        <v>01:00:26-01:01:07 PM</v>
      </c>
      <c r="C27" s="106">
        <f>'1.00'!F9</f>
        <v>1830.9260046975271</v>
      </c>
      <c r="D27" s="94">
        <f>'1.00'!M9</f>
        <v>1596.553471870249</v>
      </c>
      <c r="E27" s="94">
        <f>'1.00'!T9</f>
        <v>1996.5772960638901</v>
      </c>
      <c r="G27" s="127" t="s">
        <v>36</v>
      </c>
      <c r="H27" s="26">
        <f>MIN(C22:C34)</f>
        <v>1397.9858648095892</v>
      </c>
      <c r="I27" s="26">
        <f t="shared" ref="I27:J27" si="3">MIN(D22:D34)</f>
        <v>1047.0508068939157</v>
      </c>
      <c r="J27" s="26">
        <f t="shared" si="3"/>
        <v>1807.0474851922502</v>
      </c>
      <c r="T27" s="50"/>
    </row>
    <row r="28" spans="1:20" x14ac:dyDescent="0.25">
      <c r="A28" s="37">
        <f>39-4</f>
        <v>35</v>
      </c>
      <c r="B28" s="29" t="str">
        <f>'1.04'!E1</f>
        <v>01:04:04-01:04:39 PM</v>
      </c>
      <c r="C28" s="106">
        <f>'1.04'!F9</f>
        <v>1962.4660202642785</v>
      </c>
      <c r="D28" s="106">
        <f>'1.04'!M9</f>
        <v>1920.8605455243949</v>
      </c>
      <c r="E28" s="106">
        <f>'1.04'!T9</f>
        <v>2186.5889212827988</v>
      </c>
      <c r="G28" s="127" t="s">
        <v>37</v>
      </c>
      <c r="H28" s="26">
        <f>MAX(C22:C34)</f>
        <v>2201.7858930021021</v>
      </c>
      <c r="I28" s="26">
        <f t="shared" ref="I28:J28" si="4">MAX(D22:D34)</f>
        <v>2462.5150487030755</v>
      </c>
      <c r="J28" s="26">
        <f t="shared" si="4"/>
        <v>3998.8690067455673</v>
      </c>
    </row>
    <row r="29" spans="1:20" x14ac:dyDescent="0.25">
      <c r="A29" s="37">
        <f>43+6</f>
        <v>49</v>
      </c>
      <c r="B29" s="29" t="str">
        <f>'3.01'!E1</f>
        <v>03:01:17-03:02:06 PM</v>
      </c>
      <c r="C29" s="106">
        <f>'3.01'!F9</f>
        <v>1704.6376968450675</v>
      </c>
      <c r="D29" s="94">
        <f>'3.01'!M9</f>
        <v>1692.789968652037</v>
      </c>
      <c r="E29" s="94">
        <f>'3.01'!T9</f>
        <v>2584.0720668987547</v>
      </c>
    </row>
    <row r="30" spans="1:20" x14ac:dyDescent="0.25">
      <c r="A30" s="37">
        <f>50</f>
        <v>50</v>
      </c>
      <c r="B30" s="29" t="str">
        <f>'3.35'!E1</f>
        <v>03:35:07-03:35:54 PM</v>
      </c>
      <c r="C30" s="106">
        <f>'3.35'!F9</f>
        <v>2201.7858930021021</v>
      </c>
      <c r="D30" s="106">
        <f>'3.35'!M9</f>
        <v>2137.344151988917</v>
      </c>
      <c r="E30" s="106">
        <f>'3.35'!T9</f>
        <v>1807.0474851922502</v>
      </c>
      <c r="G30" s="50" t="s">
        <v>76</v>
      </c>
    </row>
    <row r="31" spans="1:20" x14ac:dyDescent="0.25">
      <c r="A31" s="37">
        <v>39</v>
      </c>
      <c r="B31" s="29" t="str">
        <f>'3.40'!E1</f>
        <v>03:40:00-03:40:39 PM</v>
      </c>
      <c r="C31" s="106">
        <f>'3.40'!F9</f>
        <v>1892.0890889529201</v>
      </c>
      <c r="D31" s="94">
        <f>'3.40'!M9</f>
        <v>2344.1569716964755</v>
      </c>
      <c r="E31" s="94">
        <f>'3.40'!T9</f>
        <v>1856.3399164647037</v>
      </c>
      <c r="G31" s="126" t="s">
        <v>77</v>
      </c>
    </row>
    <row r="32" spans="1:20" x14ac:dyDescent="0.25">
      <c r="A32" s="37">
        <f>46-8</f>
        <v>38</v>
      </c>
      <c r="B32" s="29" t="str">
        <f>'5.02'!E1</f>
        <v>05:02:08-05:02:46 PM</v>
      </c>
      <c r="C32" s="106">
        <f>'5.02'!F9</f>
        <v>1844.5715563339613</v>
      </c>
      <c r="D32" s="94">
        <f>'5.02'!M9</f>
        <v>1062.992125984252</v>
      </c>
      <c r="E32" s="94">
        <f>'5.02'!T9</f>
        <v>1871.2315475777943</v>
      </c>
      <c r="G32" s="36" t="s">
        <v>137</v>
      </c>
    </row>
    <row r="33" spans="1:7" x14ac:dyDescent="0.25">
      <c r="A33" s="37">
        <f>35+10</f>
        <v>45</v>
      </c>
      <c r="B33" s="29" t="str">
        <f>'5.11'!E1</f>
        <v>05:11:50-05:12:35 PM</v>
      </c>
      <c r="C33" s="94">
        <f>'5.11'!F9</f>
        <v>1936.3166953528403</v>
      </c>
      <c r="D33" s="94">
        <f>'5.11'!M9</f>
        <v>1047.0508068939157</v>
      </c>
      <c r="E33" s="100">
        <f>'5.11'!T9</f>
        <v>3998.8690067455673</v>
      </c>
      <c r="G33" s="36" t="s">
        <v>68</v>
      </c>
    </row>
    <row r="34" spans="1:7" x14ac:dyDescent="0.25">
      <c r="A34" s="37">
        <f>11+32</f>
        <v>43</v>
      </c>
      <c r="B34" s="29" t="str">
        <f>'5.21'!E1</f>
        <v>05:21:28-05:22:11 PM</v>
      </c>
      <c r="C34" s="106">
        <f>'5.21'!F9</f>
        <v>1753.0873816666015</v>
      </c>
      <c r="D34" s="94">
        <f>'5.21'!M9</f>
        <v>2056.4713562918223</v>
      </c>
      <c r="E34" s="106">
        <f>'5.21'!T9</f>
        <v>1961.033537305032</v>
      </c>
      <c r="G34" s="36" t="s">
        <v>69</v>
      </c>
    </row>
    <row r="38" spans="1:7" x14ac:dyDescent="0.25">
      <c r="C38" s="36"/>
      <c r="D38" s="36"/>
      <c r="E38" s="36"/>
    </row>
    <row r="39" spans="1:7" x14ac:dyDescent="0.25">
      <c r="C39" s="36"/>
      <c r="D39" s="36"/>
      <c r="E39" s="36"/>
    </row>
    <row r="40" spans="1:7" x14ac:dyDescent="0.25">
      <c r="B40" s="146" t="s">
        <v>138</v>
      </c>
      <c r="C40" s="49" t="s">
        <v>26</v>
      </c>
      <c r="D40" s="49" t="s">
        <v>18</v>
      </c>
      <c r="E40" s="49" t="s">
        <v>23</v>
      </c>
    </row>
    <row r="41" spans="1:7" x14ac:dyDescent="0.25">
      <c r="B41" s="143" t="s">
        <v>12</v>
      </c>
      <c r="C41" s="147">
        <f>100*C52/COUNTA('8.15:5.21'!$B$13:B$43)</f>
        <v>58.803986710963457</v>
      </c>
      <c r="D41" s="147">
        <f>100*D52/COUNTA('8.15:5.21'!$I$13:I$43)</f>
        <v>84.090909090909093</v>
      </c>
      <c r="E41" s="147">
        <f>100*E52/COUNTA('8.15:5.21'!$P$13:P$50)</f>
        <v>38.380281690140848</v>
      </c>
    </row>
    <row r="42" spans="1:7" x14ac:dyDescent="0.25">
      <c r="B42" s="143" t="s">
        <v>14</v>
      </c>
      <c r="C42" s="147">
        <f>100*C53/COUNTA('8.15:5.21'!$B$13:B$43)</f>
        <v>20.26578073089701</v>
      </c>
      <c r="D42" s="147">
        <f>100*D53/COUNTA('8.15:5.21'!$I$13:I$43)</f>
        <v>8.6363636363636367</v>
      </c>
      <c r="E42" s="147">
        <f>100*E53/COUNTA('8.15:5.21'!$P$13:P$50)</f>
        <v>23.943661971830984</v>
      </c>
    </row>
    <row r="43" spans="1:7" x14ac:dyDescent="0.25">
      <c r="B43" s="143" t="s">
        <v>13</v>
      </c>
      <c r="C43" s="147">
        <f>100*C54/COUNTA('8.15:5.21'!$B$13:B$43)</f>
        <v>24.252491694352159</v>
      </c>
      <c r="D43" s="147">
        <f>100*D54/COUNTA('8.15:5.21'!$I$13:I$43)</f>
        <v>12.272727272727273</v>
      </c>
      <c r="E43" s="147">
        <f>100*E54/COUNTA('8.15:5.21'!$P$13:P$50)</f>
        <v>45.774647887323944</v>
      </c>
    </row>
    <row r="44" spans="1:7" x14ac:dyDescent="0.25">
      <c r="B44" s="143" t="s">
        <v>28</v>
      </c>
      <c r="C44" s="147">
        <f>100*C55/COUNTA('8.15:5.21'!$B$13:B$43)</f>
        <v>2.6578073089700998</v>
      </c>
      <c r="D44" s="147">
        <f>100*D55/COUNTA('8.15:5.21'!$I$13:I$43)</f>
        <v>2.2727272727272729</v>
      </c>
      <c r="E44" s="147">
        <f>100*E55/COUNTA('8.15:5.21'!$P$13:P$50)</f>
        <v>1.408450704225352</v>
      </c>
    </row>
    <row r="45" spans="1:7" x14ac:dyDescent="0.25">
      <c r="B45" s="143" t="s">
        <v>15</v>
      </c>
      <c r="C45" s="147">
        <f>100*C56/COUNTA('8.15:5.21'!$B$13:B$43)</f>
        <v>0.66445182724252494</v>
      </c>
      <c r="D45" s="147">
        <f>100*D56/COUNTA('8.15:5.21'!$I$13:I$43)</f>
        <v>0.90909090909090906</v>
      </c>
      <c r="E45" s="147">
        <f>100*E56/COUNTA('8.15:5.21'!$P$13:P$50)</f>
        <v>2.464788732394366</v>
      </c>
    </row>
    <row r="46" spans="1:7" x14ac:dyDescent="0.25">
      <c r="B46" s="143" t="s">
        <v>33</v>
      </c>
      <c r="C46" s="147">
        <f>100*C57/COUNTA('8.15:5.21'!$B$13:B$43)</f>
        <v>0.33222591362126247</v>
      </c>
      <c r="D46" s="147">
        <f>100*D57/COUNTA('8.15:5.21'!$I$13:I$43)</f>
        <v>0</v>
      </c>
      <c r="E46" s="147">
        <f>100*E57/COUNTA('8.15:5.21'!$P$13:P$50)</f>
        <v>0.70422535211267601</v>
      </c>
    </row>
    <row r="47" spans="1:7" x14ac:dyDescent="0.25">
      <c r="B47" s="143" t="s">
        <v>27</v>
      </c>
      <c r="C47" s="147">
        <f>100*C58/COUNTA('8.15:5.21'!$B$13:B$43)</f>
        <v>0.33222591362126247</v>
      </c>
      <c r="D47" s="147">
        <f>100*D58/COUNTA('8.15:5.21'!$I$13:I$43)</f>
        <v>0</v>
      </c>
      <c r="E47" s="147">
        <f>100*E58/COUNTA('8.15:5.21'!$P$13:P$50)</f>
        <v>0</v>
      </c>
    </row>
    <row r="48" spans="1:7" x14ac:dyDescent="0.25">
      <c r="C48" s="148">
        <f>SUM(C41:C47)</f>
        <v>107.30897009966777</v>
      </c>
      <c r="D48" s="148">
        <f>SUM(D41:D47)</f>
        <v>108.18181818181817</v>
      </c>
      <c r="E48" s="148">
        <f>SUM(E41:E47)</f>
        <v>112.67605633802816</v>
      </c>
    </row>
    <row r="49" spans="2:6" x14ac:dyDescent="0.25">
      <c r="C49" s="36"/>
      <c r="D49" s="36"/>
      <c r="E49" s="36"/>
    </row>
    <row r="50" spans="2:6" x14ac:dyDescent="0.25">
      <c r="C50" s="36"/>
      <c r="D50" s="36"/>
      <c r="E50" s="36"/>
    </row>
    <row r="51" spans="2:6" x14ac:dyDescent="0.25">
      <c r="B51" s="146" t="s">
        <v>139</v>
      </c>
      <c r="C51" s="49" t="s">
        <v>26</v>
      </c>
      <c r="D51" s="49" t="s">
        <v>18</v>
      </c>
      <c r="E51" s="49" t="s">
        <v>23</v>
      </c>
    </row>
    <row r="52" spans="2:6" x14ac:dyDescent="0.25">
      <c r="B52" s="143" t="s">
        <v>12</v>
      </c>
      <c r="C52" s="147">
        <v>177</v>
      </c>
      <c r="D52" s="147">
        <v>185</v>
      </c>
      <c r="E52" s="147">
        <v>109</v>
      </c>
    </row>
    <row r="53" spans="2:6" x14ac:dyDescent="0.25">
      <c r="B53" s="143" t="s">
        <v>14</v>
      </c>
      <c r="C53" s="147">
        <v>61</v>
      </c>
      <c r="D53" s="147">
        <v>19</v>
      </c>
      <c r="E53" s="147">
        <v>68</v>
      </c>
    </row>
    <row r="54" spans="2:6" x14ac:dyDescent="0.25">
      <c r="B54" s="143" t="s">
        <v>13</v>
      </c>
      <c r="C54" s="147">
        <v>73</v>
      </c>
      <c r="D54" s="147">
        <v>27</v>
      </c>
      <c r="E54" s="147">
        <v>130</v>
      </c>
    </row>
    <row r="55" spans="2:6" x14ac:dyDescent="0.25">
      <c r="B55" s="143" t="s">
        <v>28</v>
      </c>
      <c r="C55" s="147">
        <v>8</v>
      </c>
      <c r="D55" s="147">
        <v>5</v>
      </c>
      <c r="E55" s="147">
        <v>4</v>
      </c>
    </row>
    <row r="56" spans="2:6" x14ac:dyDescent="0.25">
      <c r="B56" s="143" t="s">
        <v>15</v>
      </c>
      <c r="C56" s="147">
        <v>2</v>
      </c>
      <c r="D56" s="147">
        <v>2</v>
      </c>
      <c r="E56" s="147">
        <v>7</v>
      </c>
    </row>
    <row r="57" spans="2:6" x14ac:dyDescent="0.25">
      <c r="B57" s="143" t="s">
        <v>33</v>
      </c>
      <c r="C57" s="147">
        <v>1</v>
      </c>
      <c r="D57" s="147">
        <v>0</v>
      </c>
      <c r="E57" s="147">
        <v>2</v>
      </c>
    </row>
    <row r="58" spans="2:6" x14ac:dyDescent="0.25">
      <c r="B58" s="143" t="s">
        <v>27</v>
      </c>
      <c r="C58" s="147">
        <v>1</v>
      </c>
      <c r="D58" s="147">
        <v>0</v>
      </c>
      <c r="E58" s="147">
        <v>0</v>
      </c>
    </row>
    <row r="59" spans="2:6" x14ac:dyDescent="0.25">
      <c r="C59" s="145"/>
      <c r="D59" s="145"/>
      <c r="E59" s="145"/>
    </row>
    <row r="62" spans="2:6" x14ac:dyDescent="0.25">
      <c r="F62" s="37"/>
    </row>
    <row r="63" spans="2:6" x14ac:dyDescent="0.25">
      <c r="F63" s="37"/>
    </row>
    <row r="64" spans="2:6" x14ac:dyDescent="0.25">
      <c r="F64" s="37"/>
    </row>
    <row r="65" spans="6:6" x14ac:dyDescent="0.25">
      <c r="F65" s="37"/>
    </row>
    <row r="66" spans="6:6" x14ac:dyDescent="0.25">
      <c r="F66" s="37"/>
    </row>
    <row r="67" spans="6:6" x14ac:dyDescent="0.25">
      <c r="F67" s="37"/>
    </row>
    <row r="68" spans="6:6" x14ac:dyDescent="0.25">
      <c r="F68" s="37"/>
    </row>
    <row r="69" spans="6:6" x14ac:dyDescent="0.25">
      <c r="F69" s="37"/>
    </row>
    <row r="70" spans="6:6" x14ac:dyDescent="0.25">
      <c r="F70" s="37"/>
    </row>
    <row r="71" spans="6:6" x14ac:dyDescent="0.25">
      <c r="F71" s="37"/>
    </row>
    <row r="85" spans="3:3" x14ac:dyDescent="0.25">
      <c r="C85" s="50"/>
    </row>
    <row r="86" spans="3:3" x14ac:dyDescent="0.25">
      <c r="C86" s="50"/>
    </row>
    <row r="87" spans="3:3" x14ac:dyDescent="0.25">
      <c r="C87" s="50"/>
    </row>
    <row r="88" spans="3:3" x14ac:dyDescent="0.25">
      <c r="C88" s="50"/>
    </row>
  </sheetData>
  <mergeCells count="6">
    <mergeCell ref="B20:B21"/>
    <mergeCell ref="C20:E20"/>
    <mergeCell ref="B1:C1"/>
    <mergeCell ref="B10:D10"/>
    <mergeCell ref="C15:D15"/>
    <mergeCell ref="C14:D14"/>
  </mergeCells>
  <phoneticPr fontId="17" type="noConversion"/>
  <pageMargins left="0.7" right="0.7" top="0.75" bottom="0.75" header="0.3" footer="0.3"/>
  <pageSetup paperSize="9" orientation="landscape" r:id="rId1"/>
  <colBreaks count="1" manualBreakCount="1">
    <brk id="10" max="33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9710C-A8B1-4546-8678-4C5042F2CE95}">
  <sheetPr codeName="Sheet4"/>
  <dimension ref="A1:T53"/>
  <sheetViews>
    <sheetView workbookViewId="0">
      <selection activeCell="Q40" sqref="Q15:Q40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58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16.72</v>
      </c>
      <c r="M2" s="19">
        <f>SUM(M20:M28)</f>
        <v>18.070399999999999</v>
      </c>
      <c r="R2" s="4" t="s">
        <v>20</v>
      </c>
      <c r="S2" s="8">
        <f>SUM(S25:S28)</f>
        <v>3.2000000000000011</v>
      </c>
      <c r="T2" s="8">
        <f>SUM(T25:T28)</f>
        <v>2.5048000000000012</v>
      </c>
    </row>
    <row r="3" spans="1:20" x14ac:dyDescent="0.25">
      <c r="K3" s="4" t="s">
        <v>21</v>
      </c>
      <c r="L3" s="20">
        <f>AVERAGE(L24:L26)</f>
        <v>1.840000000000001</v>
      </c>
      <c r="M3" s="67">
        <f>AVERAGE(M25:M27)</f>
        <v>2.1733333333333333</v>
      </c>
      <c r="R3" s="4" t="s">
        <v>21</v>
      </c>
      <c r="S3" s="9">
        <f>AVERAGE(S25:S28)</f>
        <v>0.80000000000000027</v>
      </c>
      <c r="T3" s="9">
        <f>AVERAGE(T23:T28)</f>
        <v>0.64546666666666674</v>
      </c>
    </row>
    <row r="4" spans="1:20" x14ac:dyDescent="0.25">
      <c r="A4" s="4" t="s">
        <v>12</v>
      </c>
      <c r="B4" s="144">
        <f>100*COUNTIF($B$13:$B$34,A4)/COUNTA($B$13:$B$34)</f>
        <v>59.090909090909093</v>
      </c>
      <c r="H4" s="4" t="s">
        <v>12</v>
      </c>
      <c r="I4" s="144">
        <f>100*COUNTIF($I$13:$I$30,H4)/COUNTA($I$13:$I$30)</f>
        <v>72.222222222222229</v>
      </c>
      <c r="K4" s="4" t="s">
        <v>7</v>
      </c>
      <c r="L4" s="23">
        <f>3600/L3</f>
        <v>1956.5217391304338</v>
      </c>
      <c r="M4" s="68">
        <f>3600/M3</f>
        <v>1656.4417177914111</v>
      </c>
      <c r="O4" s="4" t="s">
        <v>12</v>
      </c>
      <c r="P4" s="144">
        <f>100*COUNTIF($P$13:$P$48,O4)/COUNTA($P$13:$P$48)</f>
        <v>8.3333333333333339</v>
      </c>
      <c r="R4" s="4" t="s">
        <v>7</v>
      </c>
      <c r="S4" s="10">
        <f>3600/S3</f>
        <v>4499.9999999999982</v>
      </c>
      <c r="T4" s="10">
        <f>3600/T3</f>
        <v>5577.3600495765331</v>
      </c>
    </row>
    <row r="5" spans="1:20" x14ac:dyDescent="0.25">
      <c r="A5" s="4" t="s">
        <v>14</v>
      </c>
      <c r="B5" s="144">
        <f t="shared" ref="B5:B7" si="0">100*COUNTIF($B$13:$B$34,A5)/COUNTA($B$13:$B$34)</f>
        <v>18.181818181818183</v>
      </c>
      <c r="H5" s="4" t="s">
        <v>14</v>
      </c>
      <c r="I5" s="144">
        <f t="shared" ref="I5:I7" si="1">100*COUNTIF($I$13:$I$30,H5)/COUNTA($I$13:$I$30)</f>
        <v>5.5555555555555554</v>
      </c>
      <c r="O5" s="4" t="s">
        <v>14</v>
      </c>
      <c r="P5" s="144">
        <f t="shared" ref="P5:P7" si="2">100*COUNTIF($P$13:$P$48,O5)/COUNTA($P$13:$P$48)</f>
        <v>16.666666666666668</v>
      </c>
    </row>
    <row r="6" spans="1:20" x14ac:dyDescent="0.25">
      <c r="A6" s="4" t="s">
        <v>13</v>
      </c>
      <c r="B6" s="144">
        <f t="shared" si="0"/>
        <v>22.727272727272727</v>
      </c>
      <c r="E6" s="29" t="s">
        <v>32</v>
      </c>
      <c r="F6" s="29" t="s">
        <v>31</v>
      </c>
      <c r="H6" s="4" t="s">
        <v>13</v>
      </c>
      <c r="I6" s="144">
        <f t="shared" si="1"/>
        <v>16.666666666666668</v>
      </c>
      <c r="L6" s="29" t="s">
        <v>32</v>
      </c>
      <c r="M6" s="29" t="s">
        <v>31</v>
      </c>
      <c r="O6" s="4" t="s">
        <v>13</v>
      </c>
      <c r="P6" s="144">
        <f t="shared" si="2"/>
        <v>72.222222222222229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0</v>
      </c>
      <c r="D7" s="30" t="s">
        <v>30</v>
      </c>
      <c r="E7" s="25">
        <f>SUM(E14:E30)</f>
        <v>26.96</v>
      </c>
      <c r="F7" s="25">
        <f>SUM(F14:F30)</f>
        <v>30.497199999999999</v>
      </c>
      <c r="H7" s="4" t="s">
        <v>28</v>
      </c>
      <c r="I7" s="144">
        <f t="shared" si="1"/>
        <v>5.5555555555555554</v>
      </c>
      <c r="K7" s="30" t="s">
        <v>30</v>
      </c>
      <c r="L7" s="25">
        <f>SUM(L14:L37)</f>
        <v>31.4</v>
      </c>
      <c r="M7" s="25">
        <f>SUM(M14:M37)</f>
        <v>36.861599999999996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8.7999999999999989</v>
      </c>
      <c r="T7" s="25">
        <f>SUM(T13:T23)</f>
        <v>8.5511999999999997</v>
      </c>
    </row>
    <row r="8" spans="1:20" ht="15.75" thickBot="1" x14ac:dyDescent="0.3">
      <c r="D8" s="30" t="s">
        <v>21</v>
      </c>
      <c r="E8" s="28">
        <f>AVERAGEIF(E14:E29,"&lt;&gt;0")</f>
        <v>2.2466666666666666</v>
      </c>
      <c r="F8" s="28">
        <f>AVERAGEIF(F13:F26,"&lt;&gt;0")</f>
        <v>2.1577199999999999</v>
      </c>
      <c r="K8" s="30" t="s">
        <v>21</v>
      </c>
      <c r="L8" s="28">
        <f>AVERAGEIF(L14:L29,"&lt;&gt;0")</f>
        <v>2.4499999999999997</v>
      </c>
      <c r="M8" s="28">
        <f>AVERAGEIF(M17:M24,"&lt;&gt;0")</f>
        <v>2.3020799999999992</v>
      </c>
      <c r="O8" s="4" t="s">
        <v>15</v>
      </c>
      <c r="P8" s="144">
        <f t="shared" ref="P8:P9" si="3">100*COUNTIF($P$13:$P$39,O8)/COUNTA($P$13:$P$39)</f>
        <v>0</v>
      </c>
      <c r="R8" s="30" t="s">
        <v>21</v>
      </c>
      <c r="S8" s="28">
        <f>AVERAGEIF(S14:S29,"&lt;&gt;0")</f>
        <v>1.5</v>
      </c>
      <c r="T8" s="28">
        <f>AVERAGEIF(T16:T40,"&lt;&gt;0")</f>
        <v>1.0349428571428572</v>
      </c>
    </row>
    <row r="9" spans="1:20" ht="15.75" thickBot="1" x14ac:dyDescent="0.3">
      <c r="D9" s="30" t="s">
        <v>7</v>
      </c>
      <c r="E9" s="27">
        <f>3600/E8</f>
        <v>1602.3738872403562</v>
      </c>
      <c r="F9" s="31">
        <f>3600/F8</f>
        <v>1668.4277848840443</v>
      </c>
      <c r="K9" s="30" t="s">
        <v>7</v>
      </c>
      <c r="L9" s="27">
        <f>3600/L8</f>
        <v>1469.387755102041</v>
      </c>
      <c r="M9" s="31">
        <f>3600/M8</f>
        <v>1563.8031693077569</v>
      </c>
      <c r="O9" s="4" t="s">
        <v>33</v>
      </c>
      <c r="P9" s="144">
        <f t="shared" si="3"/>
        <v>0</v>
      </c>
      <c r="R9" s="30" t="s">
        <v>7</v>
      </c>
      <c r="S9" s="27">
        <f>3600/S8</f>
        <v>2400</v>
      </c>
      <c r="T9" s="31">
        <f>3600/T8</f>
        <v>3478.4529166551638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57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57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79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ht="15.75" thickBot="1" x14ac:dyDescent="0.3">
      <c r="A13" s="59">
        <v>6</v>
      </c>
      <c r="B13" s="71" t="s">
        <v>14</v>
      </c>
      <c r="C13" s="70">
        <f>VLOOKUP(B13,Log!$B$2:$C$8,2,)</f>
        <v>0.45</v>
      </c>
      <c r="D13" s="5">
        <v>3.52</v>
      </c>
      <c r="E13" s="34">
        <v>0</v>
      </c>
      <c r="F13" s="109">
        <v>0</v>
      </c>
      <c r="H13" s="63">
        <v>2</v>
      </c>
      <c r="I13" s="63" t="s">
        <v>12</v>
      </c>
      <c r="J13" s="70">
        <f>VLOOKUP(I13,Log!$B$2:$C$8,2,)</f>
        <v>1</v>
      </c>
      <c r="K13" s="4">
        <v>3.4</v>
      </c>
      <c r="L13" s="34">
        <v>0</v>
      </c>
      <c r="M13" s="34">
        <v>0</v>
      </c>
      <c r="N13" s="15"/>
      <c r="O13" s="16">
        <v>5</v>
      </c>
      <c r="P13" s="56" t="s">
        <v>13</v>
      </c>
      <c r="Q13" s="70">
        <f>VLOOKUP(P13,Log!$B$2:$C$8,2,)</f>
        <v>0.38</v>
      </c>
      <c r="R13" s="4">
        <v>2.3199999999999998</v>
      </c>
      <c r="S13" s="34">
        <v>0</v>
      </c>
      <c r="T13" s="34">
        <v>0</v>
      </c>
    </row>
    <row r="14" spans="1:20" ht="15.75" thickBot="1" x14ac:dyDescent="0.3">
      <c r="A14" s="60">
        <v>37</v>
      </c>
      <c r="B14" s="87" t="s">
        <v>13</v>
      </c>
      <c r="C14" s="70">
        <f>VLOOKUP(B14,Log!$B$2:$C$8,2,)</f>
        <v>0.38</v>
      </c>
      <c r="D14" s="5">
        <v>4.5199999999999996</v>
      </c>
      <c r="E14" s="34">
        <f>IF(OR(AND(B14="Motorbike",D14-D13&lt;Log!$C$13),AND(B14&lt;&gt;"Motorbike",D14-D13&lt;Log!$C$12)),0,D14-D13)</f>
        <v>0.99999999999999956</v>
      </c>
      <c r="F14" s="109">
        <f>IF(E15&lt;&gt;0,C14*E14,IF(E16=0,(C14+C15+C16)*E14,(C14+C15)*E14))</f>
        <v>0.82999999999999974</v>
      </c>
      <c r="H14" s="65">
        <v>13</v>
      </c>
      <c r="I14" s="65" t="s">
        <v>12</v>
      </c>
      <c r="J14" s="70">
        <f>VLOOKUP(I14,Log!$B$2:$C$8,2,)</f>
        <v>1</v>
      </c>
      <c r="K14" s="4">
        <v>6.28</v>
      </c>
      <c r="L14" s="34">
        <f>IF(OR(AND(I14="Motorbike",K14-K13&lt;Log!$C$13),AND(I14&lt;&gt;"Motorbike",K14-K13&lt;Log!$C$12)),0,K14-K13)</f>
        <v>2.8800000000000003</v>
      </c>
      <c r="M14" s="34">
        <f>IF(L15&lt;&gt;0,J14*L14,IF(L16=0,(J14+J15+J16)*L14,(J14+J15)*L14))</f>
        <v>5.7600000000000007</v>
      </c>
      <c r="N14" s="15"/>
      <c r="O14" s="63">
        <v>11</v>
      </c>
      <c r="P14" s="62" t="s">
        <v>13</v>
      </c>
      <c r="Q14" s="70">
        <f>VLOOKUP(P14,Log!$B$2:$C$8,2,)</f>
        <v>0.38</v>
      </c>
      <c r="R14" s="4">
        <v>3.48</v>
      </c>
      <c r="S14" s="34">
        <f>IF(OR(AND(P14="Motorbike",R14-R13&lt;Log!$C$13),AND(P14&lt;&gt;"Motorbike",R14-R13&lt;Log!$C$12)),0,R14-R13)</f>
        <v>1.1600000000000001</v>
      </c>
      <c r="T14" s="34">
        <f>IF(S15&lt;&gt;0,Q14*S14,IF(S16=0,(Q14+Q15+Q16)*S14,(Q14+Q15)*S14))</f>
        <v>0.44080000000000008</v>
      </c>
    </row>
    <row r="15" spans="1:20" ht="15.75" thickBot="1" x14ac:dyDescent="0.3">
      <c r="A15" s="85">
        <v>7</v>
      </c>
      <c r="B15" s="88" t="s">
        <v>14</v>
      </c>
      <c r="C15" s="70">
        <f>VLOOKUP(B15,Log!$B$2:$C$8,2,)</f>
        <v>0.45</v>
      </c>
      <c r="D15" s="5">
        <v>4.68</v>
      </c>
      <c r="E15" s="34">
        <f>IF(OR(AND(B15="Motorbike",D15-D14&lt;Log!$C$13),AND(B15&lt;&gt;"Motorbike",D15-D14&lt;Log!$C$12)),0,D15-D14)</f>
        <v>0</v>
      </c>
      <c r="F15" s="109">
        <f t="shared" ref="F15:F34" si="4">IF(E16&lt;&gt;0,C15*E15,IF(E17=0,(C15+C16+C17)*E15,(C15+C16)*E15))</f>
        <v>0</v>
      </c>
      <c r="H15" s="73">
        <v>3</v>
      </c>
      <c r="I15" s="66" t="s">
        <v>12</v>
      </c>
      <c r="J15" s="70">
        <f>VLOOKUP(I15,Log!$B$2:$C$8,2,)</f>
        <v>1</v>
      </c>
      <c r="K15" s="4">
        <v>6.48</v>
      </c>
      <c r="L15" s="34">
        <f>IF(OR(AND(I15="Motorbike",K15-K14&lt;Log!$C$13),AND(I15&lt;&gt;"Motorbike",K15-K14&lt;Log!$C$12)),0,K15-K14)</f>
        <v>0</v>
      </c>
      <c r="M15" s="34">
        <f t="shared" ref="M15:M30" si="5">IF(L16&lt;&gt;0,J15*L15,IF(L17=0,(J15+J16+J17)*L15,(J15+J16)*L15))</f>
        <v>0</v>
      </c>
      <c r="N15" s="15"/>
      <c r="O15" s="65">
        <v>17</v>
      </c>
      <c r="P15" s="71" t="s">
        <v>13</v>
      </c>
      <c r="Q15" s="70">
        <f>VLOOKUP(P15,Log!$B$2:$C$8,2,)</f>
        <v>0.38</v>
      </c>
      <c r="R15" s="7">
        <v>5.52</v>
      </c>
      <c r="S15" s="34">
        <f>IF(OR(AND(P15="Motorbike",R15-R14&lt;Log!$C$13),AND(P15&lt;&gt;"Motorbike",R15-R14&lt;Log!$C$12)),0,R15-R14)</f>
        <v>2.0399999999999996</v>
      </c>
      <c r="T15" s="34">
        <f t="shared" ref="T15:T48" si="6">IF(S16&lt;&gt;0,Q15*S15,IF(S17=0,(Q15+Q16+Q17)*S15,(Q15+Q16)*S15))</f>
        <v>0.77519999999999989</v>
      </c>
    </row>
    <row r="16" spans="1:20" x14ac:dyDescent="0.25">
      <c r="A16" s="60">
        <v>12</v>
      </c>
      <c r="B16" s="72" t="s">
        <v>12</v>
      </c>
      <c r="C16" s="70">
        <f>VLOOKUP(B16,Log!$B$2:$C$8,2,)</f>
        <v>1</v>
      </c>
      <c r="D16" s="5">
        <v>8</v>
      </c>
      <c r="E16" s="34">
        <f>IF(OR(AND(B16="Motorbike",D16-D15&lt;Log!$C$13),AND(B16&lt;&gt;"Motorbike",D16-D15&lt;Log!$C$12)),0,IF(E15&lt;&gt;0,D16-D15,IF(E14=0,D16-D13,D16-D14)))</f>
        <v>3.4800000000000004</v>
      </c>
      <c r="F16" s="109">
        <f t="shared" si="4"/>
        <v>3.4800000000000004</v>
      </c>
      <c r="H16" s="73">
        <v>18</v>
      </c>
      <c r="I16" s="65" t="s">
        <v>12</v>
      </c>
      <c r="J16" s="70">
        <f>VLOOKUP(I16,Log!$B$2:$C$8,2,)</f>
        <v>1</v>
      </c>
      <c r="K16" s="4">
        <v>9.52</v>
      </c>
      <c r="L16" s="34">
        <f>IF(OR(AND(I16="Motorbike",K16-K15&lt;Log!$C$13),AND(I16&lt;&gt;"Motorbike",K16-K15&lt;Log!$C$12)),0,IF(L15&lt;&gt;0,K16-K15,IF(L14=0,K16-K13,K16-K14)))</f>
        <v>3.2399999999999993</v>
      </c>
      <c r="M16" s="34">
        <f t="shared" si="5"/>
        <v>4.4711999999999987</v>
      </c>
      <c r="N16" s="15"/>
      <c r="O16" s="60">
        <v>34</v>
      </c>
      <c r="P16" s="87" t="s">
        <v>13</v>
      </c>
      <c r="Q16" s="70">
        <f>VLOOKUP(P16,Log!$B$2:$C$8,2,)</f>
        <v>0.38</v>
      </c>
      <c r="R16" s="92">
        <v>6.48</v>
      </c>
      <c r="S16" s="34">
        <f>IF(OR(AND(P16="Motorbike",R16-R15&lt;Log!$C$13),AND(P16&lt;&gt;"Motorbike",R16-R15&lt;Log!$C$12)),0,IF(S15&lt;&gt;0,R16-R15,IF(S14=0,R16-R13,R16-R14)))</f>
        <v>0.96000000000000085</v>
      </c>
      <c r="T16" s="109">
        <f t="shared" si="6"/>
        <v>1.3248000000000011</v>
      </c>
    </row>
    <row r="17" spans="1:20" ht="15.75" thickBot="1" x14ac:dyDescent="0.3">
      <c r="A17" s="60">
        <v>36</v>
      </c>
      <c r="B17" s="56" t="s">
        <v>12</v>
      </c>
      <c r="C17" s="70">
        <f>VLOOKUP(B17,Log!$B$2:$C$8,2,)</f>
        <v>1</v>
      </c>
      <c r="D17" s="5">
        <v>10.119999999999999</v>
      </c>
      <c r="E17" s="34">
        <f>IF(OR(AND(B17="Motorbike",D17-D16&lt;Log!$C$13),AND(B17&lt;&gt;"Motorbike",D17-D16&lt;Log!$C$12)),0,IF(E16&lt;&gt;0,D17-D16,IF(E15=0,D17-D14,D17-D15)))</f>
        <v>2.1199999999999992</v>
      </c>
      <c r="F17" s="109">
        <f t="shared" si="4"/>
        <v>2.1199999999999992</v>
      </c>
      <c r="H17" s="73">
        <v>48</v>
      </c>
      <c r="I17" s="61" t="s">
        <v>13</v>
      </c>
      <c r="J17" s="70">
        <f>VLOOKUP(I17,Log!$B$2:$C$8,2,)</f>
        <v>0.38</v>
      </c>
      <c r="K17" s="4">
        <v>9.8800000000000008</v>
      </c>
      <c r="L17" s="34">
        <f>IF(OR(AND(I17="Motorbike",K17-K16&lt;Log!$C$13),AND(I17&lt;&gt;"Motorbike",K17-K16&lt;Log!$C$12)),0,IF(L16&lt;&gt;0,K17-K16,IF(L15=0,K17-K14,K17-K15)))</f>
        <v>0</v>
      </c>
      <c r="M17" s="34">
        <f t="shared" si="5"/>
        <v>0</v>
      </c>
      <c r="N17" s="15"/>
      <c r="O17" s="60">
        <v>3</v>
      </c>
      <c r="P17" s="88" t="s">
        <v>12</v>
      </c>
      <c r="Q17" s="70">
        <f>VLOOKUP(P17,Log!$B$2:$C$8,2,)</f>
        <v>1</v>
      </c>
      <c r="R17" s="92">
        <v>7</v>
      </c>
      <c r="S17" s="34">
        <f>IF(OR(AND(P17="Motorbike",R17-R16&lt;Log!$C$13),AND(P17&lt;&gt;"Motorbike",R17-R16&lt;Log!$C$12)),0,IF(S16&lt;&gt;0,R17-R16,IF(S15=0,R17-R14,R17-R15)))</f>
        <v>0</v>
      </c>
      <c r="T17" s="109">
        <f t="shared" si="6"/>
        <v>0</v>
      </c>
    </row>
    <row r="18" spans="1:20" ht="15.75" thickBot="1" x14ac:dyDescent="0.3">
      <c r="A18" s="60">
        <v>43</v>
      </c>
      <c r="B18" s="56" t="s">
        <v>14</v>
      </c>
      <c r="C18" s="70">
        <f>VLOOKUP(B18,Log!$B$2:$C$8,2,)</f>
        <v>0.45</v>
      </c>
      <c r="D18" s="5">
        <v>11.32</v>
      </c>
      <c r="E18" s="34">
        <f>IF(OR(AND(B18="Motorbike",D18-D17&lt;Log!$C$13),AND(B18&lt;&gt;"Motorbike",D18-D17&lt;Log!$C$12)),0,IF(E17&lt;&gt;0,D18-D17,IF(E16=0,D18-D15,D18-D16)))</f>
        <v>1.2000000000000011</v>
      </c>
      <c r="F18" s="109">
        <f t="shared" si="4"/>
        <v>0.54000000000000048</v>
      </c>
      <c r="H18" s="73">
        <v>32</v>
      </c>
      <c r="I18" s="83" t="s">
        <v>12</v>
      </c>
      <c r="J18" s="70">
        <f>VLOOKUP(I18,Log!$B$2:$C$8,2,)</f>
        <v>1</v>
      </c>
      <c r="K18" s="4">
        <v>11.92</v>
      </c>
      <c r="L18" s="34">
        <f>IF(OR(AND(I18="Motorbike",K18-K17&lt;Log!$C$13),AND(I18&lt;&gt;"Motorbike",K18-K17&lt;Log!$C$12)),0,IF(L17&lt;&gt;0,K18-K17,IF(L16=0,K18-K15,K18-K16)))</f>
        <v>2.4000000000000004</v>
      </c>
      <c r="M18" s="34">
        <f t="shared" si="5"/>
        <v>2.4000000000000004</v>
      </c>
      <c r="N18" s="15"/>
      <c r="O18" s="60">
        <v>10</v>
      </c>
      <c r="P18" s="87" t="s">
        <v>12</v>
      </c>
      <c r="Q18" s="70">
        <f>VLOOKUP(P18,Log!$B$2:$C$8,2,)</f>
        <v>1</v>
      </c>
      <c r="R18" s="92">
        <v>8.48</v>
      </c>
      <c r="S18" s="34">
        <f>IF(OR(AND(P18="Motorbike",R18-R17&lt;Log!$C$13),AND(P18&lt;&gt;"Motorbike",R18-R17&lt;Log!$C$12)),0,IF(S17&lt;&gt;0,R18-R17,IF(S16=0,R18-R15,R18-R16)))</f>
        <v>2</v>
      </c>
      <c r="T18" s="109">
        <f t="shared" si="6"/>
        <v>2.9</v>
      </c>
    </row>
    <row r="19" spans="1:20" ht="15.75" thickBot="1" x14ac:dyDescent="0.3">
      <c r="A19" s="60">
        <v>57</v>
      </c>
      <c r="B19" s="56" t="s">
        <v>12</v>
      </c>
      <c r="C19" s="70">
        <f>VLOOKUP(B19,Log!$B$2:$C$8,2,)</f>
        <v>1</v>
      </c>
      <c r="D19" s="5">
        <v>12.92</v>
      </c>
      <c r="E19" s="34">
        <f>IF(OR(AND(B19="Motorbike",D19-D18&lt;Log!$C$13),AND(B19&lt;&gt;"Motorbike",D19-D18&lt;Log!$C$12)),0,IF(E18&lt;&gt;0,D19-D18,IF(E17=0,D19-D16,D19-D17)))</f>
        <v>1.5999999999999996</v>
      </c>
      <c r="F19" s="109">
        <f t="shared" si="4"/>
        <v>1.5999999999999996</v>
      </c>
      <c r="H19" s="73">
        <v>54</v>
      </c>
      <c r="I19" s="59" t="s">
        <v>12</v>
      </c>
      <c r="J19" s="70">
        <f>VLOOKUP(I19,Log!$B$2:$C$8,2,)</f>
        <v>1</v>
      </c>
      <c r="K19" s="4">
        <v>13.28</v>
      </c>
      <c r="L19" s="34">
        <f>IF(OR(AND(I19="Motorbike",K19-K18&lt;Log!$C$13),AND(I19&lt;&gt;"Motorbike",K19-K18&lt;Log!$C$12)),0,IF(L18&lt;&gt;0,K19-K18,IF(L17=0,K19-K16,K19-K17)))</f>
        <v>1.3599999999999994</v>
      </c>
      <c r="M19" s="34">
        <f t="shared" si="5"/>
        <v>1.3599999999999994</v>
      </c>
      <c r="N19" s="15"/>
      <c r="O19" s="60">
        <v>4</v>
      </c>
      <c r="P19" s="88" t="s">
        <v>14</v>
      </c>
      <c r="Q19" s="70">
        <f>VLOOKUP(P19,Log!$B$2:$C$8,2,)</f>
        <v>0.45</v>
      </c>
      <c r="R19" s="92">
        <v>8.6</v>
      </c>
      <c r="S19" s="34">
        <f>IF(OR(AND(P19="Motorbike",R19-R18&lt;Log!$C$13),AND(P19&lt;&gt;"Motorbike",R19-R18&lt;Log!$C$12)),0,IF(S18&lt;&gt;0,R19-R18,IF(S17=0,R19-R16,R19-R17)))</f>
        <v>0</v>
      </c>
      <c r="T19" s="109">
        <f t="shared" si="6"/>
        <v>0</v>
      </c>
    </row>
    <row r="20" spans="1:20" x14ac:dyDescent="0.25">
      <c r="A20" s="60">
        <v>75</v>
      </c>
      <c r="B20" s="56" t="s">
        <v>12</v>
      </c>
      <c r="C20" s="70">
        <f>VLOOKUP(B20,Log!$B$2:$C$8,2,)</f>
        <v>1</v>
      </c>
      <c r="D20" s="5">
        <v>14.68</v>
      </c>
      <c r="E20" s="34">
        <f>IF(OR(AND(B20="Motorbike",D20-D19&lt;Log!$C$13),AND(B20&lt;&gt;"Motorbike",D20-D19&lt;Log!$C$12)),0,IF(E19&lt;&gt;0,D20-D19,IF(E18=0,D20-D17,D20-D18)))</f>
        <v>1.7599999999999998</v>
      </c>
      <c r="F20" s="109">
        <f t="shared" si="4"/>
        <v>1.7599999999999998</v>
      </c>
      <c r="H20" s="73">
        <v>72</v>
      </c>
      <c r="I20" s="60" t="s">
        <v>14</v>
      </c>
      <c r="J20" s="70">
        <f>VLOOKUP(I20,Log!$B$2:$C$8,2,)</f>
        <v>0.45</v>
      </c>
      <c r="K20" s="4">
        <v>15.2</v>
      </c>
      <c r="L20" s="34">
        <f>IF(OR(AND(I20="Motorbike",K20-K19&lt;Log!$C$13),AND(I20&lt;&gt;"Motorbike",K20-K19&lt;Log!$C$12)),0,IF(L19&lt;&gt;0,K20-K19,IF(L18=0,K20-K17,K20-K18)))</f>
        <v>1.92</v>
      </c>
      <c r="M20" s="34">
        <f t="shared" si="5"/>
        <v>2.7839999999999998</v>
      </c>
      <c r="N20" s="15"/>
      <c r="O20" s="60">
        <v>66</v>
      </c>
      <c r="P20" s="87" t="s">
        <v>13</v>
      </c>
      <c r="Q20" s="86">
        <f>VLOOKUP(P20,Log!$B$2:$C$8,2,)</f>
        <v>0.38</v>
      </c>
      <c r="R20" s="92">
        <v>9.92</v>
      </c>
      <c r="S20" s="34">
        <f>IF(OR(AND(P20="Motorbike",R20-R19&lt;Log!$C$13),AND(P20&lt;&gt;"Motorbike",R20-R19&lt;Log!$C$12)),0,IF(S19&lt;&gt;0,R20-R19,IF(S18=0,R20-R17,R20-R18)))</f>
        <v>1.4399999999999995</v>
      </c>
      <c r="T20" s="109">
        <f t="shared" si="6"/>
        <v>1.7423999999999993</v>
      </c>
    </row>
    <row r="21" spans="1:20" ht="15.75" thickBot="1" x14ac:dyDescent="0.3">
      <c r="A21" s="60">
        <v>86</v>
      </c>
      <c r="B21" s="71" t="s">
        <v>14</v>
      </c>
      <c r="C21" s="70">
        <f>VLOOKUP(B21,Log!$B$2:$C$8,2,)</f>
        <v>0.45</v>
      </c>
      <c r="D21" s="5">
        <v>17.48</v>
      </c>
      <c r="E21" s="34">
        <f>IF(OR(AND(B21="Motorbike",D21-D20&lt;Log!$C$13),AND(B21&lt;&gt;"Motorbike",D21-D20&lt;Log!$C$12)),0,IF(E20&lt;&gt;0,D21-D20,IF(E19=0,D21-D18,D21-D19)))</f>
        <v>2.8000000000000007</v>
      </c>
      <c r="F21" s="109">
        <f t="shared" si="4"/>
        <v>1.2600000000000005</v>
      </c>
      <c r="H21" s="73">
        <v>71</v>
      </c>
      <c r="I21" s="61" t="s">
        <v>12</v>
      </c>
      <c r="J21" s="70">
        <f>VLOOKUP(I21,Log!$B$2:$C$8,2,)</f>
        <v>1</v>
      </c>
      <c r="K21" s="4">
        <v>15.4</v>
      </c>
      <c r="L21" s="34">
        <f>IF(OR(AND(I21="Motorbike",K21-K20&lt;Log!$C$13),AND(I21&lt;&gt;"Motorbike",K21-K20&lt;Log!$C$12)),0,IF(L20&lt;&gt;0,K21-K20,IF(L19=0,K21-K18,K21-K19)))</f>
        <v>0</v>
      </c>
      <c r="M21" s="34">
        <f t="shared" si="5"/>
        <v>0</v>
      </c>
      <c r="N21" s="15"/>
      <c r="O21" s="60">
        <v>48</v>
      </c>
      <c r="P21" s="89" t="s">
        <v>13</v>
      </c>
      <c r="Q21" s="70">
        <f>VLOOKUP(P21,Log!$B$2:$C$8,2,)</f>
        <v>0.38</v>
      </c>
      <c r="R21" s="92">
        <v>10</v>
      </c>
      <c r="S21" s="34">
        <f>IF(OR(AND(P21="Motorbike",R21-R20&lt;Log!$C$13),AND(P21&lt;&gt;"Motorbike",R21-R20&lt;Log!$C$12)),0,IF(S20&lt;&gt;0,R21-R20,IF(S19=0,R21-R18,R21-R19)))</f>
        <v>0</v>
      </c>
      <c r="T21" s="109">
        <f t="shared" si="6"/>
        <v>0</v>
      </c>
    </row>
    <row r="22" spans="1:20" ht="15.75" thickBot="1" x14ac:dyDescent="0.3">
      <c r="A22" s="60">
        <v>92</v>
      </c>
      <c r="B22" s="87" t="s">
        <v>12</v>
      </c>
      <c r="C22" s="70">
        <f>VLOOKUP(B22,Log!$B$2:$C$8,2,)</f>
        <v>1</v>
      </c>
      <c r="D22" s="5">
        <v>20.2</v>
      </c>
      <c r="E22" s="34">
        <f>IF(OR(AND(B22="Motorbike",D22-D21&lt;Log!$C$13),AND(B22&lt;&gt;"Motorbike",D22-D21&lt;Log!$C$12)),0,IF(E21&lt;&gt;0,D22-D21,IF(E20=0,D22-D19,D22-D20)))</f>
        <v>2.7199999999999989</v>
      </c>
      <c r="F22" s="109">
        <f t="shared" si="4"/>
        <v>4.7871999999999977</v>
      </c>
      <c r="H22" s="73">
        <v>130</v>
      </c>
      <c r="I22" s="59" t="s">
        <v>13</v>
      </c>
      <c r="J22" s="70">
        <f>VLOOKUP(I22,Log!$B$2:$C$8,2,)</f>
        <v>0.38</v>
      </c>
      <c r="K22" s="4">
        <v>18.399999999999999</v>
      </c>
      <c r="L22" s="34">
        <f>IF(OR(AND(I22="Motorbike",K22-K21&lt;Log!$C$13),AND(I22&lt;&gt;"Motorbike",K22-K21&lt;Log!$C$12)),0,IF(L21&lt;&gt;0,K22-K21,IF(L20=0,K22-K19,K22-K20)))</f>
        <v>3.1999999999999993</v>
      </c>
      <c r="M22" s="34">
        <f t="shared" si="5"/>
        <v>4.4799999999999986</v>
      </c>
      <c r="N22" s="15"/>
      <c r="O22" s="60">
        <v>44</v>
      </c>
      <c r="P22" s="88" t="s">
        <v>14</v>
      </c>
      <c r="Q22" s="70">
        <f>VLOOKUP(P22,Log!$B$2:$C$8,2,)</f>
        <v>0.45</v>
      </c>
      <c r="R22" s="92">
        <v>10.48</v>
      </c>
      <c r="S22" s="34">
        <f>IF(OR(AND(P22="Motorbike",R22-R21&lt;Log!$C$13),AND(P22&lt;&gt;"Motorbike",R22-R21&lt;Log!$C$12)),0,IF(S21&lt;&gt;0,R22-R21,IF(S20=0,R22-R19,R22-R20)))</f>
        <v>0</v>
      </c>
      <c r="T22" s="109">
        <f t="shared" si="6"/>
        <v>0</v>
      </c>
    </row>
    <row r="23" spans="1:20" ht="15.75" thickBot="1" x14ac:dyDescent="0.3">
      <c r="A23" s="60">
        <v>143</v>
      </c>
      <c r="B23" s="88" t="s">
        <v>13</v>
      </c>
      <c r="C23" s="70">
        <f>VLOOKUP(B23,Log!$B$2:$C$8,2,)</f>
        <v>0.38</v>
      </c>
      <c r="D23" s="5">
        <v>20.48</v>
      </c>
      <c r="E23" s="34">
        <f>IF(OR(AND(B23="Motorbike",D23-D22&lt;Log!$C$13),AND(B23&lt;&gt;"Motorbike",D23-D22&lt;Log!$C$12)),0,IF(E22&lt;&gt;0,D23-D22,IF(E21=0,D23-D20,D23-D21)))</f>
        <v>0</v>
      </c>
      <c r="F23" s="109">
        <f t="shared" si="4"/>
        <v>0</v>
      </c>
      <c r="H23" s="73">
        <v>100</v>
      </c>
      <c r="I23" s="61" t="s">
        <v>28</v>
      </c>
      <c r="J23" s="70">
        <f>VLOOKUP(I23,Log!$B$2:$C$8,2,)</f>
        <v>1.02</v>
      </c>
      <c r="K23" s="4">
        <v>18.399999999999999</v>
      </c>
      <c r="L23" s="34">
        <f>IF(OR(AND(I23="Motorbike",K23-K22&lt;Log!$C$13),AND(I23&lt;&gt;"Motorbike",K23-K22&lt;Log!$C$12)),0,IF(L22&lt;&gt;0,K23-K22,IF(L21=0,K23-K20,K23-K21)))</f>
        <v>0</v>
      </c>
      <c r="M23" s="34">
        <f t="shared" si="5"/>
        <v>0</v>
      </c>
      <c r="N23" s="15"/>
      <c r="O23" s="60">
        <v>64</v>
      </c>
      <c r="P23" s="98" t="s">
        <v>13</v>
      </c>
      <c r="Q23" s="70">
        <f>VLOOKUP(P23,Log!$B$2:$C$8,2,)</f>
        <v>0.38</v>
      </c>
      <c r="R23" s="92">
        <v>11.12</v>
      </c>
      <c r="S23" s="34">
        <f>IF(OR(AND(P23="Motorbike",R23-R22&lt;Log!$C$13),AND(P23&lt;&gt;"Motorbike",R23-R22&lt;Log!$C$12)),0,IF(S22&lt;&gt;0,R23-R22,IF(S21=0,R23-R20,R23-R21)))</f>
        <v>1.1999999999999993</v>
      </c>
      <c r="T23" s="109">
        <f t="shared" si="6"/>
        <v>1.3679999999999994</v>
      </c>
    </row>
    <row r="24" spans="1:20" ht="15.75" thickBot="1" x14ac:dyDescent="0.3">
      <c r="A24" s="60">
        <v>177</v>
      </c>
      <c r="B24" s="72" t="s">
        <v>13</v>
      </c>
      <c r="C24" s="70">
        <f>VLOOKUP(B24,Log!$B$2:$C$8,2,)</f>
        <v>0.38</v>
      </c>
      <c r="D24" s="5">
        <v>21</v>
      </c>
      <c r="E24" s="34">
        <f>IF(OR(AND(B24="Motorbike",D24-D23&lt;Log!$C$13),AND(B24&lt;&gt;"Motorbike",D24-D23&lt;Log!$C$12)),0,IF(E23&lt;&gt;0,D24-D23,IF(E22=0,D24-D21,D24-D22)))</f>
        <v>0</v>
      </c>
      <c r="F24" s="109">
        <f t="shared" si="4"/>
        <v>0</v>
      </c>
      <c r="H24" s="66">
        <v>146</v>
      </c>
      <c r="I24" s="72" t="s">
        <v>13</v>
      </c>
      <c r="J24" s="70">
        <f>VLOOKUP(I24,Log!$B$2:$C$8,2,)</f>
        <v>0.38</v>
      </c>
      <c r="K24" s="4">
        <v>19.68</v>
      </c>
      <c r="L24" s="34">
        <f>IF(OR(AND(I24="Motorbike",K24-K23&lt;Log!$C$13),AND(I24&lt;&gt;"Motorbike",K24-K23&lt;Log!$C$12)),0,IF(L23&lt;&gt;0,K24-K23,IF(L22=0,K24-K21,K24-K22)))</f>
        <v>1.2800000000000011</v>
      </c>
      <c r="M24" s="34">
        <f t="shared" si="5"/>
        <v>0.48640000000000044</v>
      </c>
      <c r="N24" s="15"/>
      <c r="O24" s="60">
        <v>31</v>
      </c>
      <c r="P24" s="89" t="s">
        <v>13</v>
      </c>
      <c r="Q24" s="70">
        <f>VLOOKUP(P24,Log!$B$2:$C$8,2,)</f>
        <v>0.38</v>
      </c>
      <c r="R24" s="92">
        <v>11.68</v>
      </c>
      <c r="S24" s="34">
        <f>IF(OR(AND(P24="Motorbike",R24-R23&lt;Log!$C$13),AND(P24&lt;&gt;"Motorbike",R24-R23&lt;Log!$C$12)),0,IF(S23&lt;&gt;0,R24-R23,IF(S22=0,R24-R21,R24-R22)))</f>
        <v>0</v>
      </c>
      <c r="T24" s="109">
        <f t="shared" si="6"/>
        <v>0</v>
      </c>
    </row>
    <row r="25" spans="1:20" ht="15.75" thickBot="1" x14ac:dyDescent="0.3">
      <c r="A25" s="60">
        <v>186</v>
      </c>
      <c r="B25" s="72" t="s">
        <v>12</v>
      </c>
      <c r="C25" s="70">
        <f>VLOOKUP(B25,Log!$B$2:$C$8,2,)</f>
        <v>1</v>
      </c>
      <c r="D25" s="5">
        <v>23.52</v>
      </c>
      <c r="E25" s="34">
        <f>IF(OR(AND(B25="Motorbike",D25-D24&lt;Log!$C$13),AND(B25&lt;&gt;"Motorbike",D25-D24&lt;Log!$C$12)),0,IF(E24&lt;&gt;0,D25-D24,IF(E23=0,D25-D22,D25-D23)))</f>
        <v>3.3200000000000003</v>
      </c>
      <c r="F25" s="109">
        <f t="shared" si="4"/>
        <v>3.3200000000000003</v>
      </c>
      <c r="H25" s="65">
        <v>166</v>
      </c>
      <c r="I25" s="56" t="s">
        <v>12</v>
      </c>
      <c r="J25" s="70">
        <f>VLOOKUP(I25,Log!$B$2:$C$8,2,)</f>
        <v>1</v>
      </c>
      <c r="K25" s="4">
        <v>22.48</v>
      </c>
      <c r="L25" s="34">
        <f>IF(OR(AND(I25="Motorbike",K25-K24&lt;Log!$C$13),AND(I25&lt;&gt;"Motorbike",K25-K24&lt;Log!$C$12)),0,IF(L24&lt;&gt;0,K25-K24,IF(L23=0,K25-K22,K25-K23)))</f>
        <v>2.8000000000000007</v>
      </c>
      <c r="M25" s="34">
        <f t="shared" si="5"/>
        <v>2.8000000000000007</v>
      </c>
      <c r="N25" s="15"/>
      <c r="O25" s="60">
        <v>58</v>
      </c>
      <c r="P25" s="88" t="s">
        <v>13</v>
      </c>
      <c r="Q25" s="70">
        <f>VLOOKUP(P25,Log!$B$2:$C$8,2,)</f>
        <v>0.38</v>
      </c>
      <c r="R25" s="92">
        <v>12.12</v>
      </c>
      <c r="S25" s="34">
        <f>IF(OR(AND(P25="Motorbike",R25-R24&lt;Log!$C$13),AND(P25&lt;&gt;"Motorbike",R25-R24&lt;Log!$C$12)),0,IF(S24&lt;&gt;0,R25-R24,IF(S23=0,R25-R22,R25-R23)))</f>
        <v>0</v>
      </c>
      <c r="T25" s="109">
        <f t="shared" si="6"/>
        <v>0</v>
      </c>
    </row>
    <row r="26" spans="1:20" ht="15.75" thickBot="1" x14ac:dyDescent="0.3">
      <c r="A26" s="61">
        <v>205</v>
      </c>
      <c r="B26" s="56" t="s">
        <v>12</v>
      </c>
      <c r="C26" s="70">
        <f>VLOOKUP(B26,Log!$B$2:$C$8,2,)</f>
        <v>1</v>
      </c>
      <c r="D26" s="5">
        <v>25.4</v>
      </c>
      <c r="E26" s="34">
        <f>IF(OR(AND(B26="Motorbike",D26-D25&lt;Log!$C$13),AND(B26&lt;&gt;"Motorbike",D26-D25&lt;Log!$C$12)),0,IF(E25&lt;&gt;0,D26-D25,IF(E24=0,D26-D23,D26-D24)))</f>
        <v>1.879999999999999</v>
      </c>
      <c r="F26" s="109">
        <f t="shared" si="4"/>
        <v>1.879999999999999</v>
      </c>
      <c r="H26" s="73">
        <v>162</v>
      </c>
      <c r="I26" s="56" t="s">
        <v>12</v>
      </c>
      <c r="J26" s="70">
        <f>VLOOKUP(I26,Log!$B$2:$C$8,2,)</f>
        <v>1</v>
      </c>
      <c r="K26" s="4">
        <v>23.92</v>
      </c>
      <c r="L26" s="34">
        <f>IF(OR(AND(I26="Motorbike",K26-K25&lt;Log!$C$13),AND(I26&lt;&gt;"Motorbike",K26-K25&lt;Log!$C$12)),0,IF(L25&lt;&gt;0,K26-K25,IF(L24=0,K26-K23,K26-K24)))</f>
        <v>1.4400000000000013</v>
      </c>
      <c r="M26" s="34">
        <f t="shared" si="5"/>
        <v>1.4400000000000013</v>
      </c>
      <c r="N26" s="15"/>
      <c r="O26" s="60">
        <v>89</v>
      </c>
      <c r="P26" s="87" t="s">
        <v>13</v>
      </c>
      <c r="Q26" s="70">
        <f>VLOOKUP(P26,Log!$B$2:$C$8,2,)</f>
        <v>0.38</v>
      </c>
      <c r="R26" s="92">
        <v>13.28</v>
      </c>
      <c r="S26" s="34">
        <f>IF(OR(AND(P26="Motorbike",R26-R25&lt;Log!$C$13),AND(P26&lt;&gt;"Motorbike",R26-R25&lt;Log!$C$12)),0,IF(S25&lt;&gt;0,R26-R25,IF(S24=0,R26-R23,R26-R24)))</f>
        <v>2.16</v>
      </c>
      <c r="T26" s="109">
        <f t="shared" si="6"/>
        <v>1.6416000000000002</v>
      </c>
    </row>
    <row r="27" spans="1:20" ht="15.75" thickBot="1" x14ac:dyDescent="0.3">
      <c r="A27" s="59">
        <v>199</v>
      </c>
      <c r="B27" s="56" t="s">
        <v>12</v>
      </c>
      <c r="C27" s="70">
        <f>VLOOKUP(B27,Log!$B$2:$C$8,2,)</f>
        <v>1</v>
      </c>
      <c r="D27" s="5">
        <v>28.48</v>
      </c>
      <c r="E27" s="34">
        <f>IF(OR(AND(B27="Motorbike",D27-D26&lt;Log!$C$13),AND(B27&lt;&gt;"Motorbike",D27-D26&lt;Log!$C$12)),0,IF(E26&lt;&gt;0,D27-D26,IF(E25=0,D27-D24,D27-D25)))</f>
        <v>3.0800000000000018</v>
      </c>
      <c r="F27" s="34">
        <f t="shared" si="4"/>
        <v>6.1600000000000037</v>
      </c>
      <c r="H27" s="66">
        <v>211</v>
      </c>
      <c r="I27" s="56" t="s">
        <v>12</v>
      </c>
      <c r="J27" s="70">
        <f>VLOOKUP(I27,Log!$B$2:$C$8,2,)</f>
        <v>1</v>
      </c>
      <c r="K27" s="4">
        <v>26.2</v>
      </c>
      <c r="L27" s="34">
        <f>IF(OR(AND(I27="Motorbike",K27-K26&lt;Log!$C$13),AND(I27&lt;&gt;"Motorbike",K27-K26&lt;Log!$C$12)),0,IF(L26&lt;&gt;0,K27-K26,IF(L25=0,K27-K24,K27-K25)))</f>
        <v>2.2799999999999976</v>
      </c>
      <c r="M27" s="34">
        <f t="shared" si="5"/>
        <v>2.2799999999999976</v>
      </c>
      <c r="N27" s="15"/>
      <c r="O27" s="60">
        <v>112</v>
      </c>
      <c r="P27" s="88" t="s">
        <v>13</v>
      </c>
      <c r="Q27" s="70">
        <f>VLOOKUP(P27,Log!$B$2:$C$8,2,)</f>
        <v>0.38</v>
      </c>
      <c r="R27" s="92">
        <v>13.72</v>
      </c>
      <c r="S27" s="34">
        <f>IF(OR(AND(P27="Motorbike",R27-R26&lt;Log!$C$13),AND(P27&lt;&gt;"Motorbike",R27-R26&lt;Log!$C$12)),0,IF(S26&lt;&gt;0,R27-R26,IF(S25=0,R27-R24,R27-R25)))</f>
        <v>0</v>
      </c>
      <c r="T27" s="109">
        <f t="shared" si="6"/>
        <v>0</v>
      </c>
    </row>
    <row r="28" spans="1:20" x14ac:dyDescent="0.25">
      <c r="A28" s="60">
        <v>220</v>
      </c>
      <c r="B28" s="56" t="s">
        <v>12</v>
      </c>
      <c r="C28" s="70">
        <f>VLOOKUP(B28,Log!$B$2:$C$8,2,)</f>
        <v>1</v>
      </c>
      <c r="D28" s="5">
        <v>29.4</v>
      </c>
      <c r="E28" s="34">
        <f>IF(OR(AND(B28="Motorbike",D28-D27&lt;Log!$C$13),AND(B28&lt;&gt;"Motorbike",D28-D27&lt;Log!$C$12)),0,IF(E27&lt;&gt;0,D28-D27,IF(E26=0,D28-D25,D28-D26)))</f>
        <v>0</v>
      </c>
      <c r="F28" s="34">
        <f t="shared" si="4"/>
        <v>0</v>
      </c>
      <c r="H28" s="58">
        <v>160</v>
      </c>
      <c r="I28" s="4" t="s">
        <v>12</v>
      </c>
      <c r="J28" s="70">
        <f>VLOOKUP(I28,Log!$B$2:$C$8,2,)</f>
        <v>1</v>
      </c>
      <c r="K28" s="4">
        <v>30</v>
      </c>
      <c r="L28" s="34">
        <f>IF(OR(AND(I28="Motorbike",K28-K27&lt;Log!$C$13),AND(I28&lt;&gt;"Motorbike",K28-K27&lt;Log!$C$12)),0,IF(L27&lt;&gt;0,K28-K27,IF(L26=0,K28-K25,K28-K26)))</f>
        <v>3.8000000000000007</v>
      </c>
      <c r="M28" s="34">
        <f t="shared" si="5"/>
        <v>3.8000000000000007</v>
      </c>
      <c r="N28" s="15"/>
      <c r="O28" s="60">
        <v>82</v>
      </c>
      <c r="P28" s="87" t="s">
        <v>13</v>
      </c>
      <c r="Q28" s="70">
        <f>VLOOKUP(P28,Log!$B$2:$C$8,2,)</f>
        <v>0.38</v>
      </c>
      <c r="R28" s="92">
        <v>14.32</v>
      </c>
      <c r="S28" s="34">
        <f>IF(OR(AND(P28="Motorbike",R28-R27&lt;Log!$C$13),AND(P28&lt;&gt;"Motorbike",R28-R27&lt;Log!$C$12)),0,IF(S27&lt;&gt;0,R28-R27,IF(S26=0,R28-R25,R28-R26)))</f>
        <v>1.0400000000000009</v>
      </c>
      <c r="T28" s="109">
        <f t="shared" si="6"/>
        <v>0.86320000000000086</v>
      </c>
    </row>
    <row r="29" spans="1:20" ht="15.75" thickBot="1" x14ac:dyDescent="0.3">
      <c r="A29" s="85">
        <v>250</v>
      </c>
      <c r="B29" s="56" t="s">
        <v>13</v>
      </c>
      <c r="C29" s="70">
        <f>VLOOKUP(B29,Log!$B$2:$C$8,2,)</f>
        <v>0.38</v>
      </c>
      <c r="D29" s="5">
        <v>30.48</v>
      </c>
      <c r="E29" s="34">
        <f>IF(OR(AND(B29="Motorbike",D29-D28&lt;Log!$C$13),AND(B29&lt;&gt;"Motorbike",D29-D28&lt;Log!$C$12)),0,IF(E28&lt;&gt;0,D29-D28,IF(E27=0,D29-D26,D29-D27)))</f>
        <v>2</v>
      </c>
      <c r="F29" s="34">
        <f t="shared" si="4"/>
        <v>2.76</v>
      </c>
      <c r="H29" s="4">
        <v>237</v>
      </c>
      <c r="I29" s="4" t="s">
        <v>12</v>
      </c>
      <c r="J29" s="5">
        <f>VLOOKUP(I29,Log!$B$2:$C$8,2,)</f>
        <v>1</v>
      </c>
      <c r="K29" s="4">
        <v>32.799999999999997</v>
      </c>
      <c r="L29" s="34">
        <f>IF(OR(AND(I29="Motorbike",K29-K28&lt;Log!$C$13),AND(I29&lt;&gt;"Motorbike",K29-K28&lt;Log!$C$12)),0,IF(L28&lt;&gt;0,K29-K28,IF(L27=0,K29-K26,K29-K27)))</f>
        <v>2.7999999999999972</v>
      </c>
      <c r="M29" s="34">
        <f t="shared" si="5"/>
        <v>2.7999999999999972</v>
      </c>
      <c r="N29" s="15"/>
      <c r="O29" s="60">
        <v>65</v>
      </c>
      <c r="P29" s="88" t="s">
        <v>14</v>
      </c>
      <c r="Q29" s="70">
        <f>VLOOKUP(P29,Log!$B$2:$C$8,2,)</f>
        <v>0.45</v>
      </c>
      <c r="R29" s="92">
        <v>14.52</v>
      </c>
      <c r="S29" s="34">
        <f>IF(OR(AND(P29="Motorbike",R29-R28&lt;Log!$C$13),AND(P29&lt;&gt;"Motorbike",R29-R28&lt;Log!$C$12)),0,IF(S28&lt;&gt;0,R29-R28,IF(S27=0,R29-R26,R29-R27)))</f>
        <v>0</v>
      </c>
      <c r="T29" s="109">
        <f t="shared" si="6"/>
        <v>0</v>
      </c>
    </row>
    <row r="30" spans="1:20" ht="15.75" thickBot="1" x14ac:dyDescent="0.3">
      <c r="A30" s="60">
        <v>160</v>
      </c>
      <c r="B30" s="56" t="s">
        <v>12</v>
      </c>
      <c r="C30" s="70">
        <f>VLOOKUP(B30,Log!$B$2:$C$8,2,)</f>
        <v>1</v>
      </c>
      <c r="D30" s="5">
        <v>31.12</v>
      </c>
      <c r="E30" s="34">
        <f>IF(OR(AND(B30="Motorbike",D30-D29&lt;Log!$C$13),AND(B30&lt;&gt;"Motorbike",D30-D29&lt;Log!$C$12)),0,IF(E29&lt;&gt;0,D30-D29,IF(E28=0,D30-D27,D30-D28)))</f>
        <v>0</v>
      </c>
      <c r="F30" s="34">
        <f t="shared" si="4"/>
        <v>0</v>
      </c>
      <c r="H30" s="4">
        <v>259</v>
      </c>
      <c r="I30" s="4" t="s">
        <v>12</v>
      </c>
      <c r="J30" s="5">
        <f>VLOOKUP(I30,Log!$B$2:$C$8,2,)</f>
        <v>1</v>
      </c>
      <c r="K30" s="4">
        <v>34.799999999999997</v>
      </c>
      <c r="L30" s="34">
        <f>IF(OR(AND(I30="Motorbike",K30-K29&lt;Log!$C$13),AND(I30&lt;&gt;"Motorbike",K30-K29&lt;Log!$C$12)),0,IF(L29&lt;&gt;0,K30-K29,IF(L28=0,K30-K27,K30-K28)))</f>
        <v>2</v>
      </c>
      <c r="M30" s="34">
        <f t="shared" si="5"/>
        <v>2</v>
      </c>
      <c r="N30" s="15"/>
      <c r="O30" s="60">
        <v>105</v>
      </c>
      <c r="P30" s="83" t="s">
        <v>14</v>
      </c>
      <c r="Q30" s="70">
        <f>VLOOKUP(P30,Log!$B$2:$C$8,2,)</f>
        <v>0.45</v>
      </c>
      <c r="R30" s="7">
        <v>15.92</v>
      </c>
      <c r="S30" s="34">
        <f>IF(OR(AND(P30="Motorbike",R30-R29&lt;Log!$C$13),AND(P30&lt;&gt;"Motorbike",R30-R29&lt;Log!$C$12)),0,IF(S29&lt;&gt;0,R30-R29,IF(S28=0,R30-R27,R30-R28)))</f>
        <v>1.5999999999999996</v>
      </c>
      <c r="T30" s="109">
        <f t="shared" si="6"/>
        <v>0.71999999999999986</v>
      </c>
    </row>
    <row r="31" spans="1:20" x14ac:dyDescent="0.25">
      <c r="A31" s="60">
        <v>234</v>
      </c>
      <c r="B31" s="56" t="s">
        <v>12</v>
      </c>
      <c r="C31" s="70">
        <f>VLOOKUP(B31,Log!$B$2:$C$8,2,)</f>
        <v>1</v>
      </c>
      <c r="D31" s="5">
        <v>33.200000000000003</v>
      </c>
      <c r="E31" s="34">
        <f>IF(OR(AND(B31="Motorbike",D31-D30&lt;Log!$C$13),AND(B31&lt;&gt;"Motorbike",D31-D30&lt;Log!$C$12)),0,IF(E30&lt;&gt;0,D31-D30,IF(E29=0,D31-D28,D31-D29)))</f>
        <v>2.7200000000000024</v>
      </c>
      <c r="F31" s="34">
        <f t="shared" si="4"/>
        <v>2.7200000000000024</v>
      </c>
      <c r="N31" s="15"/>
      <c r="O31" s="60">
        <v>131</v>
      </c>
      <c r="P31" s="87" t="s">
        <v>13</v>
      </c>
      <c r="Q31" s="70">
        <f>VLOOKUP(P31,Log!$B$2:$C$8,2,)</f>
        <v>0.38</v>
      </c>
      <c r="R31" s="92">
        <v>16.68</v>
      </c>
      <c r="S31" s="34">
        <f>IF(OR(AND(P31="Motorbike",R31-R30&lt;Log!$C$13),AND(P31&lt;&gt;"Motorbike",R31-R30&lt;Log!$C$12)),0,IF(S30&lt;&gt;0,R31-R30,IF(S29=0,R31-R28,R31-R29)))</f>
        <v>0.75999999999999979</v>
      </c>
      <c r="T31" s="109">
        <f t="shared" si="6"/>
        <v>0.91959999999999975</v>
      </c>
    </row>
    <row r="32" spans="1:20" x14ac:dyDescent="0.25">
      <c r="A32" s="60">
        <v>252</v>
      </c>
      <c r="B32" s="56" t="s">
        <v>12</v>
      </c>
      <c r="C32" s="70">
        <f>VLOOKUP(B32,Log!$B$2:$C$8,2,)</f>
        <v>1</v>
      </c>
      <c r="D32" s="5">
        <v>34.28</v>
      </c>
      <c r="E32" s="34">
        <f>IF(OR(AND(B32="Motorbike",D32-D31&lt;Log!$C$13),AND(B32&lt;&gt;"Motorbike",D32-D31&lt;Log!$C$12)),0,IF(E31&lt;&gt;0,D32-D31,IF(E30=0,D32-D29,D32-D30)))</f>
        <v>1.0799999999999983</v>
      </c>
      <c r="F32" s="34">
        <f t="shared" si="4"/>
        <v>1.0799999999999983</v>
      </c>
      <c r="N32" s="15"/>
      <c r="O32" s="60">
        <v>115</v>
      </c>
      <c r="P32" s="89" t="s">
        <v>14</v>
      </c>
      <c r="Q32" s="70">
        <f>VLOOKUP(P32,Log!$B$2:$C$8,2,)</f>
        <v>0.45</v>
      </c>
      <c r="R32" s="92">
        <v>16.8</v>
      </c>
      <c r="S32" s="34">
        <f>IF(OR(AND(P32="Motorbike",R32-R31&lt;Log!$C$13),AND(P32&lt;&gt;"Motorbike",R32-R31&lt;Log!$C$12)),0,IF(S31&lt;&gt;0,R32-R31,IF(S30=0,R32-R29,R32-R30)))</f>
        <v>0</v>
      </c>
      <c r="T32" s="109">
        <f t="shared" si="6"/>
        <v>0</v>
      </c>
    </row>
    <row r="33" spans="1:20" ht="15.75" thickBot="1" x14ac:dyDescent="0.3">
      <c r="A33" s="60">
        <v>274</v>
      </c>
      <c r="B33" s="56" t="s">
        <v>13</v>
      </c>
      <c r="C33" s="70">
        <f>VLOOKUP(B33,Log!$B$2:$C$8,2,)</f>
        <v>0.38</v>
      </c>
      <c r="D33" s="5">
        <v>35.880000000000003</v>
      </c>
      <c r="E33" s="34">
        <f>IF(OR(AND(B33="Motorbike",D33-D32&lt;Log!$C$13),AND(B33&lt;&gt;"Motorbike",D33-D32&lt;Log!$C$12)),0,IF(E32&lt;&gt;0,D33-D32,IF(E31=0,D33-D30,D33-D31)))</f>
        <v>1.6000000000000014</v>
      </c>
      <c r="F33" s="34">
        <f t="shared" si="4"/>
        <v>2.208000000000002</v>
      </c>
      <c r="N33" s="15"/>
      <c r="O33" s="60">
        <v>158</v>
      </c>
      <c r="P33" s="88" t="s">
        <v>13</v>
      </c>
      <c r="Q33" s="70">
        <f>VLOOKUP(P33,Log!$B$2:$C$8,2,)</f>
        <v>0.38</v>
      </c>
      <c r="R33" s="92">
        <v>16.8</v>
      </c>
      <c r="S33" s="34">
        <f>IF(OR(AND(P33="Motorbike",R33-R32&lt;Log!$C$13),AND(P33&lt;&gt;"Motorbike",R33-R32&lt;Log!$C$12)),0,IF(S32&lt;&gt;0,R33-R32,IF(S31=0,R33-R30,R33-R31)))</f>
        <v>0</v>
      </c>
      <c r="T33" s="109">
        <f t="shared" si="6"/>
        <v>0</v>
      </c>
    </row>
    <row r="34" spans="1:20" ht="15.75" thickBot="1" x14ac:dyDescent="0.3">
      <c r="A34" s="61">
        <v>264</v>
      </c>
      <c r="B34" s="56" t="s">
        <v>12</v>
      </c>
      <c r="C34" s="70">
        <f>VLOOKUP(B34,Log!$B$2:$C$8,2,)</f>
        <v>1</v>
      </c>
      <c r="D34" s="5">
        <v>36.479999999999997</v>
      </c>
      <c r="E34" s="34">
        <f>IF(OR(AND(B34="Motorbike",D34-D33&lt;Log!$C$13),AND(B34&lt;&gt;"Motorbike",D34-D33&lt;Log!$C$12)),0,IF(E33&lt;&gt;0,D34-D33,IF(E32=0,D34-D31,D34-D32)))</f>
        <v>0</v>
      </c>
      <c r="F34" s="34">
        <f t="shared" si="4"/>
        <v>0</v>
      </c>
      <c r="N34" s="15"/>
      <c r="O34" s="60">
        <v>137</v>
      </c>
      <c r="P34" s="87" t="s">
        <v>13</v>
      </c>
      <c r="Q34" s="70">
        <f>VLOOKUP(P34,Log!$B$2:$C$8,2,)</f>
        <v>0.38</v>
      </c>
      <c r="R34" s="92">
        <v>17.88</v>
      </c>
      <c r="S34" s="34">
        <f>IF(OR(AND(P34="Motorbike",R34-R33&lt;Log!$C$13),AND(P34&lt;&gt;"Motorbike",R34-R33&lt;Log!$C$12)),0,IF(S33&lt;&gt;0,R34-R33,IF(S32=0,R34-R31,R34-R32)))</f>
        <v>1.1999999999999993</v>
      </c>
      <c r="T34" s="109">
        <f t="shared" si="6"/>
        <v>0.91199999999999948</v>
      </c>
    </row>
    <row r="35" spans="1:20" ht="15.75" thickBot="1" x14ac:dyDescent="0.3">
      <c r="O35" s="60">
        <v>139</v>
      </c>
      <c r="P35" s="88" t="s">
        <v>13</v>
      </c>
      <c r="Q35" s="70">
        <f>VLOOKUP(P35,Log!$B$2:$C$8,2,)</f>
        <v>0.38</v>
      </c>
      <c r="R35" s="92">
        <v>18.2</v>
      </c>
      <c r="S35" s="34">
        <f>IF(OR(AND(P35="Motorbike",R35-R34&lt;Log!$C$13),AND(P35&lt;&gt;"Motorbike",R35-R34&lt;Log!$C$12)),0,IF(S34&lt;&gt;0,R35-R34,IF(S33=0,R35-R32,R35-R33)))</f>
        <v>0</v>
      </c>
      <c r="T35" s="109">
        <f t="shared" si="6"/>
        <v>0</v>
      </c>
    </row>
    <row r="36" spans="1:20" x14ac:dyDescent="0.25">
      <c r="J36" s="15"/>
      <c r="L36" s="54"/>
      <c r="M36" s="54"/>
      <c r="O36" s="60">
        <v>117</v>
      </c>
      <c r="P36" s="72" t="s">
        <v>13</v>
      </c>
      <c r="Q36" s="70">
        <f>VLOOKUP(P36,Log!$B$2:$C$8,2,)</f>
        <v>0.38</v>
      </c>
      <c r="R36" s="4">
        <v>18.88</v>
      </c>
      <c r="S36" s="34">
        <f>IF(OR(AND(P36="Motorbike",R36-R35&lt;Log!$C$13),AND(P36&lt;&gt;"Motorbike",R36-R35&lt;Log!$C$12)),0,IF(S35&lt;&gt;0,R36-R35,IF(S34=0,R36-R33,R36-R34)))</f>
        <v>1</v>
      </c>
      <c r="T36" s="109">
        <f t="shared" si="6"/>
        <v>0.38</v>
      </c>
    </row>
    <row r="37" spans="1:20" x14ac:dyDescent="0.25">
      <c r="J37" s="15"/>
      <c r="L37" s="54"/>
      <c r="M37" s="54"/>
      <c r="O37" s="60">
        <v>146</v>
      </c>
      <c r="P37" s="56" t="s">
        <v>13</v>
      </c>
      <c r="Q37" s="70">
        <f>VLOOKUP(P37,Log!$B$2:$C$8,2,)</f>
        <v>0.38</v>
      </c>
      <c r="R37" s="4">
        <v>19.88</v>
      </c>
      <c r="S37" s="34">
        <f>IF(OR(AND(P37="Motorbike",R37-R36&lt;Log!$C$13),AND(P37&lt;&gt;"Motorbike",R37-R36&lt;Log!$C$12)),0,IF(S36&lt;&gt;0,R37-R36,IF(S35=0,R37-R34,R37-R35)))</f>
        <v>1</v>
      </c>
      <c r="T37" s="109">
        <f t="shared" si="6"/>
        <v>0.38</v>
      </c>
    </row>
    <row r="38" spans="1:20" x14ac:dyDescent="0.25">
      <c r="O38" s="60">
        <v>191</v>
      </c>
      <c r="P38" s="56" t="s">
        <v>13</v>
      </c>
      <c r="Q38" s="70">
        <f>VLOOKUP(P38,Log!$B$2:$C$8,2,)</f>
        <v>0.38</v>
      </c>
      <c r="R38" s="4">
        <v>20.68</v>
      </c>
      <c r="S38" s="34">
        <f>IF(OR(AND(P38="Motorbike",R38-R37&lt;Log!$C$13),AND(P38&lt;&gt;"Motorbike",R38-R37&lt;Log!$C$12)),0,IF(S37&lt;&gt;0,R38-R37,IF(S36=0,R38-R35,R38-R36)))</f>
        <v>0.80000000000000071</v>
      </c>
      <c r="T38" s="109">
        <f t="shared" si="6"/>
        <v>0.30400000000000027</v>
      </c>
    </row>
    <row r="39" spans="1:20" x14ac:dyDescent="0.25">
      <c r="O39" s="60">
        <v>183</v>
      </c>
      <c r="P39" s="56" t="s">
        <v>13</v>
      </c>
      <c r="Q39" s="70">
        <f>VLOOKUP(P39,Log!$B$2:$C$8,2,)</f>
        <v>0.38</v>
      </c>
      <c r="R39" s="4">
        <v>21.8</v>
      </c>
      <c r="S39" s="34">
        <f>IF(OR(AND(P39="Motorbike",R39-R38&lt;Log!$C$13),AND(P39&lt;&gt;"Motorbike",R39-R38&lt;Log!$C$12)),0,IF(S38&lt;&gt;0,R39-R38,IF(S37=0,R39-R36,R39-R37)))</f>
        <v>1.120000000000001</v>
      </c>
      <c r="T39" s="109">
        <f t="shared" si="6"/>
        <v>0.42560000000000037</v>
      </c>
    </row>
    <row r="40" spans="1:20" ht="15.75" thickBot="1" x14ac:dyDescent="0.3">
      <c r="O40" s="99">
        <v>122</v>
      </c>
      <c r="P40" s="71" t="s">
        <v>13</v>
      </c>
      <c r="Q40" s="70">
        <f>VLOOKUP(P40,Log!$B$2:$C$8,2,)</f>
        <v>0.38</v>
      </c>
      <c r="R40" s="4">
        <v>23.4</v>
      </c>
      <c r="S40" s="34">
        <f>IF(OR(AND(P40="Motorbike",R40-R39&lt;Log!$C$13),AND(P40&lt;&gt;"Motorbike",R40-R39&lt;Log!$C$12)),0,IF(S39&lt;&gt;0,R40-R39,IF(S38=0,R40-R37,R40-R38)))</f>
        <v>1.5999999999999979</v>
      </c>
      <c r="T40" s="109">
        <f t="shared" si="6"/>
        <v>0.60799999999999921</v>
      </c>
    </row>
    <row r="41" spans="1:20" x14ac:dyDescent="0.25">
      <c r="O41" s="69">
        <v>208</v>
      </c>
      <c r="P41" s="59" t="s">
        <v>13</v>
      </c>
      <c r="Q41" s="70">
        <f>VLOOKUP(P41,Log!$B$2:$C$8,2,)</f>
        <v>0.38</v>
      </c>
      <c r="R41" s="4">
        <v>25.08</v>
      </c>
      <c r="S41" s="34">
        <f>IF(OR(AND(P41="Motorbike",R41-R40&lt;Log!$C$13),AND(P41&lt;&gt;"Motorbike",R41-R40&lt;Log!$C$12)),0,IF(S40&lt;&gt;0,R41-R40,IF(S39=0,R41-R38,R41-R39)))</f>
        <v>1.6799999999999997</v>
      </c>
      <c r="T41" s="34">
        <f t="shared" si="6"/>
        <v>1.2767999999999997</v>
      </c>
    </row>
    <row r="42" spans="1:20" ht="15.75" thickBot="1" x14ac:dyDescent="0.3">
      <c r="O42" s="19">
        <v>225</v>
      </c>
      <c r="P42" s="61" t="s">
        <v>13</v>
      </c>
      <c r="Q42" s="70">
        <f>VLOOKUP(P42,Log!$B$2:$C$8,2,)</f>
        <v>0.38</v>
      </c>
      <c r="R42" s="4">
        <v>25.08</v>
      </c>
      <c r="S42" s="34">
        <f>IF(OR(AND(P42="Motorbike",R42-R41&lt;Log!$C$13),AND(P42&lt;&gt;"Motorbike",R42-R41&lt;Log!$C$12)),0,IF(S41&lt;&gt;0,R42-R41,IF(S40=0,R42-R39,R42-R40)))</f>
        <v>0</v>
      </c>
      <c r="T42" s="34">
        <f t="shared" si="6"/>
        <v>0</v>
      </c>
    </row>
    <row r="43" spans="1:20" x14ac:dyDescent="0.25">
      <c r="O43" s="4">
        <v>221</v>
      </c>
      <c r="P43" s="58" t="s">
        <v>13</v>
      </c>
      <c r="Q43" s="70">
        <f>VLOOKUP(P43,Log!$B$2:$C$8,2,)</f>
        <v>0.38</v>
      </c>
      <c r="R43" s="4">
        <v>26</v>
      </c>
      <c r="S43" s="34">
        <f>IF(OR(AND(P43="Motorbike",R43-R42&lt;Log!$C$13),AND(P43&lt;&gt;"Motorbike",R43-R42&lt;Log!$C$12)),0,IF(S42&lt;&gt;0,R43-R42,IF(S41=0,R43-R40,R43-R41)))</f>
        <v>0.92000000000000171</v>
      </c>
      <c r="T43" s="34">
        <f t="shared" si="6"/>
        <v>0.34960000000000063</v>
      </c>
    </row>
    <row r="44" spans="1:20" x14ac:dyDescent="0.25">
      <c r="O44" s="4">
        <v>214</v>
      </c>
      <c r="P44" s="4" t="s">
        <v>15</v>
      </c>
      <c r="Q44" s="70">
        <f>VLOOKUP(P44,Log!$B$2:$C$8,2,)</f>
        <v>0.33</v>
      </c>
      <c r="R44" s="4">
        <v>27.88</v>
      </c>
      <c r="S44" s="34">
        <f>IF(OR(AND(P44="Motorbike",R44-R43&lt;Log!$C$13),AND(P44&lt;&gt;"Motorbike",R44-R43&lt;Log!$C$12)),0,IF(S43&lt;&gt;0,R44-R43,IF(S42=0,R44-R41,R44-R42)))</f>
        <v>1.879999999999999</v>
      </c>
      <c r="T44" s="34">
        <f t="shared" si="6"/>
        <v>0.62039999999999973</v>
      </c>
    </row>
    <row r="45" spans="1:20" x14ac:dyDescent="0.25">
      <c r="O45" s="4">
        <v>238</v>
      </c>
      <c r="P45" s="4" t="s">
        <v>13</v>
      </c>
      <c r="Q45" s="70">
        <f>VLOOKUP(P45,Log!$B$2:$C$8,2,)</f>
        <v>0.38</v>
      </c>
      <c r="R45" s="4">
        <v>30.28</v>
      </c>
      <c r="S45" s="34">
        <f>IF(OR(AND(P45="Motorbike",R45-R44&lt;Log!$C$13),AND(P45&lt;&gt;"Motorbike",R45-R44&lt;Log!$C$12)),0,IF(S44&lt;&gt;0,R45-R44,IF(S43=0,R45-R42,R45-R43)))</f>
        <v>2.4000000000000021</v>
      </c>
      <c r="T45" s="34">
        <f t="shared" si="6"/>
        <v>0.91200000000000081</v>
      </c>
    </row>
    <row r="46" spans="1:20" x14ac:dyDescent="0.25">
      <c r="O46" s="4">
        <v>248</v>
      </c>
      <c r="P46" s="4" t="s">
        <v>13</v>
      </c>
      <c r="Q46" s="70">
        <f>VLOOKUP(P46,Log!$B$2:$C$8,2,)</f>
        <v>0.38</v>
      </c>
      <c r="R46" s="4">
        <v>31.4</v>
      </c>
      <c r="S46" s="34">
        <f>IF(OR(AND(P46="Motorbike",R46-R45&lt;Log!$C$13),AND(P46&lt;&gt;"Motorbike",R46-R45&lt;Log!$C$12)),0,IF(S45&lt;&gt;0,R46-R45,IF(S44=0,R46-R43,R46-R44)))</f>
        <v>1.1199999999999974</v>
      </c>
      <c r="T46" s="34">
        <f t="shared" si="6"/>
        <v>0.92959999999999798</v>
      </c>
    </row>
    <row r="47" spans="1:20" x14ac:dyDescent="0.25">
      <c r="O47" s="4">
        <v>236</v>
      </c>
      <c r="P47" s="4" t="s">
        <v>14</v>
      </c>
      <c r="Q47" s="70">
        <f>VLOOKUP(P47,Log!$B$2:$C$8,2,)</f>
        <v>0.45</v>
      </c>
      <c r="R47" s="4">
        <v>32.08</v>
      </c>
      <c r="S47" s="34">
        <f>IF(OR(AND(P47="Motorbike",R47-R46&lt;Log!$C$13),AND(P47&lt;&gt;"Motorbike",R47-R46&lt;Log!$C$12)),0,IF(S46&lt;&gt;0,R47-R46,IF(S45=0,R47-R44,R47-R45)))</f>
        <v>0</v>
      </c>
      <c r="T47" s="34">
        <f t="shared" si="6"/>
        <v>0</v>
      </c>
    </row>
    <row r="48" spans="1:20" x14ac:dyDescent="0.25">
      <c r="O48" s="4">
        <v>235</v>
      </c>
      <c r="P48" s="4" t="s">
        <v>12</v>
      </c>
      <c r="Q48" s="70">
        <f>VLOOKUP(P48,Log!$B$2:$C$8,2,)</f>
        <v>1</v>
      </c>
      <c r="R48" s="4">
        <v>35.4</v>
      </c>
      <c r="S48" s="34">
        <f>IF(OR(AND(P48="Motorbike",R48-R47&lt;Log!$C$13),AND(P48&lt;&gt;"Motorbike",R48-R47&lt;Log!$C$12)),0,IF(S47&lt;&gt;0,R48-R47,IF(S46=0,R48-R45,R48-R46)))</f>
        <v>4</v>
      </c>
      <c r="T48" s="34">
        <f t="shared" si="6"/>
        <v>4</v>
      </c>
    </row>
    <row r="52" spans="19:20" x14ac:dyDescent="0.25">
      <c r="S52" s="9">
        <f>AVERAGE(S30:S34)</f>
        <v>0.71199999999999974</v>
      </c>
      <c r="T52" s="9">
        <f>AVERAGE(T30:T34)</f>
        <v>0.51031999999999988</v>
      </c>
    </row>
    <row r="53" spans="19:20" x14ac:dyDescent="0.25">
      <c r="S53" s="10">
        <f>3600/S52</f>
        <v>5056.1797752809007</v>
      </c>
      <c r="T53" s="10">
        <f>3600/T52</f>
        <v>7054.3972409468588</v>
      </c>
    </row>
  </sheetData>
  <mergeCells count="4">
    <mergeCell ref="C1:D1"/>
    <mergeCell ref="A11:F11"/>
    <mergeCell ref="H11:M11"/>
    <mergeCell ref="O11:T11"/>
  </mergeCells>
  <conditionalFormatting sqref="E14:E34">
    <cfRule type="cellIs" dxfId="206" priority="2" operator="greaterThanOrEqual">
      <formula>4</formula>
    </cfRule>
  </conditionalFormatting>
  <conditionalFormatting sqref="E13:F13">
    <cfRule type="cellIs" dxfId="205" priority="64" operator="greaterThan">
      <formula>4</formula>
    </cfRule>
  </conditionalFormatting>
  <conditionalFormatting sqref="F14:F34">
    <cfRule type="cellIs" dxfId="204" priority="4" operator="greaterThan">
      <formula>4</formula>
    </cfRule>
  </conditionalFormatting>
  <conditionalFormatting sqref="L14:L30">
    <cfRule type="cellIs" dxfId="203" priority="6" operator="greaterThanOrEqual">
      <formula>4</formula>
    </cfRule>
  </conditionalFormatting>
  <conditionalFormatting sqref="L13:M13">
    <cfRule type="cellIs" dxfId="202" priority="61" operator="greaterThan">
      <formula>4</formula>
    </cfRule>
  </conditionalFormatting>
  <conditionalFormatting sqref="L36:M37">
    <cfRule type="cellIs" dxfId="201" priority="66" operator="greaterThan">
      <formula>4</formula>
    </cfRule>
  </conditionalFormatting>
  <conditionalFormatting sqref="M14:M30">
    <cfRule type="cellIs" dxfId="200" priority="8" operator="greaterThan">
      <formula>4</formula>
    </cfRule>
  </conditionalFormatting>
  <conditionalFormatting sqref="S14:S48">
    <cfRule type="cellIs" dxfId="199" priority="27" operator="greaterThanOrEqual">
      <formula>4</formula>
    </cfRule>
  </conditionalFormatting>
  <conditionalFormatting sqref="T14:T48">
    <cfRule type="cellIs" dxfId="198" priority="25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B85379E-A317-4BC1-9640-A6B36A02BE4A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3" id="{806D074C-7DF7-4E8E-B066-D58BDE70B379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E14:E34</xm:sqref>
        </x14:conditionalFormatting>
        <x14:conditionalFormatting xmlns:xm="http://schemas.microsoft.com/office/excel/2006/main">
          <x14:cfRule type="expression" priority="5" id="{88D4EF27-9A64-4C1F-85A4-84D2461EA436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7" id="{899FE139-C83B-43CA-971B-56CFAA4BDA8F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L14:L30</xm:sqref>
        </x14:conditionalFormatting>
        <x14:conditionalFormatting xmlns:xm="http://schemas.microsoft.com/office/excel/2006/main">
          <x14:cfRule type="expression" priority="26" id="{8170746C-C2EE-454F-8813-397BEA97E805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28" id="{F4BD4B53-722C-4224-8494-12D00606A00F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71A0-337F-466A-9075-ADBBA46629E7}">
  <sheetPr codeName="Sheet3"/>
  <dimension ref="A1:W64"/>
  <sheetViews>
    <sheetView zoomScaleNormal="100" workbookViewId="0">
      <selection activeCell="F9" sqref="F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62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20.440000000000001</v>
      </c>
      <c r="M2" s="19">
        <f>SUM(M20:M28)</f>
        <v>21.844000000000001</v>
      </c>
      <c r="R2" s="4" t="s">
        <v>20</v>
      </c>
      <c r="S2" s="8">
        <f>SUM(S25:S28)</f>
        <v>1.8800000000000008</v>
      </c>
      <c r="T2" s="8">
        <f>SUM(T25:T28)</f>
        <v>2.1432000000000011</v>
      </c>
    </row>
    <row r="3" spans="1:20" x14ac:dyDescent="0.25">
      <c r="K3" s="4" t="s">
        <v>21</v>
      </c>
      <c r="L3" s="20">
        <f>AVERAGE(L24:L26)</f>
        <v>2.4266666666666659</v>
      </c>
      <c r="M3" s="21">
        <f>AVERAGE(M22:M29)</f>
        <v>2.3073333333333337</v>
      </c>
      <c r="R3" s="4" t="s">
        <v>21</v>
      </c>
      <c r="S3" s="9">
        <f>AVERAGE(S25:S28)</f>
        <v>0.4700000000000002</v>
      </c>
      <c r="T3" s="9">
        <f>AVERAGE(T23:T32)</f>
        <v>0.92500000000000016</v>
      </c>
    </row>
    <row r="4" spans="1:20" x14ac:dyDescent="0.25">
      <c r="A4" s="4" t="s">
        <v>12</v>
      </c>
      <c r="B4" s="144">
        <f>100*COUNTIF($B$13:$B$30,A4)/COUNTA($B$13:$B$30)</f>
        <v>61.111111111111114</v>
      </c>
      <c r="H4" s="4" t="s">
        <v>12</v>
      </c>
      <c r="I4" s="144">
        <f>100*COUNTIF($I$13:$I$27,H4)/COUNTA($I$13:$I$27)</f>
        <v>80</v>
      </c>
      <c r="K4" s="4" t="s">
        <v>7</v>
      </c>
      <c r="L4" s="22">
        <f>3600/L3</f>
        <v>1483.516483516484</v>
      </c>
      <c r="M4" s="23">
        <f>3600/M3</f>
        <v>1560.2427044206875</v>
      </c>
      <c r="O4" s="4" t="s">
        <v>12</v>
      </c>
      <c r="P4" s="144">
        <f>100*COUNTIF($P$13:$P$39,O4)/COUNTA($P$13:$P$39)</f>
        <v>25.925925925925927</v>
      </c>
      <c r="R4" s="4" t="s">
        <v>7</v>
      </c>
      <c r="S4" s="10">
        <f>3600/S3</f>
        <v>7659.574468085103</v>
      </c>
      <c r="T4" s="10">
        <f>3600/T3</f>
        <v>3891.8918918918912</v>
      </c>
    </row>
    <row r="5" spans="1:20" x14ac:dyDescent="0.25">
      <c r="A5" s="4" t="s">
        <v>14</v>
      </c>
      <c r="B5" s="144">
        <f>100*COUNTIF($B$13:$B$30,A5)/COUNTA($B$13:$B$30)</f>
        <v>22.222222222222221</v>
      </c>
      <c r="H5" s="4" t="s">
        <v>14</v>
      </c>
      <c r="I5" s="144">
        <f t="shared" ref="I5:I7" si="0">100*COUNTIF($I$13:$I$27,H5)/COUNTA($I$13:$I$27)</f>
        <v>13.333333333333334</v>
      </c>
      <c r="O5" s="4" t="s">
        <v>14</v>
      </c>
      <c r="P5" s="144">
        <f t="shared" ref="P5:P9" si="1">100*COUNTIF($P$13:$P$39,O5)/COUNTA($P$13:$P$39)</f>
        <v>22.222222222222221</v>
      </c>
    </row>
    <row r="6" spans="1:20" x14ac:dyDescent="0.25">
      <c r="A6" s="4" t="s">
        <v>13</v>
      </c>
      <c r="B6" s="144">
        <f>100*COUNTIF($B$13:$B$30,A6)/COUNTA($B$13:$B$30)</f>
        <v>11.111111111111111</v>
      </c>
      <c r="E6" s="29" t="s">
        <v>32</v>
      </c>
      <c r="F6" s="29" t="s">
        <v>31</v>
      </c>
      <c r="H6" s="4" t="s">
        <v>13</v>
      </c>
      <c r="I6" s="144">
        <f t="shared" si="0"/>
        <v>6.666666666666667</v>
      </c>
      <c r="L6" s="29" t="s">
        <v>32</v>
      </c>
      <c r="M6" s="29" t="s">
        <v>31</v>
      </c>
      <c r="O6" s="4" t="s">
        <v>13</v>
      </c>
      <c r="P6" s="144">
        <f t="shared" si="1"/>
        <v>44.444444444444443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>100*COUNTIF($B$13:$B$30,A7)/COUNTA($B$13:$B$30)</f>
        <v>5.5555555555555554</v>
      </c>
      <c r="D7" s="30" t="s">
        <v>30</v>
      </c>
      <c r="E7" s="25">
        <f>SUM(E14:E30)</f>
        <v>26.039999999999996</v>
      </c>
      <c r="F7" s="25">
        <f>SUM(F14:F30)</f>
        <v>30.901599999999998</v>
      </c>
      <c r="H7" s="4" t="s">
        <v>28</v>
      </c>
      <c r="I7" s="144">
        <f t="shared" si="0"/>
        <v>0</v>
      </c>
      <c r="K7" s="30" t="s">
        <v>30</v>
      </c>
      <c r="L7" s="25">
        <f>SUM(L14:L37)</f>
        <v>29.400000000000002</v>
      </c>
      <c r="M7" s="25">
        <f>SUM(M14:M37)</f>
        <v>32.1248</v>
      </c>
      <c r="O7" s="4" t="s">
        <v>28</v>
      </c>
      <c r="P7" s="144">
        <f t="shared" si="1"/>
        <v>3.7037037037037037</v>
      </c>
      <c r="R7" s="30" t="s">
        <v>20</v>
      </c>
      <c r="S7" s="25">
        <f>SUM(S14:S23)</f>
        <v>7.1199999999999992</v>
      </c>
      <c r="T7" s="25">
        <f>SUM(T13:T23)</f>
        <v>7.3583999999999987</v>
      </c>
    </row>
    <row r="8" spans="1:20" ht="15.75" thickBot="1" x14ac:dyDescent="0.3">
      <c r="D8" s="30" t="s">
        <v>21</v>
      </c>
      <c r="E8" s="28">
        <f>AVERAGEIF(E14:E30,"&lt;&gt;0")</f>
        <v>2.1699999999999995</v>
      </c>
      <c r="F8" s="28">
        <f>AVERAGEIF(F14:F30,"&lt;&gt;0")</f>
        <v>2.5751333333333331</v>
      </c>
      <c r="K8" s="30" t="s">
        <v>21</v>
      </c>
      <c r="L8" s="28">
        <f>AVERAGEIF(L14:L19,"&lt;&gt;0")</f>
        <v>2.2400000000000002</v>
      </c>
      <c r="M8" s="28">
        <f>AVERAGEIF(M15:M19,"&lt;&gt;0")</f>
        <v>1.4669333333333332</v>
      </c>
      <c r="O8" s="4" t="s">
        <v>15</v>
      </c>
      <c r="P8" s="144">
        <f t="shared" si="1"/>
        <v>3.7037037037037037</v>
      </c>
      <c r="R8" s="30" t="s">
        <v>21</v>
      </c>
      <c r="S8" s="28">
        <f>AVERAGEIF(S14:S29,"&lt;&gt;0")</f>
        <v>1.5</v>
      </c>
      <c r="T8" s="28">
        <f>AVERAGEIF(T15:T29,"&lt;&gt;0")</f>
        <v>1.7923200000000001</v>
      </c>
    </row>
    <row r="9" spans="1:20" ht="15.75" thickBot="1" x14ac:dyDescent="0.3">
      <c r="D9" s="30" t="s">
        <v>7</v>
      </c>
      <c r="E9" s="27">
        <f>3600/E8</f>
        <v>1658.9861751152077</v>
      </c>
      <c r="F9" s="31">
        <f>3600/F8</f>
        <v>1397.9858648095892</v>
      </c>
      <c r="K9" s="30" t="s">
        <v>7</v>
      </c>
      <c r="L9" s="27">
        <f>3600/L8</f>
        <v>1607.1428571428569</v>
      </c>
      <c r="M9" s="31">
        <f>3600/M8</f>
        <v>2454.0992546809675</v>
      </c>
      <c r="O9" s="4" t="s">
        <v>33</v>
      </c>
      <c r="P9" s="144">
        <f t="shared" si="1"/>
        <v>0</v>
      </c>
      <c r="R9" s="30" t="s">
        <v>7</v>
      </c>
      <c r="S9" s="27">
        <f>3600/S8</f>
        <v>2400</v>
      </c>
      <c r="T9" s="31">
        <f>3600/T8</f>
        <v>2008.5698982324584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62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3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95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3" t="s">
        <v>16</v>
      </c>
      <c r="P12" s="3" t="s">
        <v>17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4">
        <v>8</v>
      </c>
      <c r="B13" s="4" t="s">
        <v>12</v>
      </c>
      <c r="C13" s="5">
        <f>VLOOKUP(B13,Log!$B$2:$C$8,2,)</f>
        <v>1</v>
      </c>
      <c r="D13" s="5">
        <v>2.88</v>
      </c>
      <c r="E13" s="34">
        <v>0</v>
      </c>
      <c r="F13" s="34">
        <v>0</v>
      </c>
      <c r="H13" s="65">
        <v>2</v>
      </c>
      <c r="I13" s="62" t="s">
        <v>12</v>
      </c>
      <c r="J13" s="5">
        <f>VLOOKUP(I13,Log!$B$2:$C$8,2,)</f>
        <v>1</v>
      </c>
      <c r="K13" s="4">
        <v>2.52</v>
      </c>
      <c r="L13" s="15">
        <v>0</v>
      </c>
      <c r="M13" s="34">
        <v>0</v>
      </c>
      <c r="N13" s="15"/>
      <c r="O13" s="16">
        <v>12</v>
      </c>
      <c r="P13" s="4" t="s">
        <v>13</v>
      </c>
      <c r="Q13" s="5">
        <f>VLOOKUP(P13,Log!$B$2:$C$8,2,)</f>
        <v>0.38</v>
      </c>
      <c r="R13" s="4">
        <v>1</v>
      </c>
      <c r="S13" s="15">
        <v>0</v>
      </c>
      <c r="T13" s="34">
        <v>0</v>
      </c>
    </row>
    <row r="14" spans="1:20" ht="15.75" thickBot="1" x14ac:dyDescent="0.3">
      <c r="A14" s="4">
        <v>29</v>
      </c>
      <c r="B14" s="4" t="s">
        <v>14</v>
      </c>
      <c r="C14" s="5">
        <f>VLOOKUP(B14,Log!$B$2:$C$8,2,)</f>
        <v>0.45</v>
      </c>
      <c r="D14" s="5">
        <v>5.12</v>
      </c>
      <c r="E14" s="34">
        <f>IF(OR(AND(B14="Motorbike",D14-D13&lt;Log!$C$13),AND(B14&lt;&gt;"Motorbike",D14-D13&lt;Log!$C$12)),0,D14-D13)</f>
        <v>2.2400000000000002</v>
      </c>
      <c r="F14" s="93">
        <f>IF(E15&lt;&gt;0,C14*E14,IF(E16=0,(C14+C15+C16)*E14,(C14+C15)*E14))</f>
        <v>3.2480000000000002</v>
      </c>
      <c r="H14" s="73">
        <v>4</v>
      </c>
      <c r="I14" s="62" t="s">
        <v>12</v>
      </c>
      <c r="J14" s="5">
        <f>VLOOKUP(I14,Log!$B$2:$C$8,2,)</f>
        <v>1</v>
      </c>
      <c r="K14" s="4">
        <v>4.4800000000000004</v>
      </c>
      <c r="L14" s="34">
        <f>IF(OR(AND(I14="Motorbike",K14-K13&lt;Log!$C$13),AND(I14&lt;&gt;"Motorbike",K14-K13&lt;Log!$C$12)),0,K14-K13)</f>
        <v>1.9600000000000004</v>
      </c>
      <c r="M14" s="34">
        <f>IF(L15&lt;&gt;0,J14*L14,IF(L16=0,(J14+J15+J16)*L14,(J14+J15)*L14))</f>
        <v>5.8800000000000008</v>
      </c>
      <c r="N14" s="15"/>
      <c r="O14" s="63">
        <v>3</v>
      </c>
      <c r="P14" s="16" t="s">
        <v>14</v>
      </c>
      <c r="Q14" s="5">
        <f>VLOOKUP(P14,Log!$B$2:$C$8,2,)</f>
        <v>0.45</v>
      </c>
      <c r="R14" s="4">
        <v>2.2000000000000002</v>
      </c>
      <c r="S14" s="34">
        <f>IF(OR(AND(P14="Motorbike",R14-R13&lt;Log!$C$13),AND(P14&lt;&gt;"Motorbike",R14-R13&lt;Log!$C$12)),0,R14-R13)</f>
        <v>1.2000000000000002</v>
      </c>
      <c r="T14" s="34">
        <f>IF(S15&lt;&gt;0,Q14*S14,IF(S16=0,(Q14+Q15+Q16)*S14,(Q14+Q15)*S14))</f>
        <v>0.54000000000000015</v>
      </c>
    </row>
    <row r="15" spans="1:20" x14ac:dyDescent="0.25">
      <c r="A15" s="4">
        <v>15</v>
      </c>
      <c r="B15" s="4" t="s">
        <v>12</v>
      </c>
      <c r="C15" s="5">
        <f>VLOOKUP(B15,Log!$B$2:$C$8,2,)</f>
        <v>1</v>
      </c>
      <c r="D15" s="5">
        <v>5.8</v>
      </c>
      <c r="E15" s="34">
        <f>IF(OR(AND(B15="Motorbike",D15-D14&lt;Log!$C$13),AND(B15&lt;&gt;"Motorbike",D15-D14&lt;Log!$C$12)),0,D15-D14)</f>
        <v>0</v>
      </c>
      <c r="F15" s="34">
        <f t="shared" ref="F15:F30" si="2">IF(E16&lt;&gt;0,C15*E15,IF(E17=0,(C15+C16+C17)*E15,(C15+C16)*E15))</f>
        <v>0</v>
      </c>
      <c r="H15" s="73">
        <v>6</v>
      </c>
      <c r="I15" s="62" t="s">
        <v>12</v>
      </c>
      <c r="J15" s="5">
        <f>VLOOKUP(I15,Log!$B$2:$C$8,2,)</f>
        <v>1</v>
      </c>
      <c r="K15" s="4">
        <v>5.08</v>
      </c>
      <c r="L15" s="34">
        <f>IF(OR(AND(I15="Motorbike",K15-K14&lt;Log!$C$13),AND(I15&lt;&gt;"Motorbike",K15-K14&lt;Log!$C$12)),0,K15-K14)</f>
        <v>0</v>
      </c>
      <c r="M15" s="34">
        <f t="shared" ref="M15:M27" si="3">IF(L16&lt;&gt;0,J15*L15,IF(L17=0,(J15+J16+J17)*L15,(J15+J16)*L15))</f>
        <v>0</v>
      </c>
      <c r="N15" s="15"/>
      <c r="O15" s="65">
        <v>5</v>
      </c>
      <c r="P15" s="56" t="s">
        <v>14</v>
      </c>
      <c r="Q15" s="5">
        <f>VLOOKUP(P15,Log!$B$2:$C$8,2,)</f>
        <v>0.45</v>
      </c>
      <c r="R15" s="4">
        <v>3.52</v>
      </c>
      <c r="S15" s="34">
        <f>IF(OR(AND(P15="Motorbike",R15-R14&lt;Log!$C$13),AND(P15&lt;&gt;"Motorbike",R15-R14&lt;Log!$C$12)),0,R15-R14)</f>
        <v>1.3199999999999998</v>
      </c>
      <c r="T15" s="34">
        <f t="shared" ref="T15:T39" si="4">IF(S16&lt;&gt;0,Q15*S15,IF(S17=0,(Q15+Q16+Q17)*S15,(Q15+Q16)*S15))</f>
        <v>0.59399999999999997</v>
      </c>
    </row>
    <row r="16" spans="1:20" x14ac:dyDescent="0.25">
      <c r="A16" s="4">
        <v>19</v>
      </c>
      <c r="B16" s="4" t="s">
        <v>12</v>
      </c>
      <c r="C16" s="5">
        <f>VLOOKUP(B16,Log!$B$2:$C$8,2,)</f>
        <v>1</v>
      </c>
      <c r="D16" s="5">
        <v>7.72</v>
      </c>
      <c r="E16" s="34">
        <f>IF(OR(AND(B16="Motorbike",D16-D15&lt;Log!$C$13),AND(B16&lt;&gt;"Motorbike",D16-D15&lt;Log!$C$12)),0,IF(E15&lt;&gt;0,D16-D15,IF(E14=0,D16-D13,D16-D14)))</f>
        <v>2.5999999999999996</v>
      </c>
      <c r="F16" s="34">
        <f t="shared" si="2"/>
        <v>2.5999999999999996</v>
      </c>
      <c r="H16" s="73">
        <v>15</v>
      </c>
      <c r="I16" s="62" t="s">
        <v>12</v>
      </c>
      <c r="J16" s="5">
        <f>VLOOKUP(I16,Log!$B$2:$C$8,2,)</f>
        <v>1</v>
      </c>
      <c r="K16" s="4">
        <v>6</v>
      </c>
      <c r="L16" s="34">
        <f>IF(OR(AND(I16="Motorbike",K16-K15&lt;Log!$C$13),AND(I16&lt;&gt;"Motorbike",K16-K15&lt;Log!$C$12)),0,IF(L15&lt;&gt;0,K16-K15,IF(L14=0,K16-K13,K16-K14)))</f>
        <v>0</v>
      </c>
      <c r="M16" s="34">
        <f t="shared" si="3"/>
        <v>0</v>
      </c>
      <c r="N16" s="15"/>
      <c r="O16" s="60">
        <v>13</v>
      </c>
      <c r="P16" s="56" t="s">
        <v>12</v>
      </c>
      <c r="Q16" s="5">
        <f>VLOOKUP(P16,Log!$B$2:$C$8,2,)</f>
        <v>1</v>
      </c>
      <c r="R16" s="4">
        <v>4.92</v>
      </c>
      <c r="S16" s="34">
        <f>IF(OR(AND(OR(P16="Motorbike",P16="CNG",),R16-R15&lt;Log!$C$13),AND(OR(P16&lt;&gt;"Motorbike",P16&lt;&gt;"CNG"),R16-R15&lt;Log!$C$12)),0,IF(S15&lt;&gt;0,R16-R15,IF(S14=0,R16-R13,R16-R14)))</f>
        <v>1.4</v>
      </c>
      <c r="T16" s="34">
        <f t="shared" si="4"/>
        <v>1.9319999999999997</v>
      </c>
    </row>
    <row r="17" spans="1:23" ht="15.75" thickBot="1" x14ac:dyDescent="0.3">
      <c r="A17" s="4">
        <v>46</v>
      </c>
      <c r="B17" s="4" t="s">
        <v>12</v>
      </c>
      <c r="C17" s="5">
        <f>VLOOKUP(B17,Log!$B$2:$C$8,2,)</f>
        <v>1</v>
      </c>
      <c r="D17" s="5">
        <v>9.68</v>
      </c>
      <c r="E17" s="34">
        <f>IF(OR(AND(B17="Motorbike",D17-D16&lt;Log!$C$13),AND(B17&lt;&gt;"Motorbike",D17-D16&lt;Log!$C$12)),0,IF(E16&lt;&gt;0,D17-D16,IF(E15=0,D17-D14,D17-D15)))</f>
        <v>1.96</v>
      </c>
      <c r="F17" s="34">
        <f t="shared" si="2"/>
        <v>1.96</v>
      </c>
      <c r="H17" s="73">
        <v>23</v>
      </c>
      <c r="I17" s="56" t="s">
        <v>12</v>
      </c>
      <c r="J17" s="5">
        <f>VLOOKUP(I17,Log!$B$2:$C$8,2,)</f>
        <v>1</v>
      </c>
      <c r="K17" s="4">
        <v>7.08</v>
      </c>
      <c r="L17" s="34">
        <f>IF(OR(AND(I17="Motorbike",K17-K16&lt;Log!$C$13),AND(I17&lt;&gt;"Motorbike",K17-K16&lt;Log!$C$12)),0,IF(L16&lt;&gt;0,K17-K16,IF(L15=0,K17-K14,K17-K15)))</f>
        <v>2.5999999999999996</v>
      </c>
      <c r="M17" s="34">
        <f t="shared" si="3"/>
        <v>2.5999999999999996</v>
      </c>
      <c r="N17" s="15"/>
      <c r="O17" s="60">
        <v>58</v>
      </c>
      <c r="P17" s="71" t="s">
        <v>13</v>
      </c>
      <c r="Q17" s="5">
        <f>VLOOKUP(P17,Log!$B$2:$C$8,2,)</f>
        <v>0.38</v>
      </c>
      <c r="R17" s="4">
        <v>5.72</v>
      </c>
      <c r="S17" s="34">
        <f>IF(OR(AND(OR(P17="Motorbike",P17="CNG",),R17-R16&lt;Log!$C$13),AND(OR(P17&lt;&gt;"Motorbike",P17&lt;&gt;"CNG"),R17-R16&lt;Log!$C$12)),0,IF(S16&lt;&gt;0,R17-R16,IF(S15=0,R17-R14,R17-R15)))</f>
        <v>0</v>
      </c>
      <c r="T17" s="34">
        <f t="shared" si="4"/>
        <v>0</v>
      </c>
    </row>
    <row r="18" spans="1:23" ht="15.75" thickBot="1" x14ac:dyDescent="0.3">
      <c r="A18" s="4">
        <v>32</v>
      </c>
      <c r="B18" s="4" t="s">
        <v>12</v>
      </c>
      <c r="C18" s="5">
        <f>VLOOKUP(B18,Log!$B$2:$C$8,2,)</f>
        <v>1</v>
      </c>
      <c r="D18" s="5">
        <v>11.88</v>
      </c>
      <c r="E18" s="34">
        <f>IF(OR(AND(B18="Motorbike",D18-D17&lt;Log!$C$13),AND(B18&lt;&gt;"Motorbike",D18-D17&lt;Log!$C$12)),0,IF(E17&lt;&gt;0,D18-D17,IF(E16=0,D18-D15,D18-D16)))</f>
        <v>2.2000000000000011</v>
      </c>
      <c r="F18" s="34">
        <f t="shared" si="2"/>
        <v>2.2000000000000011</v>
      </c>
      <c r="H18" s="66">
        <v>56</v>
      </c>
      <c r="I18" s="56" t="s">
        <v>14</v>
      </c>
      <c r="J18" s="5">
        <f>VLOOKUP(I18,Log!$B$2:$C$8,2,)</f>
        <v>0.45</v>
      </c>
      <c r="K18" s="4">
        <v>8.92</v>
      </c>
      <c r="L18" s="34">
        <f>IF(OR(AND(I18="Motorbike",K18-K17&lt;Log!$C$13),AND(I18&lt;&gt;"Motorbike",K18-K17&lt;Log!$C$12)),0,IF(L17&lt;&gt;0,K18-K17,IF(L16=0,K18-K15,K18-K16)))</f>
        <v>1.8399999999999999</v>
      </c>
      <c r="M18" s="34">
        <f t="shared" si="3"/>
        <v>0.82799999999999996</v>
      </c>
      <c r="N18" s="15"/>
      <c r="O18" s="60">
        <v>21</v>
      </c>
      <c r="P18" s="87" t="s">
        <v>14</v>
      </c>
      <c r="Q18" s="70">
        <f>VLOOKUP(P18,Log!$B$2:$C$8,2,)</f>
        <v>0.45</v>
      </c>
      <c r="R18" s="4">
        <v>6.8</v>
      </c>
      <c r="S18" s="34">
        <f>IF(OR(AND(OR(P18="Motorbike",P18="CNG",),R18-R17&lt;Log!$C$13),AND(OR(P18&lt;&gt;"Motorbike",P18&lt;&gt;"CNG"),R18-R17&lt;Log!$C$12)),0,IF(S17&lt;&gt;0,R18-R17,IF(S16=0,R18-R15,R18-R16)))</f>
        <v>1.88</v>
      </c>
      <c r="T18" s="34">
        <f t="shared" si="4"/>
        <v>1.6919999999999999</v>
      </c>
    </row>
    <row r="19" spans="1:23" ht="15.75" thickBot="1" x14ac:dyDescent="0.3">
      <c r="A19" s="4">
        <v>61</v>
      </c>
      <c r="B19" s="4" t="s">
        <v>12</v>
      </c>
      <c r="C19" s="5">
        <f>VLOOKUP(B19,Log!$B$2:$C$8,2,)</f>
        <v>1</v>
      </c>
      <c r="D19" s="5">
        <v>14.08</v>
      </c>
      <c r="E19" s="34">
        <f>IF(OR(AND(B19="Motorbike",D19-D18&lt;Log!$C$13),AND(B19&lt;&gt;"Motorbike",D19-D18&lt;Log!$C$12)),0,IF(E18&lt;&gt;0,D19-D18,IF(E17=0,D19-D16,D19-D17)))</f>
        <v>2.1999999999999993</v>
      </c>
      <c r="F19" s="34">
        <f t="shared" si="2"/>
        <v>2.1999999999999993</v>
      </c>
      <c r="H19" s="90">
        <v>80</v>
      </c>
      <c r="I19" s="56" t="s">
        <v>13</v>
      </c>
      <c r="J19" s="5">
        <f>VLOOKUP(I19,Log!$B$2:$C$8,2,)</f>
        <v>0.38</v>
      </c>
      <c r="K19" s="4">
        <v>11.48</v>
      </c>
      <c r="L19" s="34">
        <f>IF(OR(AND(I19="Motorbike",K19-K18&lt;Log!$C$13),AND(I19&lt;&gt;"Motorbike",K19-K18&lt;Log!$C$12)),0,IF(L18&lt;&gt;0,K19-K18,IF(L17=0,K19-K16,K19-K17)))</f>
        <v>2.5600000000000005</v>
      </c>
      <c r="M19" s="34">
        <f t="shared" si="3"/>
        <v>0.97280000000000022</v>
      </c>
      <c r="N19" s="15"/>
      <c r="O19" s="60">
        <v>36</v>
      </c>
      <c r="P19" s="88" t="s">
        <v>14</v>
      </c>
      <c r="Q19" s="70">
        <f>VLOOKUP(P19,Log!$B$2:$C$8,2,)</f>
        <v>0.45</v>
      </c>
      <c r="R19" s="4">
        <v>6.88</v>
      </c>
      <c r="S19" s="34">
        <f>IF(OR(AND(OR(P19="Motorbike",P19="CNG",),R19-R18&lt;Log!$C$13),AND(OR(P19&lt;&gt;"Motorbike",P19&lt;&gt;"CNG"),R19-R18&lt;Log!$C$12)),0,IF(S18&lt;&gt;0,R19-R18,IF(S17=0,R19-R16,R19-R17)))</f>
        <v>0</v>
      </c>
      <c r="T19" s="34">
        <f t="shared" si="4"/>
        <v>0</v>
      </c>
    </row>
    <row r="20" spans="1:23" x14ac:dyDescent="0.25">
      <c r="A20" s="4">
        <v>107</v>
      </c>
      <c r="B20" s="4" t="s">
        <v>13</v>
      </c>
      <c r="C20" s="5">
        <f>VLOOKUP(B20,Log!$B$2:$C$8,2,)</f>
        <v>0.38</v>
      </c>
      <c r="D20" s="5">
        <v>15.48</v>
      </c>
      <c r="E20" s="34">
        <f>IF(OR(AND(B20="Motorbike",D20-D19&lt;Log!$C$13),AND(B20&lt;&gt;"Motorbike",D20-D19&lt;Log!$C$12)),0,IF(E19&lt;&gt;0,D20-D19,IF(E18=0,D20-D17,D20-D18)))</f>
        <v>1.4000000000000004</v>
      </c>
      <c r="F20" s="34">
        <f t="shared" si="2"/>
        <v>1.9320000000000004</v>
      </c>
      <c r="H20" s="65">
        <v>116</v>
      </c>
      <c r="I20" s="56" t="s">
        <v>12</v>
      </c>
      <c r="J20" s="5">
        <f>VLOOKUP(I20,Log!$B$2:$C$8,2,)</f>
        <v>1</v>
      </c>
      <c r="K20" s="4">
        <v>17.600000000000001</v>
      </c>
      <c r="L20" s="34">
        <f>IF(OR(AND(I20="Motorbike",K20-K19&lt;Log!$C$13),AND(I20&lt;&gt;"Motorbike",K20-K19&lt;Log!$C$12)),0,IF(L19&lt;&gt;0,K20-K19,IF(L18=0,K20-K17,K20-K18)))</f>
        <v>6.120000000000001</v>
      </c>
      <c r="M20" s="34">
        <f t="shared" si="3"/>
        <v>6.120000000000001</v>
      </c>
      <c r="N20" s="15"/>
      <c r="O20" s="60">
        <v>79</v>
      </c>
      <c r="P20" s="72" t="s">
        <v>13</v>
      </c>
      <c r="Q20" s="5">
        <f>VLOOKUP(P20,Log!$B$2:$C$8,2,)</f>
        <v>0.38</v>
      </c>
      <c r="R20" s="4">
        <v>8.1199999999999992</v>
      </c>
      <c r="S20" s="34">
        <f>IF(OR(AND(OR(P20="Motorbike",P20="CNG",),R20-R19&lt;Log!$C$13),AND(OR(P20&lt;&gt;"Motorbike",P20&lt;&gt;"CNG"),R20-R19&lt;Log!$C$12)),0,IF(S19&lt;&gt;0,R20-R19,IF(S18=0,R20-R17,R20-R18)))</f>
        <v>1.3199999999999994</v>
      </c>
      <c r="T20" s="34">
        <f>S20*(0.38+0.38+0.38+0.38+0.45)</f>
        <v>2.6003999999999987</v>
      </c>
    </row>
    <row r="21" spans="1:23" x14ac:dyDescent="0.25">
      <c r="A21" s="4">
        <v>87</v>
      </c>
      <c r="B21" s="4" t="s">
        <v>12</v>
      </c>
      <c r="C21" s="5">
        <f>VLOOKUP(B21,Log!$B$2:$C$8,2,)</f>
        <v>1</v>
      </c>
      <c r="D21" s="5">
        <v>16.2</v>
      </c>
      <c r="E21" s="34">
        <f>IF(OR(AND(B21="Motorbike",D21-D20&lt;Log!$C$13),AND(B21&lt;&gt;"Motorbike",D21-D20&lt;Log!$C$12)),0,IF(E20&lt;&gt;0,D21-D20,IF(E19=0,D21-D18,D21-D19)))</f>
        <v>0</v>
      </c>
      <c r="F21" s="34">
        <f t="shared" si="2"/>
        <v>0</v>
      </c>
      <c r="H21" s="73">
        <v>90</v>
      </c>
      <c r="I21" s="56" t="s">
        <v>12</v>
      </c>
      <c r="J21" s="5">
        <f>VLOOKUP(I21,Log!$B$2:$C$8,2,)</f>
        <v>1</v>
      </c>
      <c r="K21" s="4">
        <v>19.48</v>
      </c>
      <c r="L21" s="34">
        <f>IF(OR(AND(I21="Motorbike",K21-K20&lt;Log!$C$13),AND(I21&lt;&gt;"Motorbike",K21-K20&lt;Log!$C$12)),0,IF(L20&lt;&gt;0,K21-K20,IF(L19=0,K21-K18,K21-K19)))</f>
        <v>1.879999999999999</v>
      </c>
      <c r="M21" s="34">
        <f t="shared" si="3"/>
        <v>1.879999999999999</v>
      </c>
      <c r="N21" s="15"/>
      <c r="O21" s="60">
        <v>20</v>
      </c>
      <c r="P21" s="56" t="s">
        <v>13</v>
      </c>
      <c r="Q21" s="5">
        <f>VLOOKUP(P21,Log!$B$2:$C$8,2,)</f>
        <v>0.38</v>
      </c>
      <c r="R21" s="4">
        <v>8.6</v>
      </c>
      <c r="S21" s="34">
        <f>IF(OR(AND(OR(P21="Motorbike",P21="CNG",),R21-R20&lt;Log!$C$13),AND(OR(P21&lt;&gt;"Motorbike",P21&lt;&gt;"CNG"),R21-R20&lt;Log!$C$12)),0,IF(S20&lt;&gt;0,R21-R20,IF(S19=0,R21-R18,R21-R19)))</f>
        <v>0</v>
      </c>
      <c r="T21" s="34">
        <f t="shared" si="4"/>
        <v>0</v>
      </c>
    </row>
    <row r="22" spans="1:23" x14ac:dyDescent="0.25">
      <c r="A22" s="4">
        <v>65</v>
      </c>
      <c r="B22" s="4" t="s">
        <v>12</v>
      </c>
      <c r="C22" s="5">
        <f>VLOOKUP(B22,Log!$B$2:$C$8,2,)</f>
        <v>1</v>
      </c>
      <c r="D22" s="5">
        <v>18.32</v>
      </c>
      <c r="E22" s="34">
        <f>IF(OR(AND(B22="Motorbike",D22-D21&lt;Log!$C$13),AND(B22&lt;&gt;"Motorbike",D22-D21&lt;Log!$C$12)),0,IF(E21&lt;&gt;0,D22-D21,IF(E20=0,D22-D19,D22-D20)))</f>
        <v>2.84</v>
      </c>
      <c r="F22" s="34">
        <f t="shared" si="2"/>
        <v>2.84</v>
      </c>
      <c r="H22" s="73">
        <v>137</v>
      </c>
      <c r="I22" s="56" t="s">
        <v>12</v>
      </c>
      <c r="J22" s="5">
        <f>VLOOKUP(I22,Log!$B$2:$C$8,2,)</f>
        <v>1</v>
      </c>
      <c r="K22" s="4">
        <v>22.6</v>
      </c>
      <c r="L22" s="34">
        <f>IF(OR(AND(I22="Motorbike",K22-K21&lt;Log!$C$13),AND(I22&lt;&gt;"Motorbike",K22-K21&lt;Log!$C$12)),0,IF(L21&lt;&gt;0,K22-K21,IF(L20=0,K22-K19,K22-K20)))</f>
        <v>3.120000000000001</v>
      </c>
      <c r="M22" s="34">
        <f t="shared" si="3"/>
        <v>4.5240000000000009</v>
      </c>
      <c r="N22" s="15"/>
      <c r="O22" s="60">
        <v>50</v>
      </c>
      <c r="P22" s="56" t="s">
        <v>13</v>
      </c>
      <c r="Q22" s="5">
        <f>VLOOKUP(P22,Log!$B$2:$C$8,2,)</f>
        <v>0.38</v>
      </c>
      <c r="R22" s="4">
        <v>9</v>
      </c>
      <c r="S22" s="34">
        <f>IF(OR(AND(OR(P22="Motorbike",P22="CNG",),R22-R21&lt;Log!$C$13),AND(OR(P22&lt;&gt;"Motorbike",P22&lt;&gt;"CNG"),R22-R21&lt;Log!$C$12)),0,IF(S21&lt;&gt;0,R22-R21,IF(S20=0,R22-R19,R22-R20)))</f>
        <v>0</v>
      </c>
      <c r="T22" s="34">
        <f t="shared" si="4"/>
        <v>0</v>
      </c>
    </row>
    <row r="23" spans="1:23" x14ac:dyDescent="0.25">
      <c r="A23" s="4">
        <v>121</v>
      </c>
      <c r="B23" s="4" t="s">
        <v>14</v>
      </c>
      <c r="C23" s="5">
        <f>VLOOKUP(B23,Log!$B$2:$C$8,2,)</f>
        <v>0.45</v>
      </c>
      <c r="D23" s="5">
        <v>21.28</v>
      </c>
      <c r="E23" s="34">
        <f>IF(OR(AND(B23="Motorbike",D23-D22&lt;Log!$C$13),AND(B23&lt;&gt;"Motorbike",D23-D22&lt;Log!$C$12)),0,IF(E22&lt;&gt;0,D23-D22,IF(E21=0,D23-D20,D23-D21)))</f>
        <v>2.9600000000000009</v>
      </c>
      <c r="F23" s="93">
        <f t="shared" si="2"/>
        <v>4.2920000000000007</v>
      </c>
      <c r="H23" s="73">
        <v>119</v>
      </c>
      <c r="I23" s="56" t="s">
        <v>14</v>
      </c>
      <c r="J23" s="5">
        <f>VLOOKUP(I23,Log!$B$2:$C$8,2,)</f>
        <v>0.45</v>
      </c>
      <c r="K23" s="4">
        <v>23.32</v>
      </c>
      <c r="L23" s="34">
        <f>IF(OR(AND(I23="Motorbike",K23-K22&lt;Log!$C$13),AND(I23&lt;&gt;"Motorbike",K23-K22&lt;Log!$C$12)),0,IF(L22&lt;&gt;0,K23-K22,IF(L21=0,K23-K20,K23-K21)))</f>
        <v>0</v>
      </c>
      <c r="M23" s="34">
        <f t="shared" si="3"/>
        <v>0</v>
      </c>
      <c r="N23" s="15"/>
      <c r="O23" s="60">
        <v>84</v>
      </c>
      <c r="P23" s="62" t="s">
        <v>13</v>
      </c>
      <c r="Q23" s="5">
        <f>VLOOKUP(P23,Log!$B$2:$C$8,2,)</f>
        <v>0.38</v>
      </c>
      <c r="R23" s="4">
        <v>9.1199999999999992</v>
      </c>
      <c r="S23" s="34">
        <f>IF(OR(AND(OR(P23="Motorbike",P23="CNG",),R23-R22&lt;Log!$C$13),AND(OR(P23&lt;&gt;"Motorbike",P23&lt;&gt;"CNG"),R23-R22&lt;Log!$C$12)),0,IF(S22&lt;&gt;0,R23-R22,IF(S21=0,R23-R20,R23-R21)))</f>
        <v>0</v>
      </c>
      <c r="T23" s="34">
        <f t="shared" si="4"/>
        <v>0</v>
      </c>
    </row>
    <row r="24" spans="1:23" x14ac:dyDescent="0.25">
      <c r="A24" s="4">
        <v>109</v>
      </c>
      <c r="B24" s="4" t="s">
        <v>12</v>
      </c>
      <c r="C24" s="5">
        <f>VLOOKUP(B24,Log!$B$2:$C$8,2,)</f>
        <v>1</v>
      </c>
      <c r="D24" s="5">
        <v>21.72</v>
      </c>
      <c r="E24" s="34">
        <f>IF(OR(AND(B24="Motorbike",D24-D23&lt;Log!$C$13),AND(B24&lt;&gt;"Motorbike",D24-D23&lt;Log!$C$12)),0,IF(E23&lt;&gt;0,D24-D23,IF(E22=0,D24-D21,D24-D22)))</f>
        <v>0</v>
      </c>
      <c r="F24" s="34">
        <f t="shared" si="2"/>
        <v>0</v>
      </c>
      <c r="H24" s="73">
        <v>149</v>
      </c>
      <c r="I24" s="56" t="s">
        <v>12</v>
      </c>
      <c r="J24" s="5">
        <f>VLOOKUP(I24,Log!$B$2:$C$8,2,)</f>
        <v>1</v>
      </c>
      <c r="K24" s="4">
        <v>24.8</v>
      </c>
      <c r="L24" s="34">
        <f>IF(OR(AND(I24="Motorbike",K24-K23&lt;Log!$C$13),AND(I24&lt;&gt;"Motorbike",K24-K23&lt;Log!$C$12)),0,IF(L23&lt;&gt;0,K24-K23,IF(L22=0,K24-K21,K24-K22)))</f>
        <v>2.1999999999999993</v>
      </c>
      <c r="M24" s="34">
        <f t="shared" si="3"/>
        <v>2.1999999999999993</v>
      </c>
      <c r="N24" s="15"/>
      <c r="O24" s="60">
        <v>56</v>
      </c>
      <c r="P24" s="56" t="s">
        <v>14</v>
      </c>
      <c r="Q24" s="5">
        <f>VLOOKUP(P24,Log!$B$2:$C$8,2,)</f>
        <v>0.45</v>
      </c>
      <c r="R24" s="4">
        <v>9.1999999999999993</v>
      </c>
      <c r="S24" s="34">
        <f>IF(OR(AND(OR(P24="Motorbike",P24="CNG",),R24-R23&lt;Log!$C$13),AND(OR(P24&lt;&gt;"Motorbike",P24&lt;&gt;"CNG"),R24-R23&lt;Log!$C$12)),0,IF(S23&lt;&gt;0,R24-R23,IF(S22=0,R24-R21,R24-R22)))</f>
        <v>0</v>
      </c>
      <c r="T24" s="34">
        <f t="shared" si="4"/>
        <v>0</v>
      </c>
    </row>
    <row r="25" spans="1:23" x14ac:dyDescent="0.25">
      <c r="A25" s="4">
        <v>133</v>
      </c>
      <c r="B25" s="4" t="s">
        <v>12</v>
      </c>
      <c r="C25" s="5">
        <f>VLOOKUP(B25,Log!$B$2:$C$8,2,)</f>
        <v>1</v>
      </c>
      <c r="D25" s="5">
        <v>23.72</v>
      </c>
      <c r="E25" s="34">
        <f>IF(OR(AND(B25="Motorbike",D25-D24&lt;Log!$C$13),AND(B25&lt;&gt;"Motorbike",D25-D24&lt;Log!$C$12)),0,IF(E24&lt;&gt;0,D25-D24,IF(E23=0,D25-D22,D25-D23)))</f>
        <v>2.4399999999999977</v>
      </c>
      <c r="F25" s="93">
        <f t="shared" si="2"/>
        <v>4.9287999999999954</v>
      </c>
      <c r="H25" s="73">
        <v>165</v>
      </c>
      <c r="I25" s="56" t="s">
        <v>12</v>
      </c>
      <c r="J25" s="5">
        <f>VLOOKUP(I25,Log!$B$2:$C$8,2,)</f>
        <v>1</v>
      </c>
      <c r="K25" s="4">
        <v>27.12</v>
      </c>
      <c r="L25" s="34">
        <f>IF(OR(AND(I25="Motorbike",K25-K24&lt;Log!$C$13),AND(I25&lt;&gt;"Motorbike",K25-K24&lt;Log!$C$12)),0,IF(L24&lt;&gt;0,K25-K24,IF(L23=0,K25-K22,K25-K23)))</f>
        <v>2.3200000000000003</v>
      </c>
      <c r="M25" s="34">
        <f t="shared" si="3"/>
        <v>2.3200000000000003</v>
      </c>
      <c r="N25" s="15"/>
      <c r="O25" s="60">
        <v>51</v>
      </c>
      <c r="P25" s="56" t="s">
        <v>14</v>
      </c>
      <c r="Q25" s="5">
        <f>VLOOKUP(P25,Log!$B$2:$C$8,2,)</f>
        <v>0.45</v>
      </c>
      <c r="R25" s="4">
        <v>9.8800000000000008</v>
      </c>
      <c r="S25" s="34">
        <f>IF(OR(AND(OR(P25="Motorbike",P25="CNG",),R25-R24&lt;Log!$C$13),AND(OR(P25&lt;&gt;"Motorbike",P25&lt;&gt;"CNG"),R25-R24&lt;Log!$C$12)),0,IF(S24&lt;&gt;0,R25-R24,IF(S23=0,R25-R22,R25-R23)))</f>
        <v>0</v>
      </c>
      <c r="T25" s="34">
        <f t="shared" si="4"/>
        <v>0</v>
      </c>
    </row>
    <row r="26" spans="1:23" x14ac:dyDescent="0.25">
      <c r="A26" s="4">
        <v>152</v>
      </c>
      <c r="B26" s="4" t="s">
        <v>28</v>
      </c>
      <c r="C26" s="5">
        <f>VLOOKUP(B26,Log!$B$2:$C$8,2,)</f>
        <v>1.02</v>
      </c>
      <c r="D26" s="5">
        <v>24.52</v>
      </c>
      <c r="E26" s="34">
        <f>IF(OR(AND(B26="Motorbike",D26-D25&lt;Log!$C$13),AND(B26&lt;&gt;"Motorbike",D26-D25&lt;Log!$C$12)),0,IF(E25&lt;&gt;0,D26-D25,IF(E24=0,D26-D23,D26-D24)))</f>
        <v>0</v>
      </c>
      <c r="F26" s="34">
        <f t="shared" si="2"/>
        <v>0</v>
      </c>
      <c r="H26" s="73">
        <v>177</v>
      </c>
      <c r="I26" s="56" t="s">
        <v>12</v>
      </c>
      <c r="J26" s="5">
        <f>VLOOKUP(I26,Log!$B$2:$C$8,2,)</f>
        <v>1</v>
      </c>
      <c r="K26" s="4">
        <v>29.88</v>
      </c>
      <c r="L26" s="34">
        <f>IF(OR(AND(I26="Motorbike",K26-K25&lt;Log!$C$13),AND(I26&lt;&gt;"Motorbike",K26-K25&lt;Log!$C$12)),0,IF(L25&lt;&gt;0,K26-K25,IF(L24=0,K26-K23,K26-K24)))</f>
        <v>2.759999999999998</v>
      </c>
      <c r="M26" s="34">
        <f t="shared" si="3"/>
        <v>2.759999999999998</v>
      </c>
      <c r="N26" s="15"/>
      <c r="O26" s="60">
        <v>97</v>
      </c>
      <c r="P26" s="56" t="s">
        <v>13</v>
      </c>
      <c r="Q26" s="5">
        <f>VLOOKUP(P26,Log!$B$2:$C$8,2,)</f>
        <v>0.38</v>
      </c>
      <c r="R26" s="4">
        <v>11</v>
      </c>
      <c r="S26" s="34">
        <f>IF(OR(AND(OR(P26="Motorbike",P26="CNG",),R26-R25&lt;Log!$C$13),AND(OR(P26&lt;&gt;"Motorbike",P26&lt;&gt;"CNG"),R26-R25&lt;Log!$C$12)),0,IF(S25&lt;&gt;0,R26-R25,IF(S24=0,R26-R23,R26-R24)))</f>
        <v>1.8800000000000008</v>
      </c>
      <c r="T26" s="34">
        <f t="shared" si="4"/>
        <v>2.1432000000000011</v>
      </c>
    </row>
    <row r="27" spans="1:23" ht="15.75" thickBot="1" x14ac:dyDescent="0.3">
      <c r="A27" s="4">
        <v>166</v>
      </c>
      <c r="B27" s="4" t="s">
        <v>14</v>
      </c>
      <c r="C27" s="5">
        <f>VLOOKUP(B27,Log!$B$2:$C$8,2,)</f>
        <v>0.45</v>
      </c>
      <c r="D27" s="5">
        <v>26.12</v>
      </c>
      <c r="E27" s="34">
        <f>IF(OR(AND(B27="Motorbike",D27-D26&lt;Log!$C$13),AND(B27&lt;&gt;"Motorbike",D27-D26&lt;Log!$C$12)),0,IF(E26&lt;&gt;0,D27-D26,IF(E25=0,D27-D24,D27-D25)))</f>
        <v>2.4000000000000021</v>
      </c>
      <c r="F27" s="34">
        <f t="shared" si="2"/>
        <v>3.4800000000000031</v>
      </c>
      <c r="H27" s="66">
        <v>188</v>
      </c>
      <c r="I27" s="56" t="s">
        <v>12</v>
      </c>
      <c r="J27" s="5">
        <f>VLOOKUP(I27,Log!$B$2:$C$8,2,)</f>
        <v>1</v>
      </c>
      <c r="K27" s="4">
        <v>31.92</v>
      </c>
      <c r="L27" s="34">
        <f>IF(OR(AND(I27="Motorbike",K27-K26&lt;Log!$C$13),AND(I27&lt;&gt;"Motorbike",K27-K26&lt;Log!$C$12)),0,IF(L26&lt;&gt;0,K27-K26,IF(L25=0,K27-K24,K27-K25)))</f>
        <v>2.0400000000000027</v>
      </c>
      <c r="M27" s="34">
        <f t="shared" si="3"/>
        <v>2.0400000000000027</v>
      </c>
      <c r="N27" s="15"/>
      <c r="O27" s="60">
        <v>76</v>
      </c>
      <c r="P27" s="56" t="s">
        <v>13</v>
      </c>
      <c r="Q27" s="5">
        <f>VLOOKUP(P27,Log!$B$2:$C$8,2,)</f>
        <v>0.38</v>
      </c>
      <c r="R27" s="4">
        <v>11.2</v>
      </c>
      <c r="S27" s="34">
        <f>IF(OR(AND(OR(P27="Motorbike",P27="CNG",),R27-R26&lt;Log!$C$13),AND(OR(P27&lt;&gt;"Motorbike",P27&lt;&gt;"CNG"),R27-R26&lt;Log!$C$12)),0,IF(S26&lt;&gt;0,R27-R26,IF(S25=0,R27-R24,R27-R25)))</f>
        <v>0</v>
      </c>
      <c r="T27" s="34">
        <f t="shared" si="4"/>
        <v>0</v>
      </c>
    </row>
    <row r="28" spans="1:23" x14ac:dyDescent="0.25">
      <c r="A28" s="4">
        <v>169</v>
      </c>
      <c r="B28" s="4" t="s">
        <v>12</v>
      </c>
      <c r="C28" s="5">
        <f>VLOOKUP(B28,Log!$B$2:$C$8,2,)</f>
        <v>1</v>
      </c>
      <c r="D28" s="5">
        <v>26.92</v>
      </c>
      <c r="E28" s="34">
        <f>IF(OR(AND(B28="Motorbike",D28-D27&lt;Log!$C$13),AND(B28&lt;&gt;"Motorbike",D28-D27&lt;Log!$C$12)),0,IF(E27&lt;&gt;0,D28-D27,IF(E26=0,D28-D25,D28-D26)))</f>
        <v>0</v>
      </c>
      <c r="F28" s="34">
        <f t="shared" si="2"/>
        <v>0</v>
      </c>
      <c r="N28" s="15"/>
      <c r="O28" s="60">
        <v>94</v>
      </c>
      <c r="P28" s="56" t="s">
        <v>13</v>
      </c>
      <c r="Q28" s="5">
        <f>VLOOKUP(P28,Log!$B$2:$C$8,2,)</f>
        <v>0.38</v>
      </c>
      <c r="R28" s="4">
        <v>11.68</v>
      </c>
      <c r="S28" s="34">
        <f>IF(OR(AND(OR(P28="Motorbike",P28="CNG",),R28-R27&lt;Log!$C$13),AND(OR(P28&lt;&gt;"Motorbike",P28&lt;&gt;"CNG"),R28-R27&lt;Log!$C$12)),0,IF(S27&lt;&gt;0,R28-R27,IF(S26=0,R28-R25,R28-R26)))</f>
        <v>0</v>
      </c>
      <c r="T28" s="34">
        <f t="shared" si="4"/>
        <v>0</v>
      </c>
    </row>
    <row r="29" spans="1:23" ht="15.75" thickBot="1" x14ac:dyDescent="0.3">
      <c r="A29" s="4">
        <v>171</v>
      </c>
      <c r="B29" s="4" t="s">
        <v>13</v>
      </c>
      <c r="C29" s="5">
        <f>VLOOKUP(B29,Log!$B$2:$C$8,2,)</f>
        <v>0.38</v>
      </c>
      <c r="D29" s="5">
        <v>27.48</v>
      </c>
      <c r="E29" s="34">
        <f>D29-D28</f>
        <v>0.55999999999999872</v>
      </c>
      <c r="F29" s="34">
        <f>E29*C29</f>
        <v>0.21279999999999952</v>
      </c>
      <c r="N29" s="15"/>
      <c r="O29" s="61">
        <v>96</v>
      </c>
      <c r="P29" s="56" t="s">
        <v>13</v>
      </c>
      <c r="Q29" s="5">
        <f>VLOOKUP(P29,Log!$B$2:$C$8,2,)</f>
        <v>0.38</v>
      </c>
      <c r="R29" s="4">
        <v>12.12</v>
      </c>
      <c r="S29" s="34">
        <f>IF(OR(AND(OR(P29="Motorbike",P29="CNG",),R29-R28&lt;Log!$C$13),AND(OR(P29&lt;&gt;"Motorbike",P29&lt;&gt;"CNG"),R29-R28&lt;Log!$C$12)),0,IF(S28&lt;&gt;0,R29-R28,IF(S27=0,R29-R26,R29-R27)))</f>
        <v>0</v>
      </c>
      <c r="T29" s="34">
        <f t="shared" si="4"/>
        <v>0</v>
      </c>
      <c r="W29" s="11"/>
    </row>
    <row r="30" spans="1:23" x14ac:dyDescent="0.25">
      <c r="A30" s="4">
        <v>174</v>
      </c>
      <c r="B30" s="4" t="s">
        <v>14</v>
      </c>
      <c r="C30" s="5">
        <f>VLOOKUP(B30,Log!$B$2:$C$8,2,)</f>
        <v>0.45</v>
      </c>
      <c r="D30" s="5">
        <v>29.72</v>
      </c>
      <c r="E30" s="34">
        <f>IF(OR(AND(B30="Motorbike",D30-D29&lt;Log!$C$13),AND(B30&lt;&gt;"Motorbike",D30-D29&lt;Log!$C$12)),0,IF(E29&lt;&gt;0,D30-D29,IF(E28=0,D30-D27,D30-D28)))</f>
        <v>2.2399999999999984</v>
      </c>
      <c r="F30" s="34">
        <f t="shared" si="2"/>
        <v>1.0079999999999993</v>
      </c>
      <c r="N30" s="15"/>
      <c r="O30" s="58">
        <v>92</v>
      </c>
      <c r="P30" s="4" t="s">
        <v>12</v>
      </c>
      <c r="Q30" s="5">
        <f>VLOOKUP(P30,Log!$B$2:$C$8,2,)</f>
        <v>1</v>
      </c>
      <c r="R30" s="4">
        <v>16.12</v>
      </c>
      <c r="S30" s="34">
        <f>IF(OR(AND(OR(P30="Motorbike",P30="CNG",),R30-R29&lt;Log!$C$13),AND(OR(P30&lt;&gt;"Motorbike",P30&lt;&gt;"CNG"),R30-R29&lt;Log!$C$12)),0,IF(S29&lt;&gt;0,R30-R29,IF(S28=0,R30-R27,R30-R28)))</f>
        <v>4.9200000000000017</v>
      </c>
      <c r="T30" s="34">
        <f t="shared" si="4"/>
        <v>4.9200000000000017</v>
      </c>
      <c r="W30" s="11"/>
    </row>
    <row r="31" spans="1:23" ht="15.75" thickBot="1" x14ac:dyDescent="0.3">
      <c r="N31" s="15"/>
      <c r="O31" s="51">
        <v>134</v>
      </c>
      <c r="P31" s="4" t="s">
        <v>13</v>
      </c>
      <c r="Q31" s="5">
        <f>VLOOKUP(P31,Log!$B$2:$C$8,2,)</f>
        <v>0.38</v>
      </c>
      <c r="R31" s="4">
        <v>19.2</v>
      </c>
      <c r="S31" s="34">
        <f>IF(OR(AND(OR(P31="Motorbike",P31="CNG",),R31-R30&lt;Log!$C$13),AND(OR(P31&lt;&gt;"Motorbike",P31&lt;&gt;"CNG"),R31-R30&lt;Log!$C$12)),0,IF(S30&lt;&gt;0,R31-R30,IF(S29=0,R31-R28,R31-R29)))</f>
        <v>3.0799999999999983</v>
      </c>
      <c r="T31" s="34">
        <f t="shared" si="4"/>
        <v>2.1867999999999985</v>
      </c>
      <c r="W31" s="11"/>
    </row>
    <row r="32" spans="1:23" x14ac:dyDescent="0.25">
      <c r="N32" s="15"/>
      <c r="O32" s="59">
        <v>131</v>
      </c>
      <c r="P32" s="56" t="s">
        <v>15</v>
      </c>
      <c r="Q32" s="5">
        <f>VLOOKUP(P32,Log!$B$2:$C$8,2,)</f>
        <v>0.33</v>
      </c>
      <c r="R32" s="4">
        <v>20</v>
      </c>
      <c r="S32" s="34">
        <f>IF(OR(AND(OR(P32="Motorbike",P32="CNG",),R32-R31&lt;Log!$C$13),AND(OR(P32&lt;&gt;"Motorbike",P32&lt;&gt;"CNG"),R32-R31&lt;Log!$C$12)),0,IF(S31&lt;&gt;0,R32-R31,IF(S30=0,R32-R29,R32-R30)))</f>
        <v>0</v>
      </c>
      <c r="T32" s="34">
        <f t="shared" si="4"/>
        <v>0</v>
      </c>
      <c r="W32" s="11"/>
    </row>
    <row r="33" spans="1:23" x14ac:dyDescent="0.25">
      <c r="N33" s="15"/>
      <c r="O33" s="60">
        <v>138</v>
      </c>
      <c r="P33" s="56" t="s">
        <v>13</v>
      </c>
      <c r="Q33" s="5">
        <f>VLOOKUP(P33,Log!$B$2:$C$8,2,)</f>
        <v>0.38</v>
      </c>
      <c r="R33" s="4">
        <v>21.2</v>
      </c>
      <c r="S33" s="34">
        <f>IF(OR(AND(OR(P33="Motorbike",P33="CNG",),R33-R32&lt;Log!$C$13),AND(OR(P33&lt;&gt;"Motorbike",P33&lt;&gt;"CNG"),R33-R32&lt;Log!$C$12)),0,IF(S32&lt;&gt;0,R33-R32,IF(S31=0,R33-R30,R33-R31)))</f>
        <v>2</v>
      </c>
      <c r="T33" s="34">
        <f t="shared" si="4"/>
        <v>2.76</v>
      </c>
      <c r="W33" s="11"/>
    </row>
    <row r="34" spans="1:23" x14ac:dyDescent="0.25">
      <c r="N34" s="15"/>
      <c r="O34" s="60">
        <v>139</v>
      </c>
      <c r="P34" s="56" t="s">
        <v>12</v>
      </c>
      <c r="Q34" s="5">
        <f>VLOOKUP(P34,Log!$B$2:$C$8,2,)</f>
        <v>1</v>
      </c>
      <c r="R34" s="4">
        <v>22.12</v>
      </c>
      <c r="S34" s="34">
        <f>IF(OR(AND(OR(P34="Motorbike",P34="CNG",),R34-R33&lt;Log!$C$13),AND(OR(P34&lt;&gt;"Motorbike",P34&lt;&gt;"CNG"),R34-R33&lt;Log!$C$12)),0,IF(S33&lt;&gt;0,R34-R33,IF(S32=0,R34-R31,R34-R32)))</f>
        <v>0</v>
      </c>
      <c r="T34" s="34">
        <f t="shared" si="4"/>
        <v>0</v>
      </c>
      <c r="W34" s="11"/>
    </row>
    <row r="35" spans="1:23" x14ac:dyDescent="0.25">
      <c r="O35" s="60">
        <v>147</v>
      </c>
      <c r="P35" s="56" t="s">
        <v>12</v>
      </c>
      <c r="Q35" s="5">
        <f>VLOOKUP(P35,Log!$B$2:$C$8,2,)</f>
        <v>1</v>
      </c>
      <c r="R35" s="4">
        <v>23.88</v>
      </c>
      <c r="S35" s="34">
        <f>IF(OR(AND(OR(P35="Motorbike",P35="CNG",),R35-R34&lt;Log!$C$13),AND(OR(P35&lt;&gt;"Motorbike",P35&lt;&gt;"CNG"),R35-R34&lt;Log!$C$12)),0,IF(S34&lt;&gt;0,R35-R34,IF(S33=0,R35-R32,R35-R33)))</f>
        <v>2.6799999999999997</v>
      </c>
      <c r="T35" s="34">
        <f t="shared" si="4"/>
        <v>2.6799999999999997</v>
      </c>
      <c r="W35" s="11"/>
    </row>
    <row r="36" spans="1:23" x14ac:dyDescent="0.25">
      <c r="O36" s="60">
        <v>160</v>
      </c>
      <c r="P36" s="56" t="s">
        <v>12</v>
      </c>
      <c r="Q36" s="5">
        <f>VLOOKUP(P36,Log!$B$2:$C$8,2,)</f>
        <v>1</v>
      </c>
      <c r="R36" s="4">
        <v>26.08</v>
      </c>
      <c r="S36" s="34">
        <f>IF(OR(AND(OR(P36="Motorbike",P36="CNG",),R36-R35&lt;Log!$C$13),AND(OR(P36&lt;&gt;"Motorbike",P36&lt;&gt;"CNG"),R36-R35&lt;Log!$C$12)),0,IF(S35&lt;&gt;0,R36-R35,IF(S34=0,R36-R33,R36-R34)))</f>
        <v>2.1999999999999993</v>
      </c>
      <c r="T36" s="34">
        <f t="shared" si="4"/>
        <v>2.1999999999999993</v>
      </c>
      <c r="W36" s="11"/>
    </row>
    <row r="37" spans="1:23" x14ac:dyDescent="0.25">
      <c r="O37" s="60">
        <v>157</v>
      </c>
      <c r="P37" s="56" t="s">
        <v>12</v>
      </c>
      <c r="Q37" s="5">
        <f>VLOOKUP(P37,Log!$B$2:$C$8,2,)</f>
        <v>1</v>
      </c>
      <c r="R37" s="4">
        <v>29.32</v>
      </c>
      <c r="S37" s="34">
        <f>IF(OR(AND(OR(P37="Motorbike",P37="CNG",),R37-R36&lt;Log!$C$13),AND(OR(P37&lt;&gt;"Motorbike",P37&lt;&gt;"CNG"),R37-R36&lt;Log!$C$12)),0,IF(S36&lt;&gt;0,R37-R36,IF(S35=0,R37-R34,R37-R35)))</f>
        <v>3.240000000000002</v>
      </c>
      <c r="T37" s="34">
        <f t="shared" si="4"/>
        <v>3.240000000000002</v>
      </c>
      <c r="W37" s="11"/>
    </row>
    <row r="38" spans="1:23" x14ac:dyDescent="0.25">
      <c r="O38" s="60">
        <v>172</v>
      </c>
      <c r="P38" s="56" t="s">
        <v>28</v>
      </c>
      <c r="Q38" s="5">
        <f>VLOOKUP(P38,Log!$B$2:$C$8,2,)</f>
        <v>1.02</v>
      </c>
      <c r="R38" s="4">
        <v>30.72</v>
      </c>
      <c r="S38" s="34">
        <f>IF(OR(AND(OR(P38="Motorbike",P38="CNG",),R38-R37&lt;Log!$C$13),AND(OR(P38&lt;&gt;"Motorbike",P38&lt;&gt;"CNG"),R38-R37&lt;Log!$C$12)),0,IF(S37&lt;&gt;0,R38-R37,IF(S36=0,R38-R35,R38-R36)))</f>
        <v>1.3999999999999986</v>
      </c>
      <c r="T38" s="34">
        <f t="shared" si="4"/>
        <v>1.4279999999999986</v>
      </c>
      <c r="W38" s="11"/>
    </row>
    <row r="39" spans="1:23" ht="15.75" thickBot="1" x14ac:dyDescent="0.3">
      <c r="O39" s="61">
        <v>192</v>
      </c>
      <c r="P39" s="56" t="s">
        <v>12</v>
      </c>
      <c r="Q39" s="5">
        <f>VLOOKUP(P39,Log!$B$2:$C$8,2,)</f>
        <v>1</v>
      </c>
      <c r="R39" s="4">
        <v>33.880000000000003</v>
      </c>
      <c r="S39" s="34">
        <f>IF(OR(AND(OR(P39="Motorbike",P39="CNG",),R39-R38&lt;Log!$C$13),AND(OR(P39&lt;&gt;"Motorbike",P39&lt;&gt;"CNG"),R39-R38&lt;Log!$C$12)),0,IF(S38&lt;&gt;0,R39-R38,IF(S37=0,R39-R36,R39-R37)))</f>
        <v>3.1600000000000037</v>
      </c>
      <c r="T39" s="34">
        <f t="shared" si="4"/>
        <v>3.1600000000000037</v>
      </c>
      <c r="W39" s="11"/>
    </row>
    <row r="40" spans="1:23" x14ac:dyDescent="0.25">
      <c r="Q40" s="45"/>
      <c r="W40" s="11"/>
    </row>
    <row r="41" spans="1:23" x14ac:dyDescent="0.25">
      <c r="W41" s="11"/>
    </row>
    <row r="42" spans="1:23" x14ac:dyDescent="0.25">
      <c r="S42" s="128"/>
      <c r="T42" s="128"/>
      <c r="W42" s="11"/>
    </row>
    <row r="43" spans="1:23" x14ac:dyDescent="0.25">
      <c r="S43" s="129"/>
      <c r="T43" s="129"/>
      <c r="W43" s="11"/>
    </row>
    <row r="44" spans="1:23" x14ac:dyDescent="0.25">
      <c r="W44" s="11"/>
    </row>
    <row r="47" spans="1:23" x14ac:dyDescent="0.25">
      <c r="A47" t="s">
        <v>93</v>
      </c>
      <c r="B47" s="140">
        <v>6</v>
      </c>
    </row>
    <row r="48" spans="1:23" x14ac:dyDescent="0.25">
      <c r="B48" s="163" t="s">
        <v>96</v>
      </c>
      <c r="C48" s="163"/>
      <c r="D48" s="163"/>
    </row>
    <row r="49" spans="1:4" x14ac:dyDescent="0.25">
      <c r="A49" t="s">
        <v>95</v>
      </c>
      <c r="B49" t="s">
        <v>26</v>
      </c>
      <c r="C49" t="s">
        <v>18</v>
      </c>
      <c r="D49" t="s">
        <v>23</v>
      </c>
    </row>
    <row r="50" spans="1:4" x14ac:dyDescent="0.25">
      <c r="A50">
        <v>0</v>
      </c>
      <c r="B50">
        <v>0</v>
      </c>
      <c r="C50">
        <v>0</v>
      </c>
      <c r="D50">
        <v>0</v>
      </c>
    </row>
    <row r="51" spans="1:4" x14ac:dyDescent="0.25">
      <c r="A51">
        <f t="shared" ref="A51:A64" si="5">A50+$B$47</f>
        <v>6</v>
      </c>
      <c r="B51" cm="1">
        <f t="array" ref="B51">SUMPRODUCT(($D$13:$D$36&gt;=A50)*($D$13:$D$36&lt;=A51)*$C$13:$C$36)</f>
        <v>2.4500000000000002</v>
      </c>
      <c r="C51" cm="1">
        <f t="array" ref="C51">SUMPRODUCT(($K$13:$K$30&gt;=A50)*($K$13:$K$30&lt;=A51)*$J$13:$J$30)</f>
        <v>4</v>
      </c>
      <c r="D51" cm="1">
        <f t="array" ref="D51">SUMPRODUCT(($R$13:$R$39&gt;=A50)*($R$13:$R$39&lt;=A51)*$Q$13:$Q$39)</f>
        <v>2.66</v>
      </c>
    </row>
    <row r="52" spans="1:4" x14ac:dyDescent="0.25">
      <c r="A52">
        <f t="shared" si="5"/>
        <v>12</v>
      </c>
      <c r="B52" cm="1">
        <f t="array" ref="B52">SUMPRODUCT(($D$13:$D$36&gt;=A51)*($D$13:$D$36&lt;=A52)*$C$13:$C$36)</f>
        <v>3</v>
      </c>
      <c r="C52" cm="1">
        <f t="array" ref="C52">SUMPRODUCT(($K$13:$K$30&gt;=A51)*($K$13:$K$30&lt;=A52)*$J$13:$J$30)</f>
        <v>2.83</v>
      </c>
      <c r="D52" cm="1">
        <f t="array" ref="D52">SUMPRODUCT(($R$13:$R$39&gt;=A51)*($R$13:$R$39&lt;=A52)*$Q$13:$Q$39)</f>
        <v>4.46</v>
      </c>
    </row>
    <row r="53" spans="1:4" x14ac:dyDescent="0.25">
      <c r="A53">
        <f t="shared" si="5"/>
        <v>18</v>
      </c>
      <c r="B53" cm="1">
        <f t="array" ref="B53">SUMPRODUCT(($D$13:$D$36&gt;=A52)*($D$13:$D$36&lt;=A53)*$C$13:$C$36)</f>
        <v>2.38</v>
      </c>
      <c r="C53" cm="1">
        <f t="array" ref="C53">SUMPRODUCT(($K$13:$K$30&gt;=A52)*($K$13:$K$30&lt;=A53)*$J$13:$J$30)</f>
        <v>1</v>
      </c>
      <c r="D53" cm="1">
        <f t="array" ref="D53">SUMPRODUCT(($R$13:$R$39&gt;=A52)*($R$13:$R$39&lt;=A53)*$Q$13:$Q$39)</f>
        <v>1.38</v>
      </c>
    </row>
    <row r="54" spans="1:4" x14ac:dyDescent="0.25">
      <c r="A54">
        <f t="shared" si="5"/>
        <v>24</v>
      </c>
      <c r="B54" cm="1">
        <f t="array" ref="B54">SUMPRODUCT(($D$13:$D$36&gt;=A53)*($D$13:$D$36&lt;=A54)*$C$13:$C$36)</f>
        <v>3.45</v>
      </c>
      <c r="C54" cm="1">
        <f t="array" ref="C54">SUMPRODUCT(($K$13:$K$30&gt;=A53)*($K$13:$K$30&lt;=A54)*$J$13:$J$30)</f>
        <v>2.4500000000000002</v>
      </c>
      <c r="D54" cm="1">
        <f t="array" ref="D54">SUMPRODUCT(($R$13:$R$39&gt;=A53)*($R$13:$R$39&lt;=A54)*$Q$13:$Q$39)</f>
        <v>3.09</v>
      </c>
    </row>
    <row r="55" spans="1:4" x14ac:dyDescent="0.25">
      <c r="A55">
        <f t="shared" si="5"/>
        <v>30</v>
      </c>
      <c r="B55" cm="1">
        <f t="array" ref="B55">SUMPRODUCT(($D$13:$D$36&gt;=A54)*($D$13:$D$36&lt;=A55)*$C$13:$C$36)</f>
        <v>3.3</v>
      </c>
      <c r="C55" cm="1">
        <f t="array" ref="C55">SUMPRODUCT(($K$13:$K$30&gt;=A54)*($K$13:$K$30&lt;=A55)*$J$13:$J$30)</f>
        <v>3</v>
      </c>
      <c r="D55" cm="1">
        <f t="array" ref="D55">SUMPRODUCT(($R$13:$R$39&gt;=A54)*($R$13:$R$39&lt;=A55)*$Q$13:$Q$39)</f>
        <v>2</v>
      </c>
    </row>
    <row r="56" spans="1:4" x14ac:dyDescent="0.25">
      <c r="A56">
        <f t="shared" si="5"/>
        <v>36</v>
      </c>
      <c r="B56" cm="1">
        <f t="array" ref="B56">SUMPRODUCT(($D$13:$D$36&gt;=A55)*($D$13:$D$36&lt;=A56)*$C$13:$C$36)</f>
        <v>0</v>
      </c>
      <c r="C56" cm="1">
        <f t="array" ref="C56">SUMPRODUCT(($K$13:$K$30&gt;=A55)*($K$13:$K$30&lt;=A56)*$J$13:$J$30)</f>
        <v>1</v>
      </c>
      <c r="D56" cm="1">
        <f t="array" ref="D56">SUMPRODUCT(($R$13:$R$39&gt;=A55)*($R$13:$R$39&lt;=A56)*$Q$13:$Q$39)</f>
        <v>2.02</v>
      </c>
    </row>
    <row r="57" spans="1:4" x14ac:dyDescent="0.25">
      <c r="A57">
        <f t="shared" si="5"/>
        <v>42</v>
      </c>
      <c r="B57" cm="1">
        <f t="array" ref="B57">SUMPRODUCT(($D$13:$D$36&gt;=A56)*($D$13:$D$36&lt;=A57)*$C$13:$C$36)</f>
        <v>0</v>
      </c>
      <c r="C57" cm="1">
        <f t="array" ref="C57">SUMPRODUCT(($K$13:$K$30&gt;=A56)*($K$13:$K$30&lt;=A57)*$J$13:$J$30)</f>
        <v>0</v>
      </c>
      <c r="D57" cm="1">
        <f t="array" ref="D57">SUMPRODUCT(($R$13:$R$39&gt;=A56)*($R$13:$R$39&lt;=A57)*$Q$13:$Q$39)</f>
        <v>0</v>
      </c>
    </row>
    <row r="58" spans="1:4" x14ac:dyDescent="0.25">
      <c r="A58">
        <f t="shared" si="5"/>
        <v>48</v>
      </c>
      <c r="B58" cm="1">
        <f t="array" ref="B58">SUMPRODUCT(($D$13:$D$36&gt;=A57)*($D$13:$D$36&lt;=A58)*$C$13:$C$36)</f>
        <v>0</v>
      </c>
      <c r="C58" cm="1">
        <f t="array" ref="C58">SUMPRODUCT(($K$13:$K$30&gt;=A57)*($K$13:$K$30&lt;=A58)*$J$13:$J$30)</f>
        <v>0</v>
      </c>
      <c r="D58" cm="1">
        <f t="array" ref="D58">SUMPRODUCT(($R$13:$R$39&gt;=A57)*($R$13:$R$39&lt;=A58)*$Q$13:$Q$39)</f>
        <v>0</v>
      </c>
    </row>
    <row r="59" spans="1:4" x14ac:dyDescent="0.25">
      <c r="A59">
        <f t="shared" si="5"/>
        <v>54</v>
      </c>
      <c r="B59" cm="1">
        <f t="array" ref="B59">SUMPRODUCT(($D$13:$D$36&gt;=A58)*($D$13:$D$36&lt;=A59)*$C$13:$C$36)</f>
        <v>0</v>
      </c>
      <c r="C59" cm="1">
        <f t="array" ref="C59">SUMPRODUCT(($K$13:$K$30&gt;=A58)*($K$13:$K$30&lt;=A59)*$J$13:$J$30)</f>
        <v>0</v>
      </c>
      <c r="D59" cm="1">
        <f t="array" ref="D59">SUMPRODUCT(($R$13:$R$39&gt;=A58)*($R$13:$R$39&lt;=A59)*$Q$13:$Q$39)</f>
        <v>0</v>
      </c>
    </row>
    <row r="60" spans="1:4" x14ac:dyDescent="0.25">
      <c r="A60">
        <f t="shared" si="5"/>
        <v>60</v>
      </c>
      <c r="B60" cm="1">
        <f t="array" ref="B60">SUMPRODUCT(($D$13:$D$36&gt;=A59)*($D$13:$D$36&lt;=A60)*$C$13:$C$36)</f>
        <v>0</v>
      </c>
      <c r="C60" cm="1">
        <f t="array" ref="C60">SUMPRODUCT(($K$13:$K$30&gt;=A59)*($K$13:$K$30&lt;=A60)*$J$13:$J$30)</f>
        <v>0</v>
      </c>
      <c r="D60" cm="1">
        <f t="array" ref="D60">SUMPRODUCT(($R$13:$R$39&gt;=A59)*($R$13:$R$39&lt;=A60)*$Q$13:$Q$39)</f>
        <v>0</v>
      </c>
    </row>
    <row r="61" spans="1:4" x14ac:dyDescent="0.25">
      <c r="A61">
        <f t="shared" si="5"/>
        <v>66</v>
      </c>
      <c r="B61" cm="1">
        <f t="array" ref="B61">SUMPRODUCT(($D$13:$D$36&gt;=A60)*($D$13:$D$36&lt;=A61)*$C$13:$C$36)</f>
        <v>0</v>
      </c>
      <c r="C61" cm="1">
        <f t="array" ref="C61">SUMPRODUCT(($K$13:$K$30&gt;=A60)*($K$13:$K$30&lt;=A61)*$J$13:$J$30)</f>
        <v>0</v>
      </c>
      <c r="D61" cm="1">
        <f t="array" ref="D61">SUMPRODUCT(($R$13:$R$39&gt;=A60)*($R$13:$R$39&lt;=A61)*$Q$13:$Q$39)</f>
        <v>0</v>
      </c>
    </row>
    <row r="62" spans="1:4" x14ac:dyDescent="0.25">
      <c r="A62">
        <f t="shared" si="5"/>
        <v>72</v>
      </c>
      <c r="B62" cm="1">
        <f t="array" ref="B62">SUMPRODUCT(($D$13:$D$36&gt;=A61)*($D$13:$D$36&lt;=A62)*$C$13:$C$36)</f>
        <v>0</v>
      </c>
      <c r="C62" cm="1">
        <f t="array" ref="C62">SUMPRODUCT(($K$13:$K$30&gt;=A61)*($K$13:$K$30&lt;=A62)*$J$13:$J$30)</f>
        <v>0</v>
      </c>
      <c r="D62" cm="1">
        <f t="array" ref="D62">SUMPRODUCT(($R$13:$R$39&gt;=A61)*($R$13:$R$39&lt;=A62)*$Q$13:$Q$39)</f>
        <v>0</v>
      </c>
    </row>
    <row r="63" spans="1:4" x14ac:dyDescent="0.25">
      <c r="A63">
        <f t="shared" si="5"/>
        <v>78</v>
      </c>
      <c r="B63" cm="1">
        <f t="array" ref="B63">SUMPRODUCT(($D$13:$D$36&gt;=A62)*($D$13:$D$36&lt;=A63)*$C$13:$C$36)</f>
        <v>0</v>
      </c>
      <c r="C63" cm="1">
        <f t="array" ref="C63">SUMPRODUCT(($K$13:$K$30&gt;=A62)*($K$13:$K$30&lt;=A63)*$J$13:$J$30)</f>
        <v>0</v>
      </c>
      <c r="D63" cm="1">
        <f t="array" ref="D63">SUMPRODUCT(($R$13:$R$39&gt;=A62)*($R$13:$R$39&lt;=A63)*$Q$13:$Q$39)</f>
        <v>0</v>
      </c>
    </row>
    <row r="64" spans="1:4" x14ac:dyDescent="0.25">
      <c r="A64">
        <f t="shared" si="5"/>
        <v>84</v>
      </c>
      <c r="B64" cm="1">
        <f t="array" ref="B64">SUMPRODUCT(($D$13:$D$36&gt;=A63)*($D$13:$D$36&lt;=A64)*$C$13:$C$36)</f>
        <v>0</v>
      </c>
      <c r="C64" cm="1">
        <f t="array" ref="C64">SUMPRODUCT(($K$13:$K$30&gt;=A63)*($K$13:$K$30&lt;=A64)*$J$13:$J$30)</f>
        <v>0</v>
      </c>
      <c r="D64" cm="1">
        <f t="array" ref="D64">SUMPRODUCT(($R$13:$R$39&gt;=A63)*($R$13:$R$39&lt;=A64)*$Q$13:$Q$39)</f>
        <v>0</v>
      </c>
    </row>
  </sheetData>
  <mergeCells count="5">
    <mergeCell ref="C1:D1"/>
    <mergeCell ref="A11:F11"/>
    <mergeCell ref="H11:M11"/>
    <mergeCell ref="O11:T11"/>
    <mergeCell ref="B48:D48"/>
  </mergeCells>
  <phoneticPr fontId="17" type="noConversion"/>
  <conditionalFormatting sqref="E14:E30">
    <cfRule type="cellIs" dxfId="191" priority="21" operator="greaterThanOrEqual">
      <formula>4</formula>
    </cfRule>
  </conditionalFormatting>
  <conditionalFormatting sqref="E13:F13">
    <cfRule type="cellIs" dxfId="190" priority="32" operator="greaterThanOrEqual">
      <formula>4</formula>
    </cfRule>
  </conditionalFormatting>
  <conditionalFormatting sqref="E31:F39 F40 E47">
    <cfRule type="cellIs" dxfId="189" priority="4" operator="greaterThan">
      <formula>4</formula>
    </cfRule>
  </conditionalFormatting>
  <conditionalFormatting sqref="F14:F30">
    <cfRule type="cellIs" dxfId="188" priority="23" operator="greaterThan">
      <formula>4</formula>
    </cfRule>
  </conditionalFormatting>
  <conditionalFormatting sqref="L14:L27">
    <cfRule type="cellIs" dxfId="187" priority="13" operator="greaterThanOrEqual">
      <formula>4</formula>
    </cfRule>
  </conditionalFormatting>
  <conditionalFormatting sqref="L28:M37">
    <cfRule type="cellIs" dxfId="186" priority="46" operator="greaterThan">
      <formula>4</formula>
    </cfRule>
  </conditionalFormatting>
  <conditionalFormatting sqref="M13:M27">
    <cfRule type="cellIs" dxfId="185" priority="15" operator="greaterThan">
      <formula>4</formula>
    </cfRule>
  </conditionalFormatting>
  <conditionalFormatting sqref="S14:S39">
    <cfRule type="cellIs" dxfId="184" priority="2" operator="greaterThanOrEqual">
      <formula>4</formula>
    </cfRule>
  </conditionalFormatting>
  <conditionalFormatting sqref="T13:T39">
    <cfRule type="cellIs" dxfId="183" priority="8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4C241FC6-FAA6-4535-B9E6-AAED709E553F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E14:E15</xm:sqref>
        </x14:conditionalFormatting>
        <x14:conditionalFormatting xmlns:xm="http://schemas.microsoft.com/office/excel/2006/main">
          <x14:cfRule type="expression" priority="22" id="{56FC54F9-F71F-4C5B-99FB-A5787FE6FFAC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E14:E30</xm:sqref>
        </x14:conditionalFormatting>
        <x14:conditionalFormatting xmlns:xm="http://schemas.microsoft.com/office/excel/2006/main">
          <x14:cfRule type="expression" priority="20" id="{DA5E8D6F-2662-4DF3-8DF5-8EC68A6591B6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E15:E30</xm:sqref>
        </x14:conditionalFormatting>
        <x14:conditionalFormatting xmlns:xm="http://schemas.microsoft.com/office/excel/2006/main">
          <x14:cfRule type="expression" priority="12" id="{2E3D4BDD-25EE-4AE8-9F56-3E81C413FBEF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14" id="{0B7AA55F-7B76-41E3-AD1F-4E81A2C7CEBB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L14:L27</xm:sqref>
        </x14:conditionalFormatting>
        <x14:conditionalFormatting xmlns:xm="http://schemas.microsoft.com/office/excel/2006/main">
          <x14:cfRule type="expression" priority="1" id="{A0AE5F7E-EA3B-4658-927B-18A819BED875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3" id="{5C947F0E-DCB5-433F-B018-394FD509A3B1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S14:S39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713C-63F5-42C1-B0BE-D2E654957C5E}">
  <sheetPr codeName="Sheet5"/>
  <dimension ref="A1:W53"/>
  <sheetViews>
    <sheetView workbookViewId="0">
      <selection activeCell="E15" sqref="E15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63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21.520000000000003</v>
      </c>
      <c r="M2" s="19">
        <f>SUM(M20:M28)</f>
        <v>21.1</v>
      </c>
      <c r="R2" s="4" t="s">
        <v>20</v>
      </c>
      <c r="S2" s="8">
        <f>SUM(S25:S28)</f>
        <v>5.2800000000000011</v>
      </c>
      <c r="T2" s="8">
        <f>SUM(T25:T28)</f>
        <v>3.0004000000000004</v>
      </c>
    </row>
    <row r="3" spans="1:20" x14ac:dyDescent="0.25">
      <c r="K3" s="4" t="s">
        <v>21</v>
      </c>
      <c r="L3" s="20">
        <f>AVERAGE(L24:L26)</f>
        <v>1.6000000000000003</v>
      </c>
      <c r="M3" s="21">
        <f>AVERAGE(M22:M29)</f>
        <v>1.8525</v>
      </c>
      <c r="R3" s="4" t="s">
        <v>21</v>
      </c>
      <c r="S3" s="9">
        <f>AVERAGE(S25:S28)</f>
        <v>1.3200000000000003</v>
      </c>
      <c r="T3" s="9">
        <f>AVERAGE(T23:T32)</f>
        <v>1.0121600000000002</v>
      </c>
    </row>
    <row r="4" spans="1:20" x14ac:dyDescent="0.25">
      <c r="A4" s="4" t="s">
        <v>12</v>
      </c>
      <c r="B4" s="144">
        <f>100*COUNTIF($B$13:$B$38,A4)/COUNTA($B$13:$B$38)</f>
        <v>53.846153846153847</v>
      </c>
      <c r="H4" s="4" t="s">
        <v>12</v>
      </c>
      <c r="I4" s="144">
        <f>100*COUNTIF($I$13:$I$32,H4)/COUNTA($I$13:$I$32)</f>
        <v>85</v>
      </c>
      <c r="K4" s="4" t="s">
        <v>7</v>
      </c>
      <c r="L4" s="22">
        <f>3600/L3</f>
        <v>2249.9999999999995</v>
      </c>
      <c r="M4" s="23">
        <f>3600/M3</f>
        <v>1943.3198380566801</v>
      </c>
      <c r="O4" s="4" t="s">
        <v>12</v>
      </c>
      <c r="P4" s="144">
        <f>100*COUNTIF($P$13:$P$50,O4)/COUNTA($P$13:$P$50)</f>
        <v>21.05263157894737</v>
      </c>
      <c r="R4" s="4" t="s">
        <v>7</v>
      </c>
      <c r="S4" s="10">
        <f>3600/S3</f>
        <v>2727.2727272727266</v>
      </c>
      <c r="T4" s="10">
        <f>3600/T3</f>
        <v>3556.7499209611124</v>
      </c>
    </row>
    <row r="5" spans="1:20" x14ac:dyDescent="0.25">
      <c r="A5" s="4" t="s">
        <v>14</v>
      </c>
      <c r="B5" s="144">
        <f t="shared" ref="B5:B7" si="0">100*COUNTIF($B$13:$B$38,A5)/COUNTA($B$13:$B$38)</f>
        <v>30.76923076923077</v>
      </c>
      <c r="H5" s="4" t="s">
        <v>14</v>
      </c>
      <c r="I5" s="144">
        <f t="shared" ref="I5:I7" si="1">100*COUNTIF($I$13:$I$32,H5)/COUNTA($I$13:$I$32)</f>
        <v>5</v>
      </c>
      <c r="O5" s="4" t="s">
        <v>14</v>
      </c>
      <c r="P5" s="144">
        <f t="shared" ref="P5:P7" si="2">100*COUNTIF($P$13:$P$50,O5)/COUNTA($P$13:$P$50)</f>
        <v>10.526315789473685</v>
      </c>
    </row>
    <row r="6" spans="1:20" x14ac:dyDescent="0.25">
      <c r="A6" s="4" t="s">
        <v>13</v>
      </c>
      <c r="B6" s="144">
        <f t="shared" si="0"/>
        <v>15.384615384615385</v>
      </c>
      <c r="E6" s="29" t="s">
        <v>32</v>
      </c>
      <c r="F6" s="29" t="s">
        <v>31</v>
      </c>
      <c r="H6" s="4" t="s">
        <v>13</v>
      </c>
      <c r="I6" s="144">
        <f t="shared" si="1"/>
        <v>10</v>
      </c>
      <c r="L6" s="29" t="s">
        <v>32</v>
      </c>
      <c r="M6" s="29" t="s">
        <v>31</v>
      </c>
      <c r="O6" s="4" t="s">
        <v>13</v>
      </c>
      <c r="P6" s="144">
        <f t="shared" si="2"/>
        <v>65.78947368421052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0</v>
      </c>
      <c r="D7" s="30" t="s">
        <v>30</v>
      </c>
      <c r="E7" s="25">
        <f>SUM(E14:E30)</f>
        <v>28.4</v>
      </c>
      <c r="F7" s="25">
        <f>SUM(F14:F30)</f>
        <v>30.298000000000002</v>
      </c>
      <c r="H7" s="4" t="s">
        <v>28</v>
      </c>
      <c r="I7" s="144">
        <f t="shared" si="1"/>
        <v>0</v>
      </c>
      <c r="K7" s="30" t="s">
        <v>30</v>
      </c>
      <c r="L7" s="25">
        <f>SUM(L14:L37)</f>
        <v>36.040000000000006</v>
      </c>
      <c r="M7" s="25">
        <f>SUM(M14:M37)</f>
        <v>41.094400000000007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8.32</v>
      </c>
      <c r="T7" s="25">
        <f>SUM(T13:T23)</f>
        <v>4.9615999999999998</v>
      </c>
    </row>
    <row r="8" spans="1:20" ht="15.75" thickBot="1" x14ac:dyDescent="0.3">
      <c r="D8" s="30" t="s">
        <v>21</v>
      </c>
      <c r="E8" s="28">
        <f>AVERAGEIF(E14:E30,"&lt;&gt;0")</f>
        <v>2.1846153846153844</v>
      </c>
      <c r="F8" s="28">
        <f>AVERAGEIF(F25:F38,"&lt;&gt;0")</f>
        <v>1.8356666666666668</v>
      </c>
      <c r="K8" s="30" t="s">
        <v>21</v>
      </c>
      <c r="L8" s="28">
        <f>AVERAGEIF(L14:L19,"&lt;&gt;0")</f>
        <v>2.13</v>
      </c>
      <c r="M8" s="28">
        <f>AVERAGEIF(M22:M28,"&lt;&gt;0")</f>
        <v>1.8366666666666671</v>
      </c>
      <c r="O8" s="4" t="s">
        <v>15</v>
      </c>
      <c r="P8" s="144">
        <f t="shared" ref="P8:P9" si="3">100*COUNTIF($P$13:$P$39,O8)/COUNTA($P$13:$P$39)</f>
        <v>3.7037037037037037</v>
      </c>
      <c r="R8" s="30" t="s">
        <v>21</v>
      </c>
      <c r="S8" s="28">
        <f>AVERAGEIF(S14:S50,"&lt;&gt;0")</f>
        <v>1.7272727272727273</v>
      </c>
      <c r="T8" s="28">
        <f>AVERAGEIF(T30:T48,"&lt;&gt;0")</f>
        <v>1.7369599999999998</v>
      </c>
    </row>
    <row r="9" spans="1:20" ht="15.75" thickBot="1" x14ac:dyDescent="0.3">
      <c r="D9" s="30" t="s">
        <v>7</v>
      </c>
      <c r="E9" s="27">
        <f>3600/E8</f>
        <v>1647.8873239436621</v>
      </c>
      <c r="F9" s="31">
        <f>3600/F8</f>
        <v>1961.1403668058833</v>
      </c>
      <c r="K9" s="30" t="s">
        <v>7</v>
      </c>
      <c r="L9" s="27">
        <f>3600/L8</f>
        <v>1690.1408450704225</v>
      </c>
      <c r="M9" s="31">
        <f>3600/M8</f>
        <v>1960.0725952813063</v>
      </c>
      <c r="O9" s="4" t="s">
        <v>33</v>
      </c>
      <c r="P9" s="144">
        <f t="shared" si="3"/>
        <v>0</v>
      </c>
      <c r="R9" s="30" t="s">
        <v>7</v>
      </c>
      <c r="S9" s="27">
        <f>3600/S8</f>
        <v>2084.2105263157896</v>
      </c>
      <c r="T9" s="31">
        <f>3600/T8</f>
        <v>2072.5865880619012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3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3" t="s">
        <v>16</v>
      </c>
      <c r="I12" s="3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6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4">
        <v>1</v>
      </c>
      <c r="B13" s="4" t="s">
        <v>14</v>
      </c>
      <c r="C13" s="5">
        <f>VLOOKUP(B13,Log!$B$2:$C$8,2,)</f>
        <v>0.45</v>
      </c>
      <c r="D13" s="5">
        <v>1.92</v>
      </c>
      <c r="E13" s="34">
        <v>0</v>
      </c>
      <c r="F13" s="34">
        <v>0</v>
      </c>
      <c r="H13" s="16">
        <v>4</v>
      </c>
      <c r="I13" s="16" t="s">
        <v>12</v>
      </c>
      <c r="J13" s="5">
        <f>VLOOKUP(I13,Log!$B$2:$C$8,2,)</f>
        <v>1</v>
      </c>
      <c r="K13" s="4">
        <v>0.88</v>
      </c>
      <c r="L13" s="34">
        <v>0</v>
      </c>
      <c r="M13" s="34">
        <v>0</v>
      </c>
      <c r="N13" s="15"/>
      <c r="O13" s="65">
        <v>5</v>
      </c>
      <c r="P13" s="122" t="s">
        <v>13</v>
      </c>
      <c r="Q13" s="5">
        <f>VLOOKUP(P13,Log!$B$2:$C$8,2,)</f>
        <v>0.38</v>
      </c>
      <c r="R13" s="4">
        <v>0.88</v>
      </c>
      <c r="S13" s="34">
        <v>0</v>
      </c>
      <c r="T13" s="34">
        <v>0</v>
      </c>
    </row>
    <row r="14" spans="1:20" x14ac:dyDescent="0.25">
      <c r="A14" s="4">
        <v>3</v>
      </c>
      <c r="B14" s="4" t="s">
        <v>12</v>
      </c>
      <c r="C14" s="5">
        <f>VLOOKUP(B14,Log!$B$2:$C$8,2,)</f>
        <v>1</v>
      </c>
      <c r="D14" s="5">
        <v>3.32</v>
      </c>
      <c r="E14" s="34">
        <f>IF(OR(AND(B14="Motorbike",D14-D13&lt;Log!$C$13),AND(B14&lt;&gt;"Motorbike",D14-D13&lt;Log!$C$12)),0,D14-D13)</f>
        <v>1.4</v>
      </c>
      <c r="F14" s="34">
        <f>IF(E15&lt;&gt;0,C14*E14,IF(E16=0,(C14+C15+C16)*E14,(C14+C15)*E14))</f>
        <v>1.4</v>
      </c>
      <c r="H14" s="16">
        <v>16</v>
      </c>
      <c r="I14" s="16" t="s">
        <v>13</v>
      </c>
      <c r="J14" s="5">
        <f>VLOOKUP(I14,Log!$B$2:$C$8,2,)</f>
        <v>0.38</v>
      </c>
      <c r="K14" s="4">
        <v>2.08</v>
      </c>
      <c r="L14" s="34">
        <f>IF(OR(AND(I14="Motorbike",K14-K13&lt;Log!$C$13),AND(I14&lt;&gt;"Motorbike",K14-K13&lt;Log!$C$12)),0,K14-K13)</f>
        <v>1.2000000000000002</v>
      </c>
      <c r="M14" s="34">
        <f>IF(L15&lt;&gt;0,J14*L14,IF(L16=0,(J14+J15+J16)*L14,(J14+J15)*L14))</f>
        <v>0.45600000000000007</v>
      </c>
      <c r="N14" s="15"/>
      <c r="O14" s="73">
        <v>6</v>
      </c>
      <c r="P14" s="122" t="s">
        <v>13</v>
      </c>
      <c r="Q14" s="5">
        <f>VLOOKUP(P14,Log!$B$2:$C$8,2,)</f>
        <v>0.38</v>
      </c>
      <c r="R14" s="4">
        <v>1.88</v>
      </c>
      <c r="S14" s="34">
        <f>IF(OR(AND(P14="Motorbike",R14-R13&lt;Log!$C$13),AND(P14&lt;&gt;"Motorbike",R14-R13&lt;Log!$C$12)),0,R14-R13)</f>
        <v>0.99999999999999989</v>
      </c>
      <c r="T14" s="34">
        <f>IF(S15&lt;&gt;0,Q14*S14,IF(S16=0,(Q14+Q15+Q16)*S14,(Q14+Q15)*S14))</f>
        <v>1.1399999999999999</v>
      </c>
    </row>
    <row r="15" spans="1:20" ht="15.75" thickBot="1" x14ac:dyDescent="0.3">
      <c r="A15" s="51">
        <v>7</v>
      </c>
      <c r="B15" s="4" t="s">
        <v>12</v>
      </c>
      <c r="C15" s="5">
        <f>VLOOKUP(B15,Log!$B$2:$C$8,2,)</f>
        <v>1</v>
      </c>
      <c r="D15" s="5">
        <v>6.32</v>
      </c>
      <c r="E15" s="34">
        <f>IF(OR(AND(B15="Motorbike",D15-D14&lt;Log!$C$13),AND(B15&lt;&gt;"Motorbike",D15-D14&lt;Log!$C$12)),0,D15-D14)</f>
        <v>3.0000000000000004</v>
      </c>
      <c r="F15" s="34">
        <f t="shared" ref="F15:F38" si="4">IF(E16&lt;&gt;0,C15*E15,IF(E17=0,(C15+C16+C17)*E15,(C15+C16)*E15))</f>
        <v>4.3500000000000005</v>
      </c>
      <c r="H15" s="16">
        <v>8</v>
      </c>
      <c r="I15" s="16" t="s">
        <v>12</v>
      </c>
      <c r="J15" s="5">
        <f>VLOOKUP(I15,Log!$B$2:$C$8,2,)</f>
        <v>1</v>
      </c>
      <c r="K15" s="4">
        <v>4.28</v>
      </c>
      <c r="L15" s="34">
        <f>IF(OR(AND(I15="Motorbike",K15-K14&lt;Log!$C$13),AND(I15&lt;&gt;"Motorbike",K15-K14&lt;Log!$C$12)),0,K15-K14)</f>
        <v>2.2000000000000002</v>
      </c>
      <c r="M15" s="34">
        <f t="shared" ref="M15:M32" si="5">IF(L16&lt;&gt;0,J15*L15,IF(L17=0,(J15+J16+J17)*L15,(J15+J16)*L15))</f>
        <v>2.2000000000000002</v>
      </c>
      <c r="N15" s="15"/>
      <c r="O15" s="73">
        <v>12</v>
      </c>
      <c r="P15" s="122" t="s">
        <v>13</v>
      </c>
      <c r="Q15" s="5">
        <f>VLOOKUP(P15,Log!$B$2:$C$8,2,)</f>
        <v>0.38</v>
      </c>
      <c r="R15" s="4">
        <v>2</v>
      </c>
      <c r="S15" s="34">
        <f>IF(OR(AND(P15="Motorbike",R15-R14&lt;Log!$C$13),AND(P15&lt;&gt;"Motorbike",R15-R14&lt;Log!$C$12)),0,R15-R14)</f>
        <v>0</v>
      </c>
      <c r="T15" s="34">
        <f t="shared" ref="T15:T50" si="6">IF(S16&lt;&gt;0,Q15*S15,IF(S17=0,(Q15+Q16+Q17)*S15,(Q15+Q16)*S15))</f>
        <v>0</v>
      </c>
    </row>
    <row r="16" spans="1:20" x14ac:dyDescent="0.25">
      <c r="A16" s="59">
        <v>30</v>
      </c>
      <c r="B16" s="56" t="s">
        <v>14</v>
      </c>
      <c r="C16" s="5">
        <f>VLOOKUP(B16,Log!$B$2:$C$8,2,)</f>
        <v>0.45</v>
      </c>
      <c r="D16" s="5">
        <v>7.12</v>
      </c>
      <c r="E16" s="34">
        <f>IF(OR(AND(B16="Motorbike",D16-D15&lt;Log!$C$13),AND(B16&lt;&gt;"Motorbike",D16-D15&lt;Log!$C$12)),0,IF(E15&lt;&gt;0,D16-D15,IF(E14=0,D16-D13,D16-D14)))</f>
        <v>0</v>
      </c>
      <c r="F16" s="34">
        <f t="shared" si="4"/>
        <v>0</v>
      </c>
      <c r="H16" s="16">
        <v>26</v>
      </c>
      <c r="I16" s="16" t="s">
        <v>12</v>
      </c>
      <c r="J16" s="5">
        <f>VLOOKUP(I16,Log!$B$2:$C$8,2,)</f>
        <v>1</v>
      </c>
      <c r="K16" s="4">
        <v>5.32</v>
      </c>
      <c r="L16" s="34">
        <f>IF(OR(AND(I16="Motorbike",K16-K15&lt;Log!$C$13),AND(I16&lt;&gt;"Motorbike",K16-K15&lt;Log!$C$12)),0,IF(L15&lt;&gt;0,K16-K15,IF(L14=0,K16-K13,K16-K14)))</f>
        <v>1.04</v>
      </c>
      <c r="M16" s="34">
        <f t="shared" si="5"/>
        <v>2.08</v>
      </c>
      <c r="N16" s="15"/>
      <c r="O16" s="60">
        <v>16</v>
      </c>
      <c r="P16" s="122" t="s">
        <v>13</v>
      </c>
      <c r="Q16" s="5">
        <f>VLOOKUP(P16,Log!$B$2:$C$8,2,)</f>
        <v>0.38</v>
      </c>
      <c r="R16" s="4">
        <v>2.2799999999999998</v>
      </c>
      <c r="S16" s="34">
        <f>IF(OR(AND(P16="Motorbike",R16-R15&lt;Log!$C$13),AND(P16&lt;&gt;"Motorbike",R16-R15&lt;Log!$C$12)),0,IF(S15&lt;&gt;0,R16-R15,IF(S14=0,R16-R13,R16-R14)))</f>
        <v>0</v>
      </c>
      <c r="T16" s="34">
        <f t="shared" si="6"/>
        <v>0</v>
      </c>
    </row>
    <row r="17" spans="1:23" x14ac:dyDescent="0.25">
      <c r="A17" s="60">
        <v>43</v>
      </c>
      <c r="B17" s="56" t="s">
        <v>14</v>
      </c>
      <c r="C17" s="5">
        <f>VLOOKUP(B17,Log!$B$2:$C$8,2,)</f>
        <v>0.45</v>
      </c>
      <c r="D17" s="5">
        <v>8.1999999999999993</v>
      </c>
      <c r="E17" s="34">
        <f>IF(OR(AND(B17="Motorbike",D17-D16&lt;Log!$C$13),AND(B17&lt;&gt;"Motorbike",D17-D16&lt;Log!$C$12)),0,IF(E16&lt;&gt;0,D17-D16,IF(E15=0,D17-D14,D17-D15)))</f>
        <v>1.879999999999999</v>
      </c>
      <c r="F17" s="34">
        <f t="shared" si="4"/>
        <v>1.6919999999999991</v>
      </c>
      <c r="H17" s="16">
        <v>19</v>
      </c>
      <c r="I17" s="4" t="s">
        <v>12</v>
      </c>
      <c r="J17" s="5">
        <f>VLOOKUP(I17,Log!$B$2:$C$8,2,)</f>
        <v>1</v>
      </c>
      <c r="K17" s="4">
        <v>6</v>
      </c>
      <c r="L17" s="34">
        <f>IF(OR(AND(I17="Motorbike",K17-K16&lt;Log!$C$13),AND(I17&lt;&gt;"Motorbike",K17-K16&lt;Log!$C$12)),0,IF(L16&lt;&gt;0,K17-K16,IF(L15=0,K17-K14,K17-K15)))</f>
        <v>0</v>
      </c>
      <c r="M17" s="34">
        <f t="shared" si="5"/>
        <v>0</v>
      </c>
      <c r="N17" s="15"/>
      <c r="O17" s="60">
        <v>14</v>
      </c>
      <c r="P17" s="122" t="s">
        <v>13</v>
      </c>
      <c r="Q17" s="5">
        <f>VLOOKUP(P17,Log!$B$2:$C$8,2,)</f>
        <v>0.38</v>
      </c>
      <c r="R17" s="4">
        <v>2.8</v>
      </c>
      <c r="S17" s="34">
        <f>IF(OR(AND(P17="Motorbike",R17-R16&lt;Log!$C$13),AND(P17&lt;&gt;"Motorbike",R17-R16&lt;Log!$C$12)),0,IF(S16&lt;&gt;0,R17-R16,IF(S15=0,R17-R14,R17-R15)))</f>
        <v>0</v>
      </c>
      <c r="T17" s="34">
        <f t="shared" si="6"/>
        <v>0</v>
      </c>
    </row>
    <row r="18" spans="1:23" x14ac:dyDescent="0.25">
      <c r="A18" s="60">
        <v>39</v>
      </c>
      <c r="B18" s="56" t="s">
        <v>14</v>
      </c>
      <c r="C18" s="5">
        <f>VLOOKUP(B18,Log!$B$2:$C$8,2,)</f>
        <v>0.45</v>
      </c>
      <c r="D18" s="5">
        <v>8.4</v>
      </c>
      <c r="E18" s="34">
        <f>IF(OR(AND(B18="Motorbike",D18-D17&lt;Log!$C$13),AND(B18&lt;&gt;"Motorbike",D18-D17&lt;Log!$C$12)),0,IF(E17&lt;&gt;0,D18-D17,IF(E16=0,D18-D15,D18-D16)))</f>
        <v>0</v>
      </c>
      <c r="F18" s="34">
        <f t="shared" si="4"/>
        <v>0</v>
      </c>
      <c r="H18" s="16">
        <v>36</v>
      </c>
      <c r="I18" s="4" t="s">
        <v>12</v>
      </c>
      <c r="J18" s="5">
        <f>VLOOKUP(I18,Log!$B$2:$C$8,2,)</f>
        <v>1</v>
      </c>
      <c r="K18" s="4">
        <v>9.4</v>
      </c>
      <c r="L18" s="34">
        <f>IF(OR(AND(I18="Motorbike",K18-K17&lt;Log!$C$13),AND(I18&lt;&gt;"Motorbike",K18-K17&lt;Log!$C$12)),0,IF(L17&lt;&gt;0,K18-K17,IF(L16=0,K18-K15,K18-K16)))</f>
        <v>4.08</v>
      </c>
      <c r="M18" s="34">
        <f t="shared" si="5"/>
        <v>8.16</v>
      </c>
      <c r="N18" s="15"/>
      <c r="O18" s="60">
        <v>17</v>
      </c>
      <c r="P18" s="122" t="s">
        <v>13</v>
      </c>
      <c r="Q18" s="5">
        <f>VLOOKUP(P18,Log!$B$2:$C$8,2,)</f>
        <v>0.38</v>
      </c>
      <c r="R18" s="4">
        <v>3</v>
      </c>
      <c r="S18" s="34">
        <f>IF(OR(AND(P18="Motorbike",R18-R17&lt;Log!$C$13),AND(P18&lt;&gt;"Motorbike",R18-R17&lt;Log!$C$12)),0,IF(S17&lt;&gt;0,R18-R17,IF(S16=0,R18-R15,R18-R16)))</f>
        <v>0</v>
      </c>
      <c r="T18" s="34">
        <f t="shared" si="6"/>
        <v>0</v>
      </c>
    </row>
    <row r="19" spans="1:23" x14ac:dyDescent="0.25">
      <c r="A19" s="60">
        <v>51</v>
      </c>
      <c r="B19" s="56" t="s">
        <v>14</v>
      </c>
      <c r="C19" s="5">
        <f>VLOOKUP(B19,Log!$B$2:$C$8,2,)</f>
        <v>0.45</v>
      </c>
      <c r="D19" s="5">
        <v>9.68</v>
      </c>
      <c r="E19" s="34">
        <f>IF(OR(AND(B19="Motorbike",D19-D18&lt;Log!$C$13),AND(B19&lt;&gt;"Motorbike",D19-D18&lt;Log!$C$12)),0,IF(E18&lt;&gt;0,D19-D18,IF(E17=0,D19-D16,D19-D17)))</f>
        <v>1.4800000000000004</v>
      </c>
      <c r="F19" s="34">
        <f t="shared" si="4"/>
        <v>1.3320000000000005</v>
      </c>
      <c r="H19" s="16">
        <v>44</v>
      </c>
      <c r="I19" s="4" t="s">
        <v>12</v>
      </c>
      <c r="J19" s="5">
        <f>VLOOKUP(I19,Log!$B$2:$C$8,2,)</f>
        <v>1</v>
      </c>
      <c r="K19" s="4">
        <v>10.28</v>
      </c>
      <c r="L19" s="34">
        <f>IF(OR(AND(I19="Motorbike",K19-K18&lt;Log!$C$13),AND(I19&lt;&gt;"Motorbike",K19-K18&lt;Log!$C$12)),0,IF(L18&lt;&gt;0,K19-K18,IF(L17=0,K19-K16,K19-K17)))</f>
        <v>0</v>
      </c>
      <c r="M19" s="34">
        <f t="shared" si="5"/>
        <v>0</v>
      </c>
      <c r="N19" s="15"/>
      <c r="O19" s="60">
        <v>33</v>
      </c>
      <c r="P19" s="122" t="s">
        <v>13</v>
      </c>
      <c r="Q19" s="5">
        <f>VLOOKUP(P19,Log!$B$2:$C$8,2,)</f>
        <v>0.38</v>
      </c>
      <c r="R19" s="4">
        <v>3.48</v>
      </c>
      <c r="S19" s="34">
        <f>IF(OR(AND(P19="Motorbike",R19-R18&lt;Log!$C$13),AND(P19&lt;&gt;"Motorbike",R19-R18&lt;Log!$C$12)),0,IF(S18&lt;&gt;0,R19-R18,IF(S17=0,R19-R16,R19-R17)))</f>
        <v>0</v>
      </c>
      <c r="T19" s="34">
        <f t="shared" si="6"/>
        <v>0</v>
      </c>
    </row>
    <row r="20" spans="1:23" x14ac:dyDescent="0.25">
      <c r="A20" s="60">
        <v>61</v>
      </c>
      <c r="B20" s="56" t="s">
        <v>14</v>
      </c>
      <c r="C20" s="5">
        <f>VLOOKUP(B20,Log!$B$2:$C$8,2,)</f>
        <v>0.45</v>
      </c>
      <c r="D20" s="5">
        <v>10.119999999999999</v>
      </c>
      <c r="E20" s="34">
        <f>IF(OR(AND(B20="Motorbike",D20-D19&lt;Log!$C$13),AND(B20&lt;&gt;"Motorbike",D20-D19&lt;Log!$C$12)),0,IF(E19&lt;&gt;0,D20-D19,IF(E18=0,D20-D17,D20-D18)))</f>
        <v>0</v>
      </c>
      <c r="F20" s="34">
        <f t="shared" si="4"/>
        <v>0</v>
      </c>
      <c r="H20" s="16">
        <v>60</v>
      </c>
      <c r="I20" s="4" t="s">
        <v>12</v>
      </c>
      <c r="J20" s="5">
        <f>VLOOKUP(I20,Log!$B$2:$C$8,2,)</f>
        <v>1</v>
      </c>
      <c r="K20" s="4">
        <v>14.48</v>
      </c>
      <c r="L20" s="34">
        <f>IF(OR(AND(I20="Motorbike",K20-K19&lt;Log!$C$13),AND(I20&lt;&gt;"Motorbike",K20-K19&lt;Log!$C$12)),0,IF(L19&lt;&gt;0,K20-K19,IF(L18=0,K20-K17,K20-K18)))</f>
        <v>5.08</v>
      </c>
      <c r="M20" s="34">
        <f t="shared" si="5"/>
        <v>5.08</v>
      </c>
      <c r="N20" s="15"/>
      <c r="O20" s="60">
        <v>27</v>
      </c>
      <c r="P20" s="122" t="s">
        <v>13</v>
      </c>
      <c r="Q20" s="5">
        <f>VLOOKUP(P20,Log!$B$2:$C$8,2,)</f>
        <v>0.38</v>
      </c>
      <c r="R20" s="4">
        <v>4.4800000000000004</v>
      </c>
      <c r="S20" s="34">
        <f>IF(OR(AND(P20="Motorbike",R20-R19&lt;Log!$C$13),AND(P20&lt;&gt;"Motorbike",R20-R19&lt;Log!$C$12)),0,IF(S19&lt;&gt;0,R20-R19,IF(S18=0,R20-R17,R20-R18)))</f>
        <v>1.6800000000000006</v>
      </c>
      <c r="T20" s="34">
        <f t="shared" si="6"/>
        <v>0.63840000000000019</v>
      </c>
    </row>
    <row r="21" spans="1:23" ht="15.75" thickBot="1" x14ac:dyDescent="0.3">
      <c r="A21" s="61">
        <v>38</v>
      </c>
      <c r="B21" s="56" t="s">
        <v>12</v>
      </c>
      <c r="C21" s="5">
        <f>VLOOKUP(B21,Log!$B$2:$C$8,2,)</f>
        <v>1</v>
      </c>
      <c r="D21" s="5">
        <v>11.68</v>
      </c>
      <c r="E21" s="34">
        <f>IF(OR(AND(B21="Motorbike",D21-D20&lt;Log!$C$13),AND(B21&lt;&gt;"Motorbike",D21-D20&lt;Log!$C$12)),0,IF(E20&lt;&gt;0,D21-D20,IF(E19=0,D21-D18,D21-D19)))</f>
        <v>2</v>
      </c>
      <c r="F21" s="34">
        <f t="shared" si="4"/>
        <v>2</v>
      </c>
      <c r="H21" s="63">
        <v>80</v>
      </c>
      <c r="I21" s="4" t="s">
        <v>12</v>
      </c>
      <c r="J21" s="5">
        <f>VLOOKUP(I21,Log!$B$2:$C$8,2,)</f>
        <v>1</v>
      </c>
      <c r="K21" s="4">
        <v>19.48</v>
      </c>
      <c r="L21" s="34">
        <f>IF(OR(AND(I21="Motorbike",K21-K20&lt;Log!$C$13),AND(I21&lt;&gt;"Motorbike",K21-K20&lt;Log!$C$12)),0,IF(L20&lt;&gt;0,K21-K20,IF(L19=0,K21-K18,K21-K19)))</f>
        <v>5</v>
      </c>
      <c r="M21" s="34">
        <f t="shared" si="5"/>
        <v>5</v>
      </c>
      <c r="N21" s="15"/>
      <c r="O21" s="60">
        <v>46</v>
      </c>
      <c r="P21" s="56" t="s">
        <v>14</v>
      </c>
      <c r="Q21" s="5">
        <f>VLOOKUP(P21,Log!$B$2:$C$8,2,)</f>
        <v>0.45</v>
      </c>
      <c r="R21" s="4">
        <v>6.48</v>
      </c>
      <c r="S21" s="34">
        <f>IF(OR(AND(P21="Motorbike",R21-R20&lt;Log!$C$13),AND(P21&lt;&gt;"Motorbike",R21-R20&lt;Log!$C$12)),0,IF(S20&lt;&gt;0,R21-R20,IF(S19=0,R21-R18,R21-R19)))</f>
        <v>2</v>
      </c>
      <c r="T21" s="34">
        <f t="shared" si="6"/>
        <v>1.8</v>
      </c>
    </row>
    <row r="22" spans="1:23" x14ac:dyDescent="0.25">
      <c r="A22" s="58">
        <v>79</v>
      </c>
      <c r="B22" s="4" t="s">
        <v>12</v>
      </c>
      <c r="C22" s="5">
        <f>VLOOKUP(B22,Log!$B$2:$C$8,2,)</f>
        <v>1</v>
      </c>
      <c r="D22" s="5">
        <v>14.8</v>
      </c>
      <c r="E22" s="34">
        <f>IF(OR(AND(B22="Motorbike",D22-D21&lt;Log!$C$13),AND(B22&lt;&gt;"Motorbike",D22-D21&lt;Log!$C$12)),0,IF(E21&lt;&gt;0,D22-D21,IF(E20=0,D22-D19,D22-D20)))</f>
        <v>3.120000000000001</v>
      </c>
      <c r="F22" s="34">
        <f t="shared" si="4"/>
        <v>3.120000000000001</v>
      </c>
      <c r="H22" s="65">
        <v>96</v>
      </c>
      <c r="I22" s="56" t="s">
        <v>12</v>
      </c>
      <c r="J22" s="5">
        <f>VLOOKUP(I22,Log!$B$2:$C$8,2,)</f>
        <v>1</v>
      </c>
      <c r="K22" s="4">
        <v>21.4</v>
      </c>
      <c r="L22" s="34">
        <f>IF(OR(AND(I22="Motorbike",K22-K21&lt;Log!$C$13),AND(I22&lt;&gt;"Motorbike",K22-K21&lt;Log!$C$12)),0,IF(L21&lt;&gt;0,K22-K21,IF(L20=0,K22-K19,K22-K20)))</f>
        <v>1.9199999999999982</v>
      </c>
      <c r="M22" s="109">
        <f t="shared" si="5"/>
        <v>1.9199999999999982</v>
      </c>
      <c r="N22" s="15"/>
      <c r="O22" s="60">
        <v>37</v>
      </c>
      <c r="P22" s="56" t="s">
        <v>14</v>
      </c>
      <c r="Q22" s="5">
        <f>VLOOKUP(P22,Log!$B$2:$C$8,2,)</f>
        <v>0.45</v>
      </c>
      <c r="R22" s="4">
        <v>7.32</v>
      </c>
      <c r="S22" s="34">
        <f>IF(OR(AND(P22="Motorbike",R22-R21&lt;Log!$C$13),AND(P22&lt;&gt;"Motorbike",R22-R21&lt;Log!$C$12)),0,IF(S21&lt;&gt;0,R22-R21,IF(S20=0,R22-R19,R22-R20)))</f>
        <v>0</v>
      </c>
      <c r="T22" s="34">
        <f t="shared" si="6"/>
        <v>0</v>
      </c>
    </row>
    <row r="23" spans="1:23" ht="15.75" thickBot="1" x14ac:dyDescent="0.3">
      <c r="A23" s="51">
        <v>95</v>
      </c>
      <c r="B23" s="4" t="s">
        <v>13</v>
      </c>
      <c r="C23" s="5">
        <f>VLOOKUP(B23,Log!$B$2:$C$8,2,)</f>
        <v>0.38</v>
      </c>
      <c r="D23" s="5">
        <v>16.600000000000001</v>
      </c>
      <c r="E23" s="34">
        <f>IF(OR(AND(B23="Motorbike",D23-D22&lt;Log!$C$13),AND(B23&lt;&gt;"Motorbike",D23-D22&lt;Log!$C$12)),0,IF(E22&lt;&gt;0,D23-D22,IF(E21=0,D23-D20,D23-D21)))</f>
        <v>1.8000000000000007</v>
      </c>
      <c r="F23" s="34">
        <f t="shared" si="4"/>
        <v>0.68400000000000027</v>
      </c>
      <c r="H23" s="73">
        <v>86</v>
      </c>
      <c r="I23" s="56" t="s">
        <v>12</v>
      </c>
      <c r="J23" s="5">
        <f>VLOOKUP(I23,Log!$B$2:$C$8,2,)</f>
        <v>1</v>
      </c>
      <c r="K23" s="4">
        <v>22.52</v>
      </c>
      <c r="L23" s="34">
        <f>IF(OR(AND(I23="Motorbike",K23-K22&lt;Log!$C$13),AND(I23&lt;&gt;"Motorbike",K23-K22&lt;Log!$C$12)),0,IF(L22&lt;&gt;0,K23-K22,IF(L21=0,K23-K20,K23-K21)))</f>
        <v>1.120000000000001</v>
      </c>
      <c r="M23" s="109">
        <f t="shared" si="5"/>
        <v>2.240000000000002</v>
      </c>
      <c r="N23" s="15"/>
      <c r="O23" s="60">
        <v>63</v>
      </c>
      <c r="P23" s="62" t="s">
        <v>13</v>
      </c>
      <c r="Q23" s="5">
        <f>VLOOKUP(P23,Log!$B$2:$C$8,2,)</f>
        <v>0.38</v>
      </c>
      <c r="R23" s="4">
        <v>10.119999999999999</v>
      </c>
      <c r="S23" s="34">
        <f>IF(OR(AND(P23="Motorbike",R23-R22&lt;Log!$C$13),AND(P23&lt;&gt;"Motorbike",R23-R22&lt;Log!$C$12)),0,IF(S22&lt;&gt;0,R23-R22,IF(S21=0,R23-R20,R23-R21)))</f>
        <v>3.6399999999999988</v>
      </c>
      <c r="T23" s="34">
        <f t="shared" si="6"/>
        <v>1.3831999999999995</v>
      </c>
    </row>
    <row r="24" spans="1:23" ht="15.75" thickBot="1" x14ac:dyDescent="0.3">
      <c r="A24" s="101">
        <v>54</v>
      </c>
      <c r="B24" s="56" t="s">
        <v>12</v>
      </c>
      <c r="C24" s="5">
        <f>VLOOKUP(B24,Log!$B$2:$C$8,2,)</f>
        <v>1</v>
      </c>
      <c r="D24" s="5">
        <v>17.8</v>
      </c>
      <c r="E24" s="34">
        <f>IF(OR(AND(B24="Motorbike",D24-D23&lt;Log!$C$13),AND(B24&lt;&gt;"Motorbike",D24-D23&lt;Log!$C$12)),0,IF(E23&lt;&gt;0,D24-D23,IF(E22=0,D24-D21,D24-D22)))</f>
        <v>1.1999999999999993</v>
      </c>
      <c r="F24" s="34">
        <f t="shared" si="4"/>
        <v>1.1999999999999993</v>
      </c>
      <c r="H24" s="73">
        <v>109</v>
      </c>
      <c r="I24" s="56" t="s">
        <v>12</v>
      </c>
      <c r="J24" s="5">
        <f>VLOOKUP(I24,Log!$B$2:$C$8,2,)</f>
        <v>1</v>
      </c>
      <c r="K24" s="4">
        <v>23.12</v>
      </c>
      <c r="L24" s="34">
        <f>IF(OR(AND(I24="Motorbike",K24-K23&lt;Log!$C$13),AND(I24&lt;&gt;"Motorbike",K24-K23&lt;Log!$C$12)),0,IF(L23&lt;&gt;0,K24-K23,IF(L22=0,K24-K21,K24-K22)))</f>
        <v>0</v>
      </c>
      <c r="M24" s="109">
        <f t="shared" si="5"/>
        <v>0</v>
      </c>
      <c r="N24" s="15"/>
      <c r="O24" s="61">
        <v>52</v>
      </c>
      <c r="P24" s="56" t="s">
        <v>12</v>
      </c>
      <c r="Q24" s="5">
        <f>VLOOKUP(P24,Log!$B$2:$C$8,2,)</f>
        <v>1</v>
      </c>
      <c r="R24" s="4">
        <v>11.32</v>
      </c>
      <c r="S24" s="34">
        <f>IF(OR(AND(P24="Motorbike",R24-R23&lt;Log!$C$13),AND(P24&lt;&gt;"Motorbike",R24-R23&lt;Log!$C$12)),0,IF(S23&lt;&gt;0,R24-R23,IF(S22=0,R24-R21,R24-R22)))</f>
        <v>1.2000000000000011</v>
      </c>
      <c r="T24" s="34">
        <f t="shared" si="6"/>
        <v>1.2000000000000011</v>
      </c>
    </row>
    <row r="25" spans="1:23" x14ac:dyDescent="0.25">
      <c r="A25" s="60">
        <v>93</v>
      </c>
      <c r="B25" s="56" t="s">
        <v>12</v>
      </c>
      <c r="C25" s="5">
        <f>VLOOKUP(B25,Log!$B$2:$C$8,2,)</f>
        <v>1</v>
      </c>
      <c r="D25" s="5">
        <v>20.28</v>
      </c>
      <c r="E25" s="34">
        <f>IF(OR(AND(B25="Motorbike",D25-D24&lt;Log!$C$13),AND(B25&lt;&gt;"Motorbike",D25-D24&lt;Log!$C$12)),0,IF(E24&lt;&gt;0,D25-D24,IF(E23=0,D25-D22,D25-D23)))</f>
        <v>2.4800000000000004</v>
      </c>
      <c r="F25" s="109">
        <f t="shared" si="4"/>
        <v>2.4800000000000004</v>
      </c>
      <c r="H25" s="73">
        <v>142</v>
      </c>
      <c r="I25" s="56" t="s">
        <v>14</v>
      </c>
      <c r="J25" s="5">
        <f>VLOOKUP(I25,Log!$B$2:$C$8,2,)</f>
        <v>0.45</v>
      </c>
      <c r="K25" s="4">
        <v>25.32</v>
      </c>
      <c r="L25" s="34">
        <f>IF(OR(AND(I25="Motorbike",K25-K24&lt;Log!$C$13),AND(I25&lt;&gt;"Motorbike",K25-K24&lt;Log!$C$12)),0,IF(L24&lt;&gt;0,K25-K24,IF(L23=0,K25-K22,K25-K23)))</f>
        <v>2.8000000000000007</v>
      </c>
      <c r="M25" s="109">
        <f t="shared" si="5"/>
        <v>1.2600000000000005</v>
      </c>
      <c r="N25" s="15"/>
      <c r="O25" s="58">
        <v>77</v>
      </c>
      <c r="P25" s="4" t="s">
        <v>13</v>
      </c>
      <c r="Q25" s="5">
        <f>VLOOKUP(P25,Log!$B$2:$C$8,2,)</f>
        <v>0.38</v>
      </c>
      <c r="R25" s="4">
        <v>12.48</v>
      </c>
      <c r="S25" s="34">
        <f>IF(OR(AND(P25="Motorbike",R25-R24&lt;Log!$C$13),AND(P25&lt;&gt;"Motorbike",R25-R24&lt;Log!$C$12)),0,IF(S24&lt;&gt;0,R25-R24,IF(S23=0,R25-R22,R25-R23)))</f>
        <v>1.1600000000000001</v>
      </c>
      <c r="T25" s="34">
        <f t="shared" si="6"/>
        <v>0.44080000000000008</v>
      </c>
    </row>
    <row r="26" spans="1:23" x14ac:dyDescent="0.25">
      <c r="A26" s="60">
        <v>100</v>
      </c>
      <c r="B26" s="56" t="s">
        <v>12</v>
      </c>
      <c r="C26" s="5">
        <f>VLOOKUP(B26,Log!$B$2:$C$8,2,)</f>
        <v>1</v>
      </c>
      <c r="D26" s="5">
        <v>23.88</v>
      </c>
      <c r="E26" s="34">
        <f>IF(OR(AND(B26="Motorbike",D26-D25&lt;Log!$C$13),AND(B26&lt;&gt;"Motorbike",D26-D25&lt;Log!$C$12)),0,IF(E25&lt;&gt;0,D26-D25,IF(E24=0,D26-D23,D26-D24)))</f>
        <v>3.5999999999999979</v>
      </c>
      <c r="F26" s="109">
        <f t="shared" si="4"/>
        <v>3.5999999999999979</v>
      </c>
      <c r="H26" s="73">
        <v>104</v>
      </c>
      <c r="I26" s="56" t="s">
        <v>12</v>
      </c>
      <c r="J26" s="5">
        <f>VLOOKUP(I26,Log!$B$2:$C$8,2,)</f>
        <v>1</v>
      </c>
      <c r="K26" s="4">
        <v>27.32</v>
      </c>
      <c r="L26" s="34">
        <f>IF(OR(AND(I26="Motorbike",K26-K25&lt;Log!$C$13),AND(I26&lt;&gt;"Motorbike",K26-K25&lt;Log!$C$12)),0,IF(L25&lt;&gt;0,K26-K25,IF(L24=0,K26-K23,K26-K24)))</f>
        <v>2</v>
      </c>
      <c r="M26" s="109">
        <f t="shared" si="5"/>
        <v>2</v>
      </c>
      <c r="N26" s="15"/>
      <c r="O26" s="4">
        <v>70</v>
      </c>
      <c r="P26" s="4" t="s">
        <v>12</v>
      </c>
      <c r="Q26" s="5">
        <f>VLOOKUP(P26,Log!$B$2:$C$8,2,)</f>
        <v>1</v>
      </c>
      <c r="R26" s="4">
        <v>13.88</v>
      </c>
      <c r="S26" s="34">
        <f>IF(OR(AND(P26="Motorbike",R26-R25&lt;Log!$C$13),AND(P26&lt;&gt;"Motorbike",R26-R25&lt;Log!$C$12)),0,IF(S25&lt;&gt;0,R26-R25,IF(S24=0,R26-R23,R26-R24)))</f>
        <v>1.4000000000000004</v>
      </c>
      <c r="T26" s="34">
        <f t="shared" si="6"/>
        <v>1.4000000000000004</v>
      </c>
    </row>
    <row r="27" spans="1:23" x14ac:dyDescent="0.25">
      <c r="A27" s="60">
        <v>124</v>
      </c>
      <c r="B27" s="56" t="s">
        <v>12</v>
      </c>
      <c r="C27" s="5">
        <f>VLOOKUP(B27,Log!$B$2:$C$8,2,)</f>
        <v>1</v>
      </c>
      <c r="D27" s="5">
        <v>25.8</v>
      </c>
      <c r="E27" s="34">
        <f>IF(OR(AND(B27="Motorbike",D27-D26&lt;Log!$C$13),AND(B27&lt;&gt;"Motorbike",D27-D26&lt;Log!$C$12)),0,IF(E26&lt;&gt;0,D27-D26,IF(E25=0,D27-D24,D27-D25)))</f>
        <v>1.9200000000000017</v>
      </c>
      <c r="F27" s="109">
        <f t="shared" si="4"/>
        <v>1.9200000000000017</v>
      </c>
      <c r="H27" s="73">
        <v>133</v>
      </c>
      <c r="I27" s="56" t="s">
        <v>12</v>
      </c>
      <c r="J27" s="5">
        <f>VLOOKUP(I27,Log!$B$2:$C$8,2,)</f>
        <v>1</v>
      </c>
      <c r="K27" s="4">
        <v>28.68</v>
      </c>
      <c r="L27" s="34">
        <f>IF(OR(AND(I27="Motorbike",K27-K26&lt;Log!$C$13),AND(I27&lt;&gt;"Motorbike",K27-K26&lt;Log!$C$12)),0,IF(L26&lt;&gt;0,K27-K26,IF(L25=0,K27-K24,K27-K25)))</f>
        <v>1.3599999999999994</v>
      </c>
      <c r="M27" s="109">
        <f t="shared" si="5"/>
        <v>1.3599999999999994</v>
      </c>
      <c r="N27" s="15"/>
      <c r="O27" s="4">
        <v>73</v>
      </c>
      <c r="P27" s="4" t="s">
        <v>14</v>
      </c>
      <c r="Q27" s="5">
        <f>VLOOKUP(P27,Log!$B$2:$C$8,2,)</f>
        <v>0.45</v>
      </c>
      <c r="R27" s="4">
        <v>15.68</v>
      </c>
      <c r="S27" s="34">
        <f>IF(OR(AND(P27="Motorbike",R27-R26&lt;Log!$C$13),AND(P27&lt;&gt;"Motorbike",R27-R26&lt;Log!$C$12)),0,IF(S26&lt;&gt;0,R27-R26,IF(S25=0,R27-R24,R27-R25)))</f>
        <v>1.7999999999999989</v>
      </c>
      <c r="T27" s="34">
        <f t="shared" si="6"/>
        <v>0.8099999999999995</v>
      </c>
    </row>
    <row r="28" spans="1:23" ht="15.75" thickBot="1" x14ac:dyDescent="0.3">
      <c r="A28" s="60">
        <v>183</v>
      </c>
      <c r="B28" s="56" t="s">
        <v>12</v>
      </c>
      <c r="C28" s="5">
        <f>VLOOKUP(B28,Log!$B$2:$C$8,2,)</f>
        <v>1</v>
      </c>
      <c r="D28" s="5">
        <v>27.8</v>
      </c>
      <c r="E28" s="34">
        <f>IF(OR(AND(B28="Motorbike",D28-D27&lt;Log!$C$13),AND(B28&lt;&gt;"Motorbike",D28-D27&lt;Log!$C$12)),0,IF(E27&lt;&gt;0,D28-D27,IF(E26=0,D28-D25,D28-D26)))</f>
        <v>2</v>
      </c>
      <c r="F28" s="109">
        <f t="shared" si="4"/>
        <v>4</v>
      </c>
      <c r="H28" s="66">
        <v>192</v>
      </c>
      <c r="I28" s="56" t="s">
        <v>12</v>
      </c>
      <c r="J28" s="5">
        <f>VLOOKUP(I28,Log!$B$2:$C$8,2,)</f>
        <v>1</v>
      </c>
      <c r="K28" s="4">
        <v>30.92</v>
      </c>
      <c r="L28" s="34">
        <f>IF(OR(AND(I28="Motorbike",K28-K27&lt;Log!$C$13),AND(I28&lt;&gt;"Motorbike",K28-K27&lt;Log!$C$12)),0,IF(L27&lt;&gt;0,K28-K27,IF(L26=0,K28-K25,K28-K26)))</f>
        <v>2.240000000000002</v>
      </c>
      <c r="M28" s="109">
        <f t="shared" si="5"/>
        <v>2.240000000000002</v>
      </c>
      <c r="N28" s="15"/>
      <c r="O28" s="51">
        <v>111</v>
      </c>
      <c r="P28" s="4" t="s">
        <v>13</v>
      </c>
      <c r="Q28" s="5">
        <f>VLOOKUP(P28,Log!$B$2:$C$8,2,)</f>
        <v>0.38</v>
      </c>
      <c r="R28" s="4">
        <v>16.600000000000001</v>
      </c>
      <c r="S28" s="34">
        <f>IF(OR(AND(P28="Motorbike",R28-R27&lt;Log!$C$13),AND(P28&lt;&gt;"Motorbike",R28-R27&lt;Log!$C$12)),0,IF(S27&lt;&gt;0,R28-R27,IF(S26=0,R28-R25,R28-R26)))</f>
        <v>0.92000000000000171</v>
      </c>
      <c r="T28" s="34">
        <f t="shared" si="6"/>
        <v>0.34960000000000063</v>
      </c>
    </row>
    <row r="29" spans="1:23" x14ac:dyDescent="0.25">
      <c r="A29" s="60">
        <v>168</v>
      </c>
      <c r="B29" s="56" t="s">
        <v>12</v>
      </c>
      <c r="C29" s="5">
        <f>VLOOKUP(B29,Log!$B$2:$C$8,2,)</f>
        <v>1</v>
      </c>
      <c r="D29" s="5">
        <v>28.2</v>
      </c>
      <c r="E29" s="34">
        <f>IF(OR(AND(B29="Motorbike",D29-D28&lt;Log!$C$13),AND(B29&lt;&gt;"Motorbike",D29-D28&lt;Log!$C$12)),0,IF(E28&lt;&gt;0,D29-D28,IF(E27=0,D29-D26,D29-D27)))</f>
        <v>0</v>
      </c>
      <c r="F29" s="109">
        <f t="shared" si="4"/>
        <v>0</v>
      </c>
      <c r="H29" s="64">
        <v>218</v>
      </c>
      <c r="I29" s="4" t="s">
        <v>12</v>
      </c>
      <c r="J29" s="5">
        <f>VLOOKUP(I29,Log!$B$2:$C$8,2,)</f>
        <v>1</v>
      </c>
      <c r="K29" s="4">
        <v>34.72</v>
      </c>
      <c r="L29" s="34">
        <f>IF(OR(AND(I29="Motorbike",K29-K28&lt;Log!$C$13),AND(I29&lt;&gt;"Motorbike",K29-K28&lt;Log!$C$12)),0,IF(L28&lt;&gt;0,K29-K28,IF(L27=0,K29-K26,K29-K27)))</f>
        <v>3.7999999999999972</v>
      </c>
      <c r="M29" s="34">
        <f t="shared" si="5"/>
        <v>3.7999999999999972</v>
      </c>
      <c r="N29" s="15"/>
      <c r="O29" s="59">
        <v>126</v>
      </c>
      <c r="P29" s="56" t="s">
        <v>15</v>
      </c>
      <c r="Q29" s="5">
        <f>VLOOKUP(P29,Log!$B$2:$C$8,2,)</f>
        <v>0.33</v>
      </c>
      <c r="R29" s="4">
        <v>18.8</v>
      </c>
      <c r="S29" s="34">
        <f>IF(OR(AND(P29="Motorbike",R29-R28&lt;Log!$C$13),AND(P29&lt;&gt;"Motorbike",R29-R28&lt;Log!$C$12)),0,IF(S28&lt;&gt;0,R29-R28,IF(S27=0,R29-R26,R29-R27)))</f>
        <v>2.1999999999999993</v>
      </c>
      <c r="T29" s="34">
        <f t="shared" si="6"/>
        <v>0.72599999999999976</v>
      </c>
      <c r="W29" s="11"/>
    </row>
    <row r="30" spans="1:23" x14ac:dyDescent="0.25">
      <c r="A30" s="60">
        <v>181</v>
      </c>
      <c r="B30" s="56" t="s">
        <v>12</v>
      </c>
      <c r="C30" s="5">
        <f>VLOOKUP(B30,Log!$B$2:$C$8,2,)</f>
        <v>1</v>
      </c>
      <c r="D30" s="5">
        <v>30.32</v>
      </c>
      <c r="E30" s="34">
        <f>IF(OR(AND(B30="Motorbike",D30-D29&lt;Log!$C$13),AND(B30&lt;&gt;"Motorbike",D30-D29&lt;Log!$C$12)),0,IF(E29&lt;&gt;0,D30-D29,IF(E28=0,D30-D27,D30-D28)))</f>
        <v>2.5199999999999996</v>
      </c>
      <c r="F30" s="109">
        <f t="shared" si="4"/>
        <v>2.5199999999999996</v>
      </c>
      <c r="H30" s="16">
        <v>233</v>
      </c>
      <c r="I30" s="4" t="s">
        <v>13</v>
      </c>
      <c r="J30" s="5">
        <f>VLOOKUP(I30,Log!$B$2:$C$8,2,)</f>
        <v>0.38</v>
      </c>
      <c r="K30" s="4">
        <v>35.4</v>
      </c>
      <c r="L30" s="34">
        <f>IF(OR(AND(I30="Motorbike",K30-K29&lt;Log!$C$13),AND(I30&lt;&gt;"Motorbike",K30-K29&lt;Log!$C$12)),0,IF(L29&lt;&gt;0,K30-K29,IF(L28=0,K30-K27,K30-K28)))</f>
        <v>0.67999999999999972</v>
      </c>
      <c r="M30" s="34">
        <f t="shared" si="5"/>
        <v>0.25839999999999991</v>
      </c>
      <c r="N30" s="15"/>
      <c r="O30" s="60">
        <v>89</v>
      </c>
      <c r="P30" s="56" t="s">
        <v>12</v>
      </c>
      <c r="Q30" s="5">
        <f>VLOOKUP(P30,Log!$B$2:$C$8,2,)</f>
        <v>1</v>
      </c>
      <c r="R30" s="4">
        <v>19.920000000000002</v>
      </c>
      <c r="S30" s="34">
        <f>IF(OR(AND(P30="Motorbike",R30-R29&lt;Log!$C$13),AND(P30&lt;&gt;"Motorbike",R30-R29&lt;Log!$C$12)),0,IF(S29&lt;&gt;0,R30-R29,IF(S28=0,R30-R27,R30-R28)))</f>
        <v>1.120000000000001</v>
      </c>
      <c r="T30" s="109">
        <f t="shared" si="6"/>
        <v>1.120000000000001</v>
      </c>
      <c r="W30" s="11"/>
    </row>
    <row r="31" spans="1:23" x14ac:dyDescent="0.25">
      <c r="A31" s="60">
        <v>176</v>
      </c>
      <c r="B31" s="56" t="s">
        <v>12</v>
      </c>
      <c r="C31" s="5">
        <f>VLOOKUP(B31,Log!$B$2:$C$8,2,)</f>
        <v>1</v>
      </c>
      <c r="D31" s="5">
        <v>31.72</v>
      </c>
      <c r="E31" s="34">
        <f>IF(OR(AND(B31="Motorbike",D31-D30&lt;Log!$C$13),AND(B31&lt;&gt;"Motorbike",D31-D30&lt;Log!$C$12)),0,IF(E30&lt;&gt;0,D31-D30,IF(E29=0,D31-D28,D31-D29)))</f>
        <v>1.3999999999999986</v>
      </c>
      <c r="F31" s="109">
        <f t="shared" si="4"/>
        <v>1.3999999999999986</v>
      </c>
      <c r="H31" s="32">
        <v>204</v>
      </c>
      <c r="I31" s="4" t="s">
        <v>12</v>
      </c>
      <c r="J31" s="5">
        <f>VLOOKUP(I31,Log!$B$2:$C$8,2,)</f>
        <v>1</v>
      </c>
      <c r="K31" s="4">
        <v>36.92</v>
      </c>
      <c r="L31" s="34">
        <f>IF(OR(AND(I31="Motorbike",K31-K30&lt;Log!$C$13),AND(I31&lt;&gt;"Motorbike",K31-K30&lt;Log!$C$12)),0,IF(L30&lt;&gt;0,K31-K30,IF(L29=0,K31-K28,K31-K29)))</f>
        <v>1.5200000000000031</v>
      </c>
      <c r="M31" s="34">
        <f t="shared" si="5"/>
        <v>3.0400000000000063</v>
      </c>
      <c r="N31" s="15"/>
      <c r="O31" s="60">
        <v>141</v>
      </c>
      <c r="P31" s="56" t="s">
        <v>14</v>
      </c>
      <c r="Q31" s="5">
        <f>VLOOKUP(P31,Log!$B$2:$C$8,2,)</f>
        <v>0.45</v>
      </c>
      <c r="R31" s="4">
        <v>22.08</v>
      </c>
      <c r="S31" s="34">
        <f>IF(OR(AND(P31="Motorbike",R31-R30&lt;Log!$C$13),AND(P31&lt;&gt;"Motorbike",R31-R30&lt;Log!$C$12)),0,IF(S30&lt;&gt;0,R31-R30,IF(S29=0,R31-R28,R31-R29)))</f>
        <v>2.1599999999999966</v>
      </c>
      <c r="T31" s="109">
        <f t="shared" si="6"/>
        <v>0.97199999999999853</v>
      </c>
      <c r="W31" s="11"/>
    </row>
    <row r="32" spans="1:23" x14ac:dyDescent="0.25">
      <c r="A32" s="60">
        <v>222</v>
      </c>
      <c r="B32" s="56" t="s">
        <v>13</v>
      </c>
      <c r="C32" s="5">
        <f>VLOOKUP(B32,Log!$B$2:$C$8,2,)</f>
        <v>0.38</v>
      </c>
      <c r="D32" s="5">
        <v>32.799999999999997</v>
      </c>
      <c r="E32" s="34">
        <f>IF(OR(AND(B32="Motorbike",D32-D31&lt;Log!$C$13),AND(B32&lt;&gt;"Motorbike",D32-D31&lt;Log!$C$12)),0,IF(E31&lt;&gt;0,D32-D31,IF(E30=0,D32-D29,D32-D30)))</f>
        <v>1.0799999999999983</v>
      </c>
      <c r="F32" s="109">
        <f t="shared" si="4"/>
        <v>0.89639999999999864</v>
      </c>
      <c r="H32" s="7">
        <v>235</v>
      </c>
      <c r="I32" s="33" t="s">
        <v>12</v>
      </c>
      <c r="J32" s="5">
        <f>VLOOKUP(I32,Log!$B$2:$C$8,2,)</f>
        <v>1</v>
      </c>
      <c r="K32" s="4">
        <v>37.28</v>
      </c>
      <c r="L32" s="34">
        <f>IF(OR(AND(I32="Motorbike",K32-K31&lt;Log!$C$13),AND(I32&lt;&gt;"Motorbike",K32-K31&lt;Log!$C$12)),0,IF(L31&lt;&gt;0,K32-K31,IF(L30=0,K32-K29,K32-K30)))</f>
        <v>0</v>
      </c>
      <c r="M32" s="34">
        <f t="shared" si="5"/>
        <v>0</v>
      </c>
      <c r="N32" s="15"/>
      <c r="O32" s="60">
        <v>112</v>
      </c>
      <c r="P32" s="56" t="s">
        <v>12</v>
      </c>
      <c r="Q32" s="5">
        <f>VLOOKUP(P32,Log!$B$2:$C$8,2,)</f>
        <v>1</v>
      </c>
      <c r="R32" s="4">
        <v>23.8</v>
      </c>
      <c r="S32" s="34">
        <f>IF(OR(AND(P32="Motorbike",R32-R31&lt;Log!$C$13),AND(P32&lt;&gt;"Motorbike",R32-R31&lt;Log!$C$12)),0,IF(S31&lt;&gt;0,R32-R31,IF(S30=0,R32-R29,R32-R30)))</f>
        <v>1.7200000000000024</v>
      </c>
      <c r="T32" s="109">
        <f t="shared" si="6"/>
        <v>1.7200000000000024</v>
      </c>
      <c r="W32" s="11"/>
    </row>
    <row r="33" spans="1:23" x14ac:dyDescent="0.25">
      <c r="A33" s="60">
        <v>207</v>
      </c>
      <c r="B33" s="56" t="s">
        <v>14</v>
      </c>
      <c r="C33" s="5">
        <f>VLOOKUP(B33,Log!$B$2:$C$8,2,)</f>
        <v>0.45</v>
      </c>
      <c r="D33" s="5">
        <v>32.92</v>
      </c>
      <c r="E33" s="34">
        <f>IF(OR(AND(B33="Motorbike",D33-D32&lt;Log!$C$13),AND(B33&lt;&gt;"Motorbike",D33-D32&lt;Log!$C$12)),0,IF(E32&lt;&gt;0,D33-D32,IF(E31=0,D33-D30,D33-D31)))</f>
        <v>0</v>
      </c>
      <c r="F33" s="109">
        <f t="shared" si="4"/>
        <v>0</v>
      </c>
      <c r="H33" s="52"/>
      <c r="I33" s="53"/>
      <c r="J33" s="15"/>
      <c r="L33" s="54"/>
      <c r="M33" s="54"/>
      <c r="N33" s="15"/>
      <c r="O33" s="60">
        <v>156</v>
      </c>
      <c r="P33" s="122" t="s">
        <v>13</v>
      </c>
      <c r="Q33" s="5">
        <f>VLOOKUP(P33,Log!$B$2:$C$8,2,)</f>
        <v>0.38</v>
      </c>
      <c r="R33" s="4">
        <v>24.72</v>
      </c>
      <c r="S33" s="34">
        <f>IF(OR(AND(P33="Motorbike",R33-R32&lt;Log!$C$13),AND(P33&lt;&gt;"Motorbike",R33-R32&lt;Log!$C$12)),0,IF(S32&lt;&gt;0,R33-R32,IF(S31=0,R33-R30,R33-R31)))</f>
        <v>0.91999999999999815</v>
      </c>
      <c r="T33" s="109">
        <f t="shared" si="6"/>
        <v>1.048799999999998</v>
      </c>
      <c r="W33" s="11"/>
    </row>
    <row r="34" spans="1:23" x14ac:dyDescent="0.25">
      <c r="A34" s="60">
        <v>208</v>
      </c>
      <c r="B34" s="56" t="s">
        <v>12</v>
      </c>
      <c r="C34" s="5">
        <f>VLOOKUP(B34,Log!$B$2:$C$8,2,)</f>
        <v>1</v>
      </c>
      <c r="D34" s="5">
        <v>34.08</v>
      </c>
      <c r="E34" s="34">
        <f>IF(OR(AND(B34="Motorbike",D34-D33&lt;Log!$C$13),AND(B34&lt;&gt;"Motorbike",D34-D33&lt;Log!$C$12)),0,IF(E33&lt;&gt;0,D34-D33,IF(E32=0,D34-D31,D34-D32)))</f>
        <v>1.2800000000000011</v>
      </c>
      <c r="F34" s="109">
        <f t="shared" si="4"/>
        <v>1.2800000000000011</v>
      </c>
      <c r="H34" s="52"/>
      <c r="I34" s="53"/>
      <c r="J34" s="15"/>
      <c r="L34" s="54"/>
      <c r="M34" s="54"/>
      <c r="N34" s="15"/>
      <c r="O34" s="60">
        <v>184</v>
      </c>
      <c r="P34" s="122" t="s">
        <v>13</v>
      </c>
      <c r="Q34" s="5">
        <f>VLOOKUP(P34,Log!$B$2:$C$8,2,)</f>
        <v>0.38</v>
      </c>
      <c r="R34" s="4">
        <v>25</v>
      </c>
      <c r="S34" s="34">
        <f>IF(OR(AND(P34="Motorbike",R34-R33&lt;Log!$C$13),AND(P34&lt;&gt;"Motorbike",R34-R33&lt;Log!$C$12)),0,IF(S33&lt;&gt;0,R34-R33,IF(S32=0,R34-R31,R34-R32)))</f>
        <v>0</v>
      </c>
      <c r="T34" s="109">
        <f t="shared" si="6"/>
        <v>0</v>
      </c>
      <c r="W34" s="11"/>
    </row>
    <row r="35" spans="1:23" x14ac:dyDescent="0.25">
      <c r="A35" s="60">
        <v>203</v>
      </c>
      <c r="B35" s="56" t="s">
        <v>14</v>
      </c>
      <c r="C35" s="5">
        <f>VLOOKUP(B35,Log!$B$2:$C$8,2,)</f>
        <v>0.45</v>
      </c>
      <c r="D35" s="5">
        <v>35.08</v>
      </c>
      <c r="E35" s="34">
        <f>IF(OR(AND(B35="Motorbike",D35-D34&lt;Log!$C$13),AND(B35&lt;&gt;"Motorbike",D35-D34&lt;Log!$C$12)),0,IF(E34&lt;&gt;0,D35-D34,IF(E33=0,D35-D32,D35-D33)))</f>
        <v>1</v>
      </c>
      <c r="F35" s="109">
        <f t="shared" si="4"/>
        <v>0.45</v>
      </c>
      <c r="H35" s="55"/>
      <c r="J35" s="15"/>
      <c r="L35" s="54"/>
      <c r="M35" s="54"/>
      <c r="O35" s="60">
        <v>144</v>
      </c>
      <c r="P35" s="122" t="s">
        <v>13</v>
      </c>
      <c r="Q35" s="5">
        <f>VLOOKUP(P35,Log!$B$2:$C$8,2,)</f>
        <v>0.38</v>
      </c>
      <c r="R35" s="4">
        <v>25.32</v>
      </c>
      <c r="S35" s="34">
        <f>IF(OR(AND(P35="Motorbike",R35-R34&lt;Log!$C$13),AND(P35&lt;&gt;"Motorbike",R35-R34&lt;Log!$C$12)),0,IF(S34&lt;&gt;0,R35-R34,IF(S33=0,R35-R32,R35-R33)))</f>
        <v>0</v>
      </c>
      <c r="T35" s="109">
        <f t="shared" si="6"/>
        <v>0</v>
      </c>
      <c r="W35" s="11"/>
    </row>
    <row r="36" spans="1:23" x14ac:dyDescent="0.25">
      <c r="A36" s="60">
        <v>220</v>
      </c>
      <c r="B36" s="56" t="s">
        <v>12</v>
      </c>
      <c r="C36" s="5">
        <f>VLOOKUP(B36,Log!$B$2:$C$8,2,)</f>
        <v>1</v>
      </c>
      <c r="D36" s="5">
        <v>37.68</v>
      </c>
      <c r="E36" s="34">
        <f>IF(OR(AND(B36="Motorbike",D36-D35&lt;Log!$C$13),AND(B36&lt;&gt;"Motorbike",D36-D35&lt;Log!$C$12)),0,IF(E35&lt;&gt;0,D36-D35,IF(E34=0,D36-D33,D36-D34)))</f>
        <v>2.6000000000000014</v>
      </c>
      <c r="F36" s="109">
        <f t="shared" si="4"/>
        <v>2.6000000000000014</v>
      </c>
      <c r="J36" s="15"/>
      <c r="L36" s="54"/>
      <c r="M36" s="54"/>
      <c r="O36" s="60">
        <v>150</v>
      </c>
      <c r="P36" s="122" t="s">
        <v>13</v>
      </c>
      <c r="Q36" s="5">
        <f>VLOOKUP(P36,Log!$B$2:$C$8,2,)</f>
        <v>0.38</v>
      </c>
      <c r="R36" s="4">
        <v>26.68</v>
      </c>
      <c r="S36" s="34">
        <f>IF(OR(AND(P36="Motorbike",R36-R35&lt;Log!$C$13),AND(P36&lt;&gt;"Motorbike",R36-R35&lt;Log!$C$12)),0,IF(S35&lt;&gt;0,R36-R35,IF(S34=0,R36-R33,R36-R34)))</f>
        <v>1.9600000000000009</v>
      </c>
      <c r="T36" s="109">
        <f t="shared" si="6"/>
        <v>3.4496000000000016</v>
      </c>
      <c r="W36" s="11"/>
    </row>
    <row r="37" spans="1:23" x14ac:dyDescent="0.25">
      <c r="A37" s="60">
        <v>263</v>
      </c>
      <c r="B37" s="56" t="s">
        <v>13</v>
      </c>
      <c r="C37" s="5">
        <f>VLOOKUP(B37,Log!$B$2:$C$8,2,)</f>
        <v>0.38</v>
      </c>
      <c r="D37" s="5">
        <v>38.6</v>
      </c>
      <c r="E37" s="34">
        <f>IF(OR(AND(B37="Motorbike",D37-D36&lt;Log!$C$13),AND(B37&lt;&gt;"Motorbike",D37-D36&lt;Log!$C$12)),0,IF(E36&lt;&gt;0,D37-D36,IF(E35=0,D37-D34,D37-D35)))</f>
        <v>0.92000000000000171</v>
      </c>
      <c r="F37" s="109">
        <f t="shared" si="4"/>
        <v>0.34960000000000063</v>
      </c>
      <c r="J37" s="15"/>
      <c r="L37" s="54"/>
      <c r="M37" s="54"/>
      <c r="O37" s="60">
        <v>134</v>
      </c>
      <c r="P37" s="122" t="s">
        <v>13</v>
      </c>
      <c r="Q37" s="5">
        <f>VLOOKUP(P37,Log!$B$2:$C$8,2,)</f>
        <v>0.38</v>
      </c>
      <c r="R37" s="4">
        <v>26.8</v>
      </c>
      <c r="S37" s="34">
        <f>IF(OR(AND(P37="Motorbike",R37-R36&lt;Log!$C$13),AND(P37&lt;&gt;"Motorbike",R37-R36&lt;Log!$C$12)),0,IF(S36&lt;&gt;0,R37-R36,IF(S35=0,R37-R34,R37-R35)))</f>
        <v>0</v>
      </c>
      <c r="T37" s="109">
        <f t="shared" si="6"/>
        <v>0</v>
      </c>
      <c r="W37" s="11"/>
    </row>
    <row r="38" spans="1:23" ht="15.75" thickBot="1" x14ac:dyDescent="0.3">
      <c r="A38" s="61">
        <v>265</v>
      </c>
      <c r="B38" s="56" t="s">
        <v>13</v>
      </c>
      <c r="C38" s="5">
        <f>VLOOKUP(B38,Log!$B$2:$C$8,2,)</f>
        <v>0.38</v>
      </c>
      <c r="D38" s="5">
        <v>40</v>
      </c>
      <c r="E38" s="34">
        <f>IF(OR(AND(B38="Motorbike",D38-D37&lt;Log!$C$13),AND(B38&lt;&gt;"Motorbike",D38-D37&lt;Log!$C$12)),0,IF(E37&lt;&gt;0,D38-D37,IF(E36=0,D38-D35,D38-D36)))</f>
        <v>1.3999999999999986</v>
      </c>
      <c r="F38" s="109">
        <f t="shared" si="4"/>
        <v>0.53199999999999947</v>
      </c>
      <c r="O38" s="60">
        <v>180</v>
      </c>
      <c r="P38" s="56" t="s">
        <v>12</v>
      </c>
      <c r="Q38" s="5">
        <f>VLOOKUP(P38,Log!$B$2:$C$8,2,)</f>
        <v>1</v>
      </c>
      <c r="R38" s="4">
        <v>27.08</v>
      </c>
      <c r="S38" s="34">
        <f>IF(OR(AND(P38="Motorbike",R38-R37&lt;Log!$C$13),AND(P38&lt;&gt;"Motorbike",R38-R37&lt;Log!$C$12)),0,IF(S37&lt;&gt;0,R38-R37,IF(S36=0,R38-R35,R38-R36)))</f>
        <v>0</v>
      </c>
      <c r="T38" s="109">
        <f t="shared" si="6"/>
        <v>0</v>
      </c>
      <c r="W38" s="11"/>
    </row>
    <row r="39" spans="1:23" x14ac:dyDescent="0.25">
      <c r="O39" s="60">
        <v>209</v>
      </c>
      <c r="P39" s="56" t="s">
        <v>13</v>
      </c>
      <c r="Q39" s="5">
        <f>VLOOKUP(P39,Log!$B$2:$C$8,2,)</f>
        <v>0.38</v>
      </c>
      <c r="R39" s="4">
        <v>28</v>
      </c>
      <c r="S39" s="34">
        <f>IF(OR(AND(P39="Motorbike",R39-R38&lt;Log!$C$13),AND(P39&lt;&gt;"Motorbike",R39-R38&lt;Log!$C$12)),0,IF(S38&lt;&gt;0,R39-R38,IF(S37=0,R39-R36,R39-R37)))</f>
        <v>1.3200000000000003</v>
      </c>
      <c r="T39" s="109">
        <f t="shared" si="6"/>
        <v>1.0032000000000003</v>
      </c>
      <c r="W39" s="11"/>
    </row>
    <row r="40" spans="1:23" x14ac:dyDescent="0.25">
      <c r="O40" s="60">
        <v>202</v>
      </c>
      <c r="P40" s="56" t="s">
        <v>13</v>
      </c>
      <c r="Q40" s="5">
        <f>VLOOKUP(P40,Log!$B$2:$C$8,2,)</f>
        <v>0.38</v>
      </c>
      <c r="R40" s="4">
        <v>28</v>
      </c>
      <c r="S40" s="34">
        <f>IF(OR(AND(P40="Motorbike",R40-R39&lt;Log!$C$13),AND(P40&lt;&gt;"Motorbike",R40-R39&lt;Log!$C$12)),0,IF(S39&lt;&gt;0,R40-R39,IF(S38=0,R40-R37,R40-R38)))</f>
        <v>0</v>
      </c>
      <c r="T40" s="109">
        <f t="shared" si="6"/>
        <v>0</v>
      </c>
      <c r="W40" s="11"/>
    </row>
    <row r="41" spans="1:23" x14ac:dyDescent="0.25">
      <c r="O41" s="60">
        <v>164</v>
      </c>
      <c r="P41" s="56" t="s">
        <v>12</v>
      </c>
      <c r="Q41" s="5">
        <f>VLOOKUP(P41,Log!$B$2:$C$8,2,)</f>
        <v>1</v>
      </c>
      <c r="R41" s="4">
        <v>29.6</v>
      </c>
      <c r="S41" s="34">
        <f>IF(OR(AND(P41="Motorbike",R41-R40&lt;Log!$C$13),AND(P41&lt;&gt;"Motorbike",R41-R40&lt;Log!$C$12)),0,IF(S40&lt;&gt;0,R41-R40,IF(S39=0,R41-R38,R41-R39)))</f>
        <v>1.6000000000000014</v>
      </c>
      <c r="T41" s="109">
        <f t="shared" si="6"/>
        <v>1.6000000000000014</v>
      </c>
      <c r="W41" s="11"/>
    </row>
    <row r="42" spans="1:23" x14ac:dyDescent="0.25">
      <c r="O42" s="60">
        <v>191</v>
      </c>
      <c r="P42" s="56" t="s">
        <v>12</v>
      </c>
      <c r="Q42" s="5">
        <f>VLOOKUP(P42,Log!$B$2:$C$8,2,)</f>
        <v>1</v>
      </c>
      <c r="R42" s="4">
        <v>32.08</v>
      </c>
      <c r="S42" s="34">
        <f>IF(OR(AND(P42="Motorbike",R42-R41&lt;Log!$C$13),AND(P42&lt;&gt;"Motorbike",R42-R41&lt;Log!$C$12)),0,IF(S41&lt;&gt;0,R42-R41,IF(S40=0,R42-R39,R42-R40)))</f>
        <v>2.4799999999999969</v>
      </c>
      <c r="T42" s="109">
        <f t="shared" si="6"/>
        <v>2.4799999999999969</v>
      </c>
      <c r="W42" s="11"/>
    </row>
    <row r="43" spans="1:23" x14ac:dyDescent="0.25">
      <c r="O43" s="60">
        <v>210</v>
      </c>
      <c r="P43" s="56" t="s">
        <v>12</v>
      </c>
      <c r="Q43" s="5">
        <f>VLOOKUP(P43,Log!$B$2:$C$8,2,)</f>
        <v>1</v>
      </c>
      <c r="R43" s="4">
        <v>34.08</v>
      </c>
      <c r="S43" s="34">
        <f>IF(OR(AND(P43="Motorbike",R43-R42&lt;Log!$C$13),AND(P43&lt;&gt;"Motorbike",R43-R42&lt;Log!$C$12)),0,IF(S42&lt;&gt;0,R43-R42,IF(S41=0,R43-R40,R43-R41)))</f>
        <v>2</v>
      </c>
      <c r="T43" s="109">
        <f t="shared" si="6"/>
        <v>2</v>
      </c>
      <c r="W43" s="11"/>
    </row>
    <row r="44" spans="1:23" x14ac:dyDescent="0.25">
      <c r="O44" s="60">
        <v>249</v>
      </c>
      <c r="P44" s="122" t="s">
        <v>13</v>
      </c>
      <c r="Q44" s="5">
        <f>VLOOKUP(P44,Log!$B$2:$C$8,2,)</f>
        <v>0.38</v>
      </c>
      <c r="R44" s="4">
        <v>35.119999999999997</v>
      </c>
      <c r="S44" s="34">
        <f>IF(OR(AND(P44="Motorbike",R44-R43&lt;Log!$C$13),AND(P44&lt;&gt;"Motorbike",R44-R43&lt;Log!$C$12)),0,IF(S43&lt;&gt;0,R44-R43,IF(S42=0,R44-R41,R44-R42)))</f>
        <v>1.0399999999999991</v>
      </c>
      <c r="T44" s="109">
        <f>S44*(Q44*5)</f>
        <v>1.9759999999999982</v>
      </c>
      <c r="W44" s="11"/>
    </row>
    <row r="45" spans="1:23" x14ac:dyDescent="0.25">
      <c r="O45" s="60">
        <v>243</v>
      </c>
      <c r="P45" s="122" t="s">
        <v>13</v>
      </c>
      <c r="Q45" s="5">
        <f>VLOOKUP(P45,Log!$B$2:$C$8,2,)</f>
        <v>0.38</v>
      </c>
      <c r="R45" s="4">
        <v>35.520000000000003</v>
      </c>
      <c r="S45" s="34">
        <f>IF(OR(AND(P45="Motorbike",R45-R44&lt;Log!$C$13),AND(P45&lt;&gt;"Motorbike",R45-R44&lt;Log!$C$12)),0,IF(S44&lt;&gt;0,R45-R44,IF(S43=0,R45-R42,R45-R43)))</f>
        <v>0</v>
      </c>
      <c r="T45" s="109">
        <f t="shared" si="6"/>
        <v>0</v>
      </c>
    </row>
    <row r="46" spans="1:23" x14ac:dyDescent="0.25">
      <c r="O46" s="60">
        <v>233</v>
      </c>
      <c r="P46" s="122" t="s">
        <v>13</v>
      </c>
      <c r="Q46" s="5">
        <f>VLOOKUP(P46,Log!$B$2:$C$8,2,)</f>
        <v>0.38</v>
      </c>
      <c r="R46" s="4">
        <v>35.6</v>
      </c>
      <c r="S46" s="34">
        <f>IF(OR(AND(P46="Motorbike",R46-R45&lt;Log!$C$13),AND(P46&lt;&gt;"Motorbike",R46-R45&lt;Log!$C$12)),0,IF(S45&lt;&gt;0,R46-R45,IF(S44=0,R46-R43,R46-R44)))</f>
        <v>0</v>
      </c>
      <c r="T46" s="109">
        <f t="shared" si="6"/>
        <v>0</v>
      </c>
    </row>
    <row r="47" spans="1:23" x14ac:dyDescent="0.25">
      <c r="O47" s="60">
        <v>269</v>
      </c>
      <c r="P47" s="122" t="s">
        <v>13</v>
      </c>
      <c r="Q47" s="5">
        <f>VLOOKUP(P47,Log!$B$2:$C$8,2,)</f>
        <v>0.38</v>
      </c>
      <c r="R47" s="4">
        <v>36.08</v>
      </c>
      <c r="S47" s="34">
        <f>IF(OR(AND(P47="Motorbike",R47-R46&lt;Log!$C$13),AND(P47&lt;&gt;"Motorbike",R47-R46&lt;Log!$C$12)),0,IF(S46&lt;&gt;0,R47-R46,IF(S45=0,R47-R44,R47-R45)))</f>
        <v>0</v>
      </c>
      <c r="T47" s="109">
        <f t="shared" si="6"/>
        <v>0</v>
      </c>
    </row>
    <row r="48" spans="1:23" ht="15.75" thickBot="1" x14ac:dyDescent="0.3">
      <c r="O48" s="61">
        <v>245</v>
      </c>
      <c r="P48" s="122" t="s">
        <v>13</v>
      </c>
      <c r="Q48" s="5">
        <f>VLOOKUP(P48,Log!$B$2:$C$8,2,)</f>
        <v>0.38</v>
      </c>
      <c r="R48" s="4">
        <v>36.28</v>
      </c>
      <c r="S48" s="34">
        <f>IF(OR(AND(P48="Motorbike",R48-R47&lt;Log!$C$13),AND(P48&lt;&gt;"Motorbike",R48-R47&lt;Log!$C$12)),0,IF(S47&lt;&gt;0,R48-R47,IF(S46=0,R48-R45,R48-R46)))</f>
        <v>0</v>
      </c>
      <c r="T48" s="109">
        <f t="shared" si="6"/>
        <v>0</v>
      </c>
    </row>
    <row r="49" spans="15:20" x14ac:dyDescent="0.25">
      <c r="O49" s="58">
        <v>270</v>
      </c>
      <c r="P49" s="56" t="s">
        <v>13</v>
      </c>
      <c r="Q49" s="5">
        <f>VLOOKUP(P49,Log!$B$2:$C$8,2,)</f>
        <v>0.38</v>
      </c>
      <c r="R49" s="4">
        <v>38.799999999999997</v>
      </c>
      <c r="S49" s="34">
        <f>IF(OR(AND(P49="Motorbike",R49-R48&lt;Log!$C$13),AND(P49&lt;&gt;"Motorbike",R49-R48&lt;Log!$C$12)),0,IF(S48&lt;&gt;0,R49-R48,IF(S47=0,R49-R46,R49-R47)))</f>
        <v>3.1999999999999957</v>
      </c>
      <c r="T49" s="34">
        <f t="shared" si="6"/>
        <v>1.2159999999999984</v>
      </c>
    </row>
    <row r="50" spans="15:20" x14ac:dyDescent="0.25">
      <c r="O50" s="58">
        <v>276</v>
      </c>
      <c r="P50" s="4" t="s">
        <v>13</v>
      </c>
      <c r="Q50" s="5">
        <f>VLOOKUP(P50,Log!$B$2:$C$8,2,)</f>
        <v>0.38</v>
      </c>
      <c r="R50" s="4">
        <v>40.28</v>
      </c>
      <c r="S50" s="34">
        <f>IF(OR(AND(P50="Motorbike",R50-R49&lt;Log!$C$13),AND(P50&lt;&gt;"Motorbike",R50-R49&lt;Log!$C$12)),0,IF(S49&lt;&gt;0,R50-R49,IF(S48=0,R50-R47,R50-R48)))</f>
        <v>1.480000000000004</v>
      </c>
      <c r="T50" s="34">
        <f t="shared" si="6"/>
        <v>0.56240000000000157</v>
      </c>
    </row>
    <row r="52" spans="15:20" x14ac:dyDescent="0.25">
      <c r="S52" s="9">
        <f>AVERAGE(S30:S34)</f>
        <v>1.1839999999999997</v>
      </c>
      <c r="T52" s="9">
        <f>AVERAGE(T30:T34)</f>
        <v>0.97216000000000002</v>
      </c>
    </row>
    <row r="53" spans="15:20" x14ac:dyDescent="0.25">
      <c r="S53" s="10">
        <f>3600/S52</f>
        <v>3040.5405405405413</v>
      </c>
      <c r="T53" s="10">
        <f>3600/T52</f>
        <v>3703.0941408821591</v>
      </c>
    </row>
  </sheetData>
  <mergeCells count="4">
    <mergeCell ref="C1:D1"/>
    <mergeCell ref="A11:F11"/>
    <mergeCell ref="H11:M11"/>
    <mergeCell ref="O11:T11"/>
  </mergeCells>
  <conditionalFormatting sqref="E14:E38">
    <cfRule type="cellIs" dxfId="175" priority="16" operator="greaterThanOrEqual">
      <formula>4</formula>
    </cfRule>
  </conditionalFormatting>
  <conditionalFormatting sqref="E13:F13">
    <cfRule type="cellIs" dxfId="174" priority="40" operator="greaterThan">
      <formula>4</formula>
    </cfRule>
  </conditionalFormatting>
  <conditionalFormatting sqref="F14:F38">
    <cfRule type="cellIs" dxfId="173" priority="18" operator="greaterThan">
      <formula>4</formula>
    </cfRule>
  </conditionalFormatting>
  <conditionalFormatting sqref="L14:L32">
    <cfRule type="cellIs" dxfId="172" priority="9" operator="greaterThanOrEqual">
      <formula>4</formula>
    </cfRule>
  </conditionalFormatting>
  <conditionalFormatting sqref="L13:M13 L33:M37">
    <cfRule type="cellIs" dxfId="171" priority="36" operator="greaterThan">
      <formula>4</formula>
    </cfRule>
  </conditionalFormatting>
  <conditionalFormatting sqref="M14:M32">
    <cfRule type="cellIs" dxfId="170" priority="11" operator="greaterThan">
      <formula>4</formula>
    </cfRule>
  </conditionalFormatting>
  <conditionalFormatting sqref="S14:S50">
    <cfRule type="cellIs" dxfId="169" priority="2" operator="greaterThanOrEqual">
      <formula>4</formula>
    </cfRule>
  </conditionalFormatting>
  <conditionalFormatting sqref="S13:T13">
    <cfRule type="cellIs" dxfId="168" priority="32" operator="greaterThan">
      <formula>4</formula>
    </cfRule>
  </conditionalFormatting>
  <conditionalFormatting sqref="T14:T50">
    <cfRule type="cellIs" dxfId="167" priority="4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id="{DC3D2CC5-9FB0-44E8-964A-210C639FBD18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E14:E15</xm:sqref>
        </x14:conditionalFormatting>
        <x14:conditionalFormatting xmlns:xm="http://schemas.microsoft.com/office/excel/2006/main">
          <x14:cfRule type="expression" priority="17" id="{77EAB778-4030-41CA-AA11-35D6BBC46F59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E14:E38</xm:sqref>
        </x14:conditionalFormatting>
        <x14:conditionalFormatting xmlns:xm="http://schemas.microsoft.com/office/excel/2006/main">
          <x14:cfRule type="expression" priority="15" id="{F05B5336-E8D7-432D-8484-61CDB550435D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E15:E38</xm:sqref>
        </x14:conditionalFormatting>
        <x14:conditionalFormatting xmlns:xm="http://schemas.microsoft.com/office/excel/2006/main">
          <x14:cfRule type="expression" priority="42" id="{224B1515-22C3-49E2-96F1-F1BD424854A2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L14:L15</xm:sqref>
        </x14:conditionalFormatting>
        <x14:conditionalFormatting xmlns:xm="http://schemas.microsoft.com/office/excel/2006/main">
          <x14:cfRule type="expression" priority="10" id="{06F23EB3-C95F-46F2-AE2D-6F3C3B30EC04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L14:L32</xm:sqref>
        </x14:conditionalFormatting>
        <x14:conditionalFormatting xmlns:xm="http://schemas.microsoft.com/office/excel/2006/main">
          <x14:cfRule type="expression" priority="8" id="{AC445068-98B4-4B41-B19A-518A7452A7F2}">
            <xm:f>AND(OFFSET(L15,0,-3)="Motorbike", L15&lt;Log!$C$13)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L15:L32</xm:sqref>
        </x14:conditionalFormatting>
        <x14:conditionalFormatting xmlns:xm="http://schemas.microsoft.com/office/excel/2006/main">
          <x14:cfRule type="expression" priority="43" id="{EB1620F1-FBAF-4863-9D92-3A133D751858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S14:S15</xm:sqref>
        </x14:conditionalFormatting>
        <x14:conditionalFormatting xmlns:xm="http://schemas.microsoft.com/office/excel/2006/main">
          <x14:cfRule type="expression" priority="3" id="{3DE5B843-63CA-4CE6-A7F3-20DBB6A16CC6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S14:S50</xm:sqref>
        </x14:conditionalFormatting>
        <x14:conditionalFormatting xmlns:xm="http://schemas.microsoft.com/office/excel/2006/main">
          <x14:cfRule type="expression" priority="1" id="{C6F70E0A-5431-4FC0-8D39-DB33CD4FDE43}">
            <xm:f>AND(OFFSET(S15,0,-3)="Motorbike", S15&lt;Log!$C$13)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S15:S50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125D8-A142-4CBE-B4CB-7BDAE882D430}">
  <sheetPr codeName="Sheet6"/>
  <dimension ref="A1:W53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50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24.720000000000002</v>
      </c>
      <c r="M2" s="19">
        <f>SUM(M20:M28)</f>
        <v>19.735199999999999</v>
      </c>
      <c r="R2" s="4" t="s">
        <v>20</v>
      </c>
      <c r="S2" s="8">
        <f>SUM(S25:S28)</f>
        <v>4</v>
      </c>
      <c r="T2" s="8">
        <f>SUM(T25:T28)</f>
        <v>3.2815999999999992</v>
      </c>
    </row>
    <row r="3" spans="1:20" x14ac:dyDescent="0.25">
      <c r="K3" s="4" t="s">
        <v>21</v>
      </c>
      <c r="L3" s="20">
        <f>AVERAGE(L24:L26)</f>
        <v>3.1466666666666669</v>
      </c>
      <c r="M3" s="67">
        <f>AVERAGE(M21:M26)</f>
        <v>1.5425333333333333</v>
      </c>
      <c r="R3" s="4" t="s">
        <v>21</v>
      </c>
      <c r="S3" s="9">
        <f>AVERAGE(S25:S28)</f>
        <v>1</v>
      </c>
      <c r="T3" s="9">
        <f>AVERAGE(T23:T32)</f>
        <v>2.1192000000000002</v>
      </c>
    </row>
    <row r="4" spans="1:20" x14ac:dyDescent="0.25">
      <c r="A4" s="4" t="s">
        <v>12</v>
      </c>
      <c r="B4" s="144">
        <f>100*COUNTIF($B$13:$B$38,A4)/COUNTA($B$13:$B$38)</f>
        <v>56</v>
      </c>
      <c r="H4" s="4" t="s">
        <v>12</v>
      </c>
      <c r="I4" s="144">
        <f>100*COUNTIF($I$13:$I$32,H4)/COUNTA($I$13:$I$32)</f>
        <v>73.333333333333329</v>
      </c>
      <c r="K4" s="4" t="s">
        <v>7</v>
      </c>
      <c r="L4" s="23">
        <f>3600/L3</f>
        <v>1144.0677966101694</v>
      </c>
      <c r="M4" s="68">
        <f>3600/M3</f>
        <v>2333.8231480681129</v>
      </c>
      <c r="O4" s="4" t="s">
        <v>12</v>
      </c>
      <c r="P4" s="144">
        <f>100*COUNTIF($P$13:$P$32,O4)/COUNTA($P$13:$P$32)</f>
        <v>40</v>
      </c>
      <c r="R4" s="4" t="s">
        <v>7</v>
      </c>
      <c r="S4" s="10">
        <f>3600/S3</f>
        <v>3600</v>
      </c>
      <c r="T4" s="10">
        <f>3600/T3</f>
        <v>1698.754246885617</v>
      </c>
    </row>
    <row r="5" spans="1:20" x14ac:dyDescent="0.25">
      <c r="A5" s="4" t="s">
        <v>14</v>
      </c>
      <c r="B5" s="144">
        <f t="shared" ref="B5:B7" si="0">100*COUNTIF($B$13:$B$38,A5)/COUNTA($B$13:$B$38)</f>
        <v>28</v>
      </c>
      <c r="H5" s="4" t="s">
        <v>14</v>
      </c>
      <c r="I5" s="144">
        <f t="shared" ref="I5:I7" si="1">100*COUNTIF($I$13:$I$32,H5)/COUNTA($I$13:$I$32)</f>
        <v>6.666666666666667</v>
      </c>
      <c r="O5" s="4" t="s">
        <v>14</v>
      </c>
      <c r="P5" s="144">
        <f t="shared" ref="P5:P7" si="2">100*COUNTIF($P$13:$P$32,O5)/COUNTA($P$13:$P$32)</f>
        <v>25</v>
      </c>
    </row>
    <row r="6" spans="1:20" x14ac:dyDescent="0.25">
      <c r="A6" s="4" t="s">
        <v>13</v>
      </c>
      <c r="B6" s="144">
        <f t="shared" si="0"/>
        <v>12</v>
      </c>
      <c r="E6" s="29" t="s">
        <v>32</v>
      </c>
      <c r="F6" s="29" t="s">
        <v>31</v>
      </c>
      <c r="H6" s="4" t="s">
        <v>13</v>
      </c>
      <c r="I6" s="144">
        <f t="shared" si="1"/>
        <v>20</v>
      </c>
      <c r="L6" s="29" t="s">
        <v>32</v>
      </c>
      <c r="M6" s="29" t="s">
        <v>31</v>
      </c>
      <c r="O6" s="4" t="s">
        <v>13</v>
      </c>
      <c r="P6" s="144">
        <f t="shared" si="2"/>
        <v>15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4</v>
      </c>
      <c r="D7" s="30" t="s">
        <v>30</v>
      </c>
      <c r="E7" s="25">
        <f>SUM(E14:E30)</f>
        <v>23.32</v>
      </c>
      <c r="F7" s="25">
        <f>SUM(F14:F30)</f>
        <v>23.036799999999996</v>
      </c>
      <c r="H7" s="4" t="s">
        <v>28</v>
      </c>
      <c r="I7" s="144">
        <f t="shared" si="1"/>
        <v>0</v>
      </c>
      <c r="K7" s="30" t="s">
        <v>30</v>
      </c>
      <c r="L7" s="25">
        <f>SUM(L14:L37)</f>
        <v>33.799999999999997</v>
      </c>
      <c r="M7" s="25">
        <f>SUM(M14:M37)</f>
        <v>31.8672</v>
      </c>
      <c r="O7" s="4" t="s">
        <v>28</v>
      </c>
      <c r="P7" s="144">
        <f t="shared" si="2"/>
        <v>5</v>
      </c>
      <c r="R7" s="30" t="s">
        <v>20</v>
      </c>
      <c r="S7" s="25">
        <f>SUM(S14:S23)</f>
        <v>18.919999999999998</v>
      </c>
      <c r="T7" s="25">
        <f>SUM(T13:T23)</f>
        <v>18.7532</v>
      </c>
    </row>
    <row r="8" spans="1:20" ht="15.75" thickBot="1" x14ac:dyDescent="0.3">
      <c r="D8" s="30" t="s">
        <v>21</v>
      </c>
      <c r="E8" s="28">
        <f>AVERAGEIF(E16:E26,"&lt;&gt;0")</f>
        <v>1.6266666666666665</v>
      </c>
      <c r="F8" s="28">
        <f>AVERAGEIF(F16:F26,"&lt;&gt;0")</f>
        <v>1.7179111111111107</v>
      </c>
      <c r="K8" s="30" t="s">
        <v>21</v>
      </c>
      <c r="L8" s="28">
        <f>AVERAGEIF(L14:L19,"&lt;&gt;0")</f>
        <v>2.27</v>
      </c>
      <c r="M8" s="28">
        <f>AVERAGEIF(M21:M25,"&lt;&gt;0")</f>
        <v>1.4619199999999999</v>
      </c>
      <c r="O8" s="4" t="s">
        <v>15</v>
      </c>
      <c r="P8" s="144">
        <f t="shared" ref="P8:P9" si="3">100*COUNTIF($P$13:$P$39,O8)/COUNTA($P$13:$P$39)</f>
        <v>10</v>
      </c>
      <c r="R8" s="30" t="s">
        <v>21</v>
      </c>
      <c r="S8" s="28">
        <f>AVERAGEIF(S14:S29,"&lt;&gt;0")</f>
        <v>2.1999999999999997</v>
      </c>
      <c r="T8" s="28">
        <f>AVERAGEIF(T15:T29,"&lt;&gt;0")</f>
        <v>1.8588363636363638</v>
      </c>
    </row>
    <row r="9" spans="1:20" ht="15.75" thickBot="1" x14ac:dyDescent="0.3">
      <c r="D9" s="30" t="s">
        <v>7</v>
      </c>
      <c r="E9" s="27">
        <f>3600/E8</f>
        <v>2213.1147540983611</v>
      </c>
      <c r="F9" s="31">
        <f>3600/F8</f>
        <v>2095.5682611957677</v>
      </c>
      <c r="K9" s="30" t="s">
        <v>7</v>
      </c>
      <c r="L9" s="27">
        <f>3600/L8</f>
        <v>1585.9030837004404</v>
      </c>
      <c r="M9" s="31">
        <f>3600/M8</f>
        <v>2462.5150487030755</v>
      </c>
      <c r="O9" s="4" t="s">
        <v>33</v>
      </c>
      <c r="P9" s="144">
        <f t="shared" si="3"/>
        <v>5</v>
      </c>
      <c r="R9" s="30" t="s">
        <v>7</v>
      </c>
      <c r="S9" s="27">
        <f>3600/S8</f>
        <v>1636.3636363636365</v>
      </c>
      <c r="T9" s="31">
        <f>3600/T8</f>
        <v>1936.6954888688913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3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3" t="s">
        <v>16</v>
      </c>
      <c r="P12" s="6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ht="15.75" thickBot="1" x14ac:dyDescent="0.3">
      <c r="A13" s="4">
        <v>8</v>
      </c>
      <c r="B13" s="56" t="s">
        <v>13</v>
      </c>
      <c r="C13" s="5">
        <f>VLOOKUP(B13,Log!$B$2:$C$8,2,)</f>
        <v>0.38</v>
      </c>
      <c r="D13" s="5">
        <v>7.2</v>
      </c>
      <c r="E13" s="34">
        <v>0</v>
      </c>
      <c r="F13" s="34">
        <v>0</v>
      </c>
      <c r="H13" s="65">
        <v>1</v>
      </c>
      <c r="I13" s="62" t="s">
        <v>12</v>
      </c>
      <c r="J13" s="5">
        <f>VLOOKUP(I13,Log!$B$2:$C$8,2,)</f>
        <v>1</v>
      </c>
      <c r="K13" s="4">
        <v>2.44</v>
      </c>
      <c r="L13" s="34">
        <v>0</v>
      </c>
      <c r="M13" s="34">
        <v>0</v>
      </c>
      <c r="N13" s="15"/>
      <c r="O13" s="63">
        <v>11</v>
      </c>
      <c r="P13" s="4" t="s">
        <v>15</v>
      </c>
      <c r="Q13" s="5">
        <f>VLOOKUP(P13,Log!$B$2:$C$8,2,)</f>
        <v>0.33</v>
      </c>
      <c r="R13" s="4">
        <v>0.12</v>
      </c>
      <c r="S13" s="34">
        <v>0</v>
      </c>
      <c r="T13" s="34">
        <v>0</v>
      </c>
    </row>
    <row r="14" spans="1:20" ht="15.75" thickBot="1" x14ac:dyDescent="0.3">
      <c r="A14" s="51">
        <v>4</v>
      </c>
      <c r="B14" s="56" t="s">
        <v>12</v>
      </c>
      <c r="C14" s="5">
        <f>VLOOKUP(B14,Log!$B$2:$C$8,2,)</f>
        <v>1</v>
      </c>
      <c r="D14" s="5">
        <v>8.6</v>
      </c>
      <c r="E14" s="34">
        <f>IF(OR(AND(B14="Motorbike",D14-D13&lt;Log!$C$13),AND(B14&lt;&gt;"Motorbike",D14-D13&lt;Log!$C$12)),0,D14-D13)</f>
        <v>1.3999999999999995</v>
      </c>
      <c r="F14" s="34">
        <f>IF(E15&lt;&gt;0,C14*E14,IF(E16=0,(C14+C15+C16)*E14,(C14+C15)*E14))</f>
        <v>1.3999999999999995</v>
      </c>
      <c r="H14" s="73">
        <v>27</v>
      </c>
      <c r="I14" s="62" t="s">
        <v>14</v>
      </c>
      <c r="J14" s="5">
        <f>VLOOKUP(I14,Log!$B$2:$C$8,2,)</f>
        <v>0.45</v>
      </c>
      <c r="K14" s="4">
        <v>5.4</v>
      </c>
      <c r="L14" s="34">
        <f>IF(OR(AND(I14="Motorbike",K14-K13&lt;Log!$C$13),AND(I14&lt;&gt;"Motorbike",K14-K13&lt;Log!$C$12)),0,K14-K13)</f>
        <v>2.9600000000000004</v>
      </c>
      <c r="M14" s="34">
        <f>IF(L15&lt;&gt;0,J14*L14,IF(L16=0,(J14+J15+J16)*L14,(J14+J15)*L14))</f>
        <v>1.3320000000000003</v>
      </c>
      <c r="N14" s="15"/>
      <c r="O14" s="65">
        <v>22</v>
      </c>
      <c r="P14" s="56" t="s">
        <v>15</v>
      </c>
      <c r="Q14" s="5">
        <f>VLOOKUP(P14,Log!$B$2:$C$8,2,)</f>
        <v>0.33</v>
      </c>
      <c r="R14" s="4">
        <v>4.24</v>
      </c>
      <c r="S14" s="34">
        <f>IF(OR(AND(P14="Motorbike",R14-R13&lt;Log!$C$13),AND(P14&lt;&gt;"Motorbike",R14-R13&lt;Log!$C$12)),0,R14-R13)</f>
        <v>4.12</v>
      </c>
      <c r="T14" s="109">
        <f>IF(S15&lt;&gt;0,Q14*S14,IF(S16=0,(Q14+Q15+Q16)*S14,(Q14+Q15)*S14))</f>
        <v>5.0675999999999997</v>
      </c>
    </row>
    <row r="15" spans="1:20" x14ac:dyDescent="0.25">
      <c r="A15" s="101">
        <v>52</v>
      </c>
      <c r="B15" s="56" t="s">
        <v>14</v>
      </c>
      <c r="C15" s="5">
        <f>VLOOKUP(B15,Log!$B$2:$C$8,2,)</f>
        <v>0.45</v>
      </c>
      <c r="D15" s="5">
        <v>12.6</v>
      </c>
      <c r="E15" s="34">
        <f>IF(OR(AND(B15="Motorbike",D15-D14&lt;Log!$C$13),AND(B15&lt;&gt;"Motorbike",D15-D14&lt;Log!$C$12)),0,D15-D14)</f>
        <v>4</v>
      </c>
      <c r="F15" s="34">
        <f t="shared" ref="F15:F37" si="4">IF(E16&lt;&gt;0,C15*E15,IF(E17=0,(C15+C16+C17)*E15,(C15+C16)*E15))</f>
        <v>1.8</v>
      </c>
      <c r="H15" s="73">
        <v>2</v>
      </c>
      <c r="I15" s="62" t="s">
        <v>12</v>
      </c>
      <c r="J15" s="5">
        <f>VLOOKUP(I15,Log!$B$2:$C$8,2,)</f>
        <v>1</v>
      </c>
      <c r="K15" s="4">
        <v>6.84</v>
      </c>
      <c r="L15" s="34">
        <f>IF(OR(AND(I15="Motorbike",K15-K14&lt;Log!$C$13),AND(I15&lt;&gt;"Motorbike",K15-K14&lt;Log!$C$12)),0,K15-K14)</f>
        <v>1.4399999999999995</v>
      </c>
      <c r="M15" s="34">
        <f t="shared" ref="M15:M27" si="5">IF(L16&lt;&gt;0,J15*L15,IF(L17=0,(J15+J16+J17)*L15,(J15+J16)*L15))</f>
        <v>1.4399999999999995</v>
      </c>
      <c r="N15" s="15"/>
      <c r="O15" s="73">
        <v>7</v>
      </c>
      <c r="P15" s="56" t="s">
        <v>14</v>
      </c>
      <c r="Q15" s="5">
        <f>VLOOKUP(P15,Log!$B$2:$C$8,2,)</f>
        <v>0.45</v>
      </c>
      <c r="R15" s="4">
        <v>4.5999999999999996</v>
      </c>
      <c r="S15" s="34">
        <f>IF(OR(AND(P15="Motorbike",R15-R14&lt;Log!$C$13),AND(P15&lt;&gt;"Motorbike",R15-R14&lt;Log!$C$12)),0,R15-R14)</f>
        <v>0</v>
      </c>
      <c r="T15" s="109">
        <f t="shared" ref="T15:T32" si="6">IF(S16&lt;&gt;0,Q15*S15,IF(S17=0,(Q15+Q16+Q17)*S15,(Q15+Q16)*S15))</f>
        <v>0</v>
      </c>
    </row>
    <row r="16" spans="1:20" x14ac:dyDescent="0.25">
      <c r="A16" s="60">
        <v>72</v>
      </c>
      <c r="B16" s="56" t="s">
        <v>12</v>
      </c>
      <c r="C16" s="5">
        <f>VLOOKUP(B16,Log!$B$2:$C$8,2,)</f>
        <v>1</v>
      </c>
      <c r="D16" s="5">
        <v>13.6</v>
      </c>
      <c r="E16" s="34">
        <f>IF(OR(AND(B16="Motorbike",D16-D15&lt;Log!$C$13),AND(B16&lt;&gt;"Motorbike",D16-D15&lt;Log!$C$12)),0,IF(E15&lt;&gt;0,D16-D15,IF(E14=0,D16-D13,D16-D14)))</f>
        <v>1</v>
      </c>
      <c r="F16" s="109">
        <f t="shared" si="4"/>
        <v>1</v>
      </c>
      <c r="H16" s="73">
        <v>57</v>
      </c>
      <c r="I16" s="62" t="s">
        <v>12</v>
      </c>
      <c r="J16" s="5">
        <f>VLOOKUP(I16,Log!$B$2:$C$8,2,)</f>
        <v>1</v>
      </c>
      <c r="K16" s="4">
        <v>9.0399999999999991</v>
      </c>
      <c r="L16" s="34">
        <f>IF(OR(AND(I16="Motorbike",K16-K15&lt;Log!$C$13),AND(I16&lt;&gt;"Motorbike",K16-K15&lt;Log!$C$12)),0,IF(L15&lt;&gt;0,K16-K15,IF(L14=0,K16-K13,K16-K14)))</f>
        <v>2.1999999999999993</v>
      </c>
      <c r="M16" s="34">
        <f t="shared" si="5"/>
        <v>4.3999999999999986</v>
      </c>
      <c r="N16" s="15"/>
      <c r="O16" s="60">
        <v>27</v>
      </c>
      <c r="P16" s="56" t="s">
        <v>14</v>
      </c>
      <c r="Q16" s="5">
        <f>VLOOKUP(P16,Log!$B$2:$C$8,2,)</f>
        <v>0.45</v>
      </c>
      <c r="R16" s="4">
        <v>5.4</v>
      </c>
      <c r="S16" s="34">
        <f>IF(OR(AND(P16="Motorbike",R16-R15&lt;Log!$C$13),AND(P16&lt;&gt;"Motorbike",R16-R15&lt;Log!$C$12)),0,IF(S15&lt;&gt;0,R16-R15,IF(S14=0,R16-R13,R16-R14)))</f>
        <v>0</v>
      </c>
      <c r="T16" s="109">
        <f t="shared" si="6"/>
        <v>0</v>
      </c>
    </row>
    <row r="17" spans="1:23" x14ac:dyDescent="0.25">
      <c r="A17" s="60">
        <v>80</v>
      </c>
      <c r="B17" s="56" t="s">
        <v>13</v>
      </c>
      <c r="C17" s="5">
        <f>VLOOKUP(B17,Log!$B$2:$C$8,2,)</f>
        <v>0.38</v>
      </c>
      <c r="D17" s="5">
        <v>14.64</v>
      </c>
      <c r="E17" s="34">
        <f>IF(OR(AND(B17="Motorbike",D17-D16&lt;Log!$C$13),AND(B17&lt;&gt;"Motorbike",D17-D16&lt;Log!$C$12)),0,IF(E16&lt;&gt;0,D17-D16,IF(E15=0,D17-D14,D17-D15)))</f>
        <v>1.0400000000000009</v>
      </c>
      <c r="F17" s="109">
        <f t="shared" si="4"/>
        <v>0.39520000000000033</v>
      </c>
      <c r="H17" s="73">
        <v>29</v>
      </c>
      <c r="I17" s="56" t="s">
        <v>12</v>
      </c>
      <c r="J17" s="5">
        <f>VLOOKUP(I17,Log!$B$2:$C$8,2,)</f>
        <v>1</v>
      </c>
      <c r="K17" s="4">
        <v>9.44</v>
      </c>
      <c r="L17" s="34">
        <f>IF(OR(AND(I17="Motorbike",K17-K16&lt;Log!$C$13),AND(I17&lt;&gt;"Motorbike",K17-K16&lt;Log!$C$12)),0,IF(L16&lt;&gt;0,K17-K16,IF(L15=0,K17-K14,K17-K15)))</f>
        <v>0</v>
      </c>
      <c r="M17" s="34">
        <f t="shared" si="5"/>
        <v>0</v>
      </c>
      <c r="N17" s="15"/>
      <c r="O17" s="60">
        <v>44</v>
      </c>
      <c r="P17" s="56" t="s">
        <v>14</v>
      </c>
      <c r="Q17" s="5">
        <f>VLOOKUP(P17,Log!$B$2:$C$8,2,)</f>
        <v>0.45</v>
      </c>
      <c r="R17" s="4">
        <v>7.04</v>
      </c>
      <c r="S17" s="34">
        <f>IF(OR(AND(P17="Motorbike",R17-R16&lt;Log!$C$13),AND(P17&lt;&gt;"Motorbike",R17-R16&lt;Log!$C$12)),0,IF(S16&lt;&gt;0,R17-R16,IF(S15=0,R17-R14,R17-R15)))</f>
        <v>2.8</v>
      </c>
      <c r="T17" s="109">
        <f t="shared" si="6"/>
        <v>1.26</v>
      </c>
    </row>
    <row r="18" spans="1:23" x14ac:dyDescent="0.25">
      <c r="A18" s="60">
        <v>69</v>
      </c>
      <c r="B18" s="56" t="s">
        <v>12</v>
      </c>
      <c r="C18" s="5">
        <f>VLOOKUP(B18,Log!$B$2:$C$8,2,)</f>
        <v>1</v>
      </c>
      <c r="D18" s="5">
        <v>16.239999999999998</v>
      </c>
      <c r="E18" s="34">
        <f>IF(OR(AND(B18="Motorbike",D18-D17&lt;Log!$C$13),AND(B18&lt;&gt;"Motorbike",D18-D17&lt;Log!$C$12)),0,IF(E17&lt;&gt;0,D18-D17,IF(E16=0,D18-D15,D18-D16)))</f>
        <v>1.5999999999999979</v>
      </c>
      <c r="F18" s="109">
        <f t="shared" si="4"/>
        <v>3.1999999999999957</v>
      </c>
      <c r="H18" s="73">
        <v>58</v>
      </c>
      <c r="I18" s="56" t="s">
        <v>12</v>
      </c>
      <c r="J18" s="5">
        <f>VLOOKUP(I18,Log!$B$2:$C$8,2,)</f>
        <v>1</v>
      </c>
      <c r="K18" s="4">
        <v>11.52</v>
      </c>
      <c r="L18" s="34">
        <f>IF(OR(AND(I18="Motorbike",K18-K17&lt;Log!$C$13),AND(I18&lt;&gt;"Motorbike",K18-K17&lt;Log!$C$12)),0,IF(L17&lt;&gt;0,K18-K17,IF(L16=0,K18-K15,K18-K16)))</f>
        <v>2.4800000000000004</v>
      </c>
      <c r="M18" s="34">
        <f t="shared" si="5"/>
        <v>4.9600000000000009</v>
      </c>
      <c r="N18" s="15"/>
      <c r="O18" s="60">
        <v>17</v>
      </c>
      <c r="P18" s="56" t="s">
        <v>12</v>
      </c>
      <c r="Q18" s="5">
        <f>VLOOKUP(P18,Log!$B$2:$C$8,2,)</f>
        <v>1</v>
      </c>
      <c r="R18" s="4">
        <v>9</v>
      </c>
      <c r="S18" s="34">
        <f>IF(OR(AND(P18="Motorbike",R18-R17&lt;Log!$C$13),AND(P18&lt;&gt;"Motorbike",R18-R17&lt;Log!$C$12)),0,IF(S17&lt;&gt;0,R18-R17,IF(S16=0,R18-R15,R18-R16)))</f>
        <v>1.96</v>
      </c>
      <c r="T18" s="109">
        <f t="shared" si="6"/>
        <v>1.96</v>
      </c>
    </row>
    <row r="19" spans="1:23" ht="15.75" thickBot="1" x14ac:dyDescent="0.3">
      <c r="A19" s="60">
        <v>74</v>
      </c>
      <c r="B19" s="56" t="s">
        <v>12</v>
      </c>
      <c r="C19" s="5">
        <f>VLOOKUP(B19,Log!$B$2:$C$8,2,)</f>
        <v>1</v>
      </c>
      <c r="D19" s="5">
        <v>16.52</v>
      </c>
      <c r="E19" s="34">
        <f>IF(OR(AND(B19="Motorbike",D19-D18&lt;Log!$C$13),AND(B19&lt;&gt;"Motorbike",D19-D18&lt;Log!$C$12)),0,IF(E18&lt;&gt;0,D19-D18,IF(E17=0,D19-D16,D19-D17)))</f>
        <v>0</v>
      </c>
      <c r="F19" s="109">
        <f t="shared" si="4"/>
        <v>0</v>
      </c>
      <c r="H19" s="66">
        <v>61</v>
      </c>
      <c r="I19" s="56" t="s">
        <v>12</v>
      </c>
      <c r="J19" s="5">
        <f>VLOOKUP(I19,Log!$B$2:$C$8,2,)</f>
        <v>1</v>
      </c>
      <c r="K19" s="4">
        <v>12.2</v>
      </c>
      <c r="L19" s="34">
        <f>IF(OR(AND(I19="Motorbike",K19-K18&lt;Log!$C$13),AND(I19&lt;&gt;"Motorbike",K19-K18&lt;Log!$C$12)),0,IF(L18&lt;&gt;0,K19-K18,IF(L17=0,K19-K16,K19-K17)))</f>
        <v>0</v>
      </c>
      <c r="M19" s="34">
        <f t="shared" si="5"/>
        <v>0</v>
      </c>
      <c r="N19" s="15"/>
      <c r="O19" s="60">
        <v>50</v>
      </c>
      <c r="P19" s="56" t="s">
        <v>12</v>
      </c>
      <c r="Q19" s="5">
        <f>VLOOKUP(P19,Log!$B$2:$C$8,2,)</f>
        <v>1</v>
      </c>
      <c r="R19" s="4">
        <v>11.2</v>
      </c>
      <c r="S19" s="34">
        <f>IF(OR(AND(P19="Motorbike",R19-R18&lt;Log!$C$13),AND(P19&lt;&gt;"Motorbike",R19-R18&lt;Log!$C$12)),0,IF(S18&lt;&gt;0,R19-R18,IF(S17=0,R19-R16,R19-R17)))</f>
        <v>2.1999999999999993</v>
      </c>
      <c r="T19" s="109">
        <f t="shared" si="6"/>
        <v>2.1999999999999993</v>
      </c>
    </row>
    <row r="20" spans="1:23" x14ac:dyDescent="0.25">
      <c r="A20" s="60">
        <v>91</v>
      </c>
      <c r="B20" s="56" t="s">
        <v>12</v>
      </c>
      <c r="C20" s="5">
        <f>VLOOKUP(B20,Log!$B$2:$C$8,2,)</f>
        <v>1</v>
      </c>
      <c r="D20" s="5">
        <v>18.920000000000002</v>
      </c>
      <c r="E20" s="34">
        <f>IF(OR(AND(B20="Motorbike",D20-D19&lt;Log!$C$13),AND(B20&lt;&gt;"Motorbike",D20-D19&lt;Log!$C$12)),0,IF(E19&lt;&gt;0,D20-D19,IF(E18=0,D20-D17,D20-D18)))</f>
        <v>2.6800000000000033</v>
      </c>
      <c r="F20" s="109">
        <f t="shared" si="4"/>
        <v>2.6800000000000033</v>
      </c>
      <c r="H20" s="96">
        <v>78</v>
      </c>
      <c r="I20" s="56" t="s">
        <v>12</v>
      </c>
      <c r="J20" s="5">
        <f>VLOOKUP(I20,Log!$B$2:$C$8,2,)</f>
        <v>1</v>
      </c>
      <c r="K20" s="4">
        <v>17.399999999999999</v>
      </c>
      <c r="L20" s="34">
        <f>IF(OR(AND(I20="Motorbike",K20-K19&lt;Log!$C$13),AND(I20&lt;&gt;"Motorbike",K20-K19&lt;Log!$C$12)),0,IF(L19&lt;&gt;0,K20-K19,IF(L18=0,K20-K17,K20-K18)))</f>
        <v>5.879999999999999</v>
      </c>
      <c r="M20" s="34">
        <f t="shared" si="5"/>
        <v>5.879999999999999</v>
      </c>
      <c r="N20" s="15"/>
      <c r="O20" s="60">
        <v>68</v>
      </c>
      <c r="P20" s="56" t="s">
        <v>28</v>
      </c>
      <c r="Q20" s="5">
        <f>VLOOKUP(P20,Log!$B$2:$C$8,2,)</f>
        <v>1.02</v>
      </c>
      <c r="R20" s="4">
        <v>14.6</v>
      </c>
      <c r="S20" s="34">
        <f>IF(OR(AND(P20="Motorbike",R20-R19&lt;Log!$C$13),AND(P20&lt;&gt;"Motorbike",R20-R19&lt;Log!$C$12)),0,IF(S19&lt;&gt;0,R20-R19,IF(S18=0,R20-R17,R20-R18)))</f>
        <v>3.4000000000000004</v>
      </c>
      <c r="T20" s="109">
        <f t="shared" si="6"/>
        <v>3.4680000000000004</v>
      </c>
    </row>
    <row r="21" spans="1:23" x14ac:dyDescent="0.25">
      <c r="A21" s="60">
        <v>98</v>
      </c>
      <c r="B21" s="56" t="s">
        <v>14</v>
      </c>
      <c r="C21" s="5">
        <f>VLOOKUP(B21,Log!$B$2:$C$8,2,)</f>
        <v>0.45</v>
      </c>
      <c r="D21" s="5">
        <v>20.440000000000001</v>
      </c>
      <c r="E21" s="34">
        <f>IF(OR(AND(B21="Motorbike",D21-D20&lt;Log!$C$13),AND(B21&lt;&gt;"Motorbike",D21-D20&lt;Log!$C$12)),0,IF(E20&lt;&gt;0,D21-D20,IF(E19=0,D21-D18,D21-D19)))</f>
        <v>1.5199999999999996</v>
      </c>
      <c r="F21" s="109">
        <f t="shared" si="4"/>
        <v>0.68399999999999983</v>
      </c>
      <c r="H21" s="73">
        <v>101</v>
      </c>
      <c r="I21" s="56" t="s">
        <v>13</v>
      </c>
      <c r="J21" s="5">
        <f>VLOOKUP(I21,Log!$B$2:$C$8,2,)</f>
        <v>0.38</v>
      </c>
      <c r="K21" s="4">
        <v>19.440000000000001</v>
      </c>
      <c r="L21" s="34">
        <f>IF(OR(AND(I21="Motorbike",K21-K20&lt;Log!$C$13),AND(I21&lt;&gt;"Motorbike",K21-K20&lt;Log!$C$12)),0,IF(L20&lt;&gt;0,K21-K20,IF(L19=0,K21-K18,K21-K19)))</f>
        <v>2.0400000000000027</v>
      </c>
      <c r="M21" s="34">
        <f t="shared" si="5"/>
        <v>0.775200000000001</v>
      </c>
      <c r="N21" s="15"/>
      <c r="O21" s="60">
        <v>76</v>
      </c>
      <c r="P21" s="56" t="s">
        <v>12</v>
      </c>
      <c r="Q21" s="5">
        <f>VLOOKUP(P21,Log!$B$2:$C$8,2,)</f>
        <v>1</v>
      </c>
      <c r="R21" s="4">
        <v>16.52</v>
      </c>
      <c r="S21" s="34">
        <f>IF(OR(AND(P21="Motorbike",R21-R20&lt;Log!$C$13),AND(P21&lt;&gt;"Motorbike",R21-R20&lt;Log!$C$12)),0,IF(S20&lt;&gt;0,R21-R20,IF(S19=0,R21-R18,R21-R19)))</f>
        <v>1.92</v>
      </c>
      <c r="T21" s="109">
        <f t="shared" si="6"/>
        <v>3.84</v>
      </c>
    </row>
    <row r="22" spans="1:23" x14ac:dyDescent="0.25">
      <c r="A22" s="60">
        <v>102</v>
      </c>
      <c r="B22" s="56" t="s">
        <v>12</v>
      </c>
      <c r="C22" s="5">
        <f>VLOOKUP(B22,Log!$B$2:$C$8,2,)</f>
        <v>1</v>
      </c>
      <c r="D22" s="5">
        <v>22</v>
      </c>
      <c r="E22" s="34">
        <f>IF(OR(AND(B22="Motorbike",D22-D21&lt;Log!$C$13),AND(B22&lt;&gt;"Motorbike",D22-D21&lt;Log!$C$12)),0,IF(E21&lt;&gt;0,D22-D21,IF(E20=0,D22-D19,D22-D20)))</f>
        <v>1.5599999999999987</v>
      </c>
      <c r="F22" s="109">
        <f t="shared" si="4"/>
        <v>2.2619999999999982</v>
      </c>
      <c r="H22" s="73">
        <v>118</v>
      </c>
      <c r="I22" s="56" t="s">
        <v>13</v>
      </c>
      <c r="J22" s="5">
        <f>VLOOKUP(I22,Log!$B$2:$C$8,2,)</f>
        <v>0.38</v>
      </c>
      <c r="K22" s="4">
        <v>20.32</v>
      </c>
      <c r="L22" s="34">
        <f>IF(OR(AND(I22="Motorbike",K22-K21&lt;Log!$C$13),AND(I22&lt;&gt;"Motorbike",K22-K21&lt;Log!$C$12)),0,IF(L21&lt;&gt;0,K22-K21,IF(L20=0,K22-K19,K22-K20)))</f>
        <v>0.87999999999999901</v>
      </c>
      <c r="M22" s="34">
        <f t="shared" si="5"/>
        <v>0.33439999999999964</v>
      </c>
      <c r="N22" s="15"/>
      <c r="O22" s="60">
        <v>134</v>
      </c>
      <c r="P22" s="56" t="s">
        <v>12</v>
      </c>
      <c r="Q22" s="5">
        <f>VLOOKUP(P22,Log!$B$2:$C$8,2,)</f>
        <v>1</v>
      </c>
      <c r="R22" s="4">
        <v>17</v>
      </c>
      <c r="S22" s="34">
        <f>IF(OR(AND(P22="Motorbike",R22-R21&lt;Log!$C$13),AND(P22&lt;&gt;"Motorbike",R22-R21&lt;Log!$C$12)),0,IF(S21&lt;&gt;0,R22-R21,IF(S20=0,R22-R19,R22-R20)))</f>
        <v>0</v>
      </c>
      <c r="T22" s="109">
        <f t="shared" si="6"/>
        <v>0</v>
      </c>
    </row>
    <row r="23" spans="1:23" x14ac:dyDescent="0.25">
      <c r="A23" s="60">
        <v>127</v>
      </c>
      <c r="B23" s="56" t="s">
        <v>14</v>
      </c>
      <c r="C23" s="5">
        <f>VLOOKUP(B23,Log!$B$2:$C$8,2,)</f>
        <v>0.45</v>
      </c>
      <c r="D23" s="5">
        <v>22.84</v>
      </c>
      <c r="E23" s="34">
        <f>IF(OR(AND(B23="Motorbike",D23-D22&lt;Log!$C$13),AND(B23&lt;&gt;"Motorbike",D23-D22&lt;Log!$C$12)),0,IF(E22&lt;&gt;0,D23-D22,IF(E21=0,D23-D20,D23-D21)))</f>
        <v>0</v>
      </c>
      <c r="F23" s="109">
        <f t="shared" si="4"/>
        <v>0</v>
      </c>
      <c r="H23" s="73">
        <v>124</v>
      </c>
      <c r="I23" s="56" t="s">
        <v>12</v>
      </c>
      <c r="J23" s="5">
        <f>VLOOKUP(I23,Log!$B$2:$C$8,2,)</f>
        <v>1</v>
      </c>
      <c r="K23" s="4">
        <v>22.2</v>
      </c>
      <c r="L23" s="34">
        <f>IF(OR(AND(I23="Motorbike",K23-K22&lt;Log!$C$13),AND(I23&lt;&gt;"Motorbike",K23-K22&lt;Log!$C$12)),0,IF(L22&lt;&gt;0,K23-K22,IF(L21=0,K23-K20,K23-K21)))</f>
        <v>1.879999999999999</v>
      </c>
      <c r="M23" s="34">
        <f t="shared" si="5"/>
        <v>1.879999999999999</v>
      </c>
      <c r="N23" s="15"/>
      <c r="O23" s="60">
        <v>148</v>
      </c>
      <c r="P23" s="62" t="s">
        <v>13</v>
      </c>
      <c r="Q23" s="5">
        <f>VLOOKUP(P23,Log!$B$2:$C$8,2,)</f>
        <v>0.38</v>
      </c>
      <c r="R23" s="4">
        <v>19.04</v>
      </c>
      <c r="S23" s="34">
        <f>IF(OR(AND(P23="Motorbike",R23-R22&lt;Log!$C$13),AND(P23&lt;&gt;"Motorbike",R23-R22&lt;Log!$C$12)),0,IF(S22&lt;&gt;0,R23-R22,IF(S21=0,R23-R20,R23-R21)))</f>
        <v>2.5199999999999996</v>
      </c>
      <c r="T23" s="109">
        <f t="shared" si="6"/>
        <v>0.9575999999999999</v>
      </c>
    </row>
    <row r="24" spans="1:23" x14ac:dyDescent="0.25">
      <c r="A24" s="60">
        <v>156</v>
      </c>
      <c r="B24" s="56" t="s">
        <v>12</v>
      </c>
      <c r="C24" s="5">
        <f>VLOOKUP(B24,Log!$B$2:$C$8,2,)</f>
        <v>1</v>
      </c>
      <c r="D24" s="5">
        <v>24.12</v>
      </c>
      <c r="E24" s="34">
        <f>IF(OR(AND(B24="Motorbike",D24-D23&lt;Log!$C$13),AND(B24&lt;&gt;"Motorbike",D24-D23&lt;Log!$C$12)),0,IF(E23&lt;&gt;0,D24-D23,IF(E22=0,D24-D21,D24-D22)))</f>
        <v>2.120000000000001</v>
      </c>
      <c r="F24" s="109">
        <f t="shared" si="4"/>
        <v>2.120000000000001</v>
      </c>
      <c r="H24" s="73">
        <v>156</v>
      </c>
      <c r="I24" s="56" t="s">
        <v>12</v>
      </c>
      <c r="J24" s="5">
        <f>VLOOKUP(I24,Log!$B$2:$C$8,2,)</f>
        <v>1</v>
      </c>
      <c r="K24" s="4">
        <v>24.32</v>
      </c>
      <c r="L24" s="34">
        <f>IF(OR(AND(I24="Motorbike",K24-K23&lt;Log!$C$13),AND(I24&lt;&gt;"Motorbike",K24-K23&lt;Log!$C$12)),0,IF(L23&lt;&gt;0,K24-K23,IF(L22=0,K24-K21,K24-K22)))</f>
        <v>2.120000000000001</v>
      </c>
      <c r="M24" s="34">
        <f t="shared" si="5"/>
        <v>2.120000000000001</v>
      </c>
      <c r="N24" s="15"/>
      <c r="O24" s="60">
        <v>88</v>
      </c>
      <c r="P24" s="56" t="s">
        <v>12</v>
      </c>
      <c r="Q24" s="5">
        <f>VLOOKUP(P24,Log!$B$2:$C$8,2,)</f>
        <v>1</v>
      </c>
      <c r="R24" s="4">
        <v>20.399999999999999</v>
      </c>
      <c r="S24" s="34">
        <f>IF(OR(AND(P24="Motorbike",R24-R23&lt;Log!$C$13),AND(P24&lt;&gt;"Motorbike",R24-R23&lt;Log!$C$12)),0,IF(S23&lt;&gt;0,R24-R23,IF(S22=0,R24-R21,R24-R22)))</f>
        <v>1.3599999999999994</v>
      </c>
      <c r="T24" s="109">
        <f t="shared" si="6"/>
        <v>1.3599999999999994</v>
      </c>
    </row>
    <row r="25" spans="1:23" ht="15.75" thickBot="1" x14ac:dyDescent="0.3">
      <c r="A25" s="60">
        <v>176</v>
      </c>
      <c r="B25" s="56" t="s">
        <v>12</v>
      </c>
      <c r="C25" s="5">
        <f>VLOOKUP(B25,Log!$B$2:$C$8,2,)</f>
        <v>1</v>
      </c>
      <c r="D25" s="5">
        <v>25.6</v>
      </c>
      <c r="E25" s="34">
        <f>IF(OR(AND(B25="Motorbike",D25-D24&lt;Log!$C$13),AND(B25&lt;&gt;"Motorbike",D25-D24&lt;Log!$C$12)),0,IF(E24&lt;&gt;0,D25-D24,IF(E23=0,D25-D22,D25-D23)))</f>
        <v>1.4800000000000004</v>
      </c>
      <c r="F25" s="109">
        <f t="shared" si="4"/>
        <v>1.4800000000000004</v>
      </c>
      <c r="H25" s="66">
        <v>167</v>
      </c>
      <c r="I25" s="56" t="s">
        <v>12</v>
      </c>
      <c r="J25" s="5">
        <f>VLOOKUP(I25,Log!$B$2:$C$8,2,)</f>
        <v>1</v>
      </c>
      <c r="K25" s="4">
        <v>26.52</v>
      </c>
      <c r="L25" s="34">
        <f>IF(OR(AND(I25="Motorbike",K25-K24&lt;Log!$C$13),AND(I25&lt;&gt;"Motorbike",K25-K24&lt;Log!$C$12)),0,IF(L24&lt;&gt;0,K25-K24,IF(L23=0,K25-K22,K25-K23)))</f>
        <v>2.1999999999999993</v>
      </c>
      <c r="M25" s="34">
        <f t="shared" si="5"/>
        <v>2.1999999999999993</v>
      </c>
      <c r="N25" s="15"/>
      <c r="O25" s="60">
        <v>145</v>
      </c>
      <c r="P25" s="56" t="s">
        <v>12</v>
      </c>
      <c r="Q25" s="5">
        <f>VLOOKUP(P25,Log!$B$2:$C$8,2,)</f>
        <v>1</v>
      </c>
      <c r="R25" s="4">
        <v>22</v>
      </c>
      <c r="S25" s="34">
        <f>IF(OR(AND(P25="Motorbike",R25-R24&lt;Log!$C$13),AND(P25&lt;&gt;"Motorbike",R25-R24&lt;Log!$C$12)),0,IF(S24&lt;&gt;0,R25-R24,IF(S23=0,R25-R22,R25-R23)))</f>
        <v>1.6000000000000014</v>
      </c>
      <c r="T25" s="109">
        <f t="shared" si="6"/>
        <v>1.6000000000000014</v>
      </c>
    </row>
    <row r="26" spans="1:23" ht="15.75" thickBot="1" x14ac:dyDescent="0.3">
      <c r="A26" s="61">
        <v>168</v>
      </c>
      <c r="B26" s="56" t="s">
        <v>12</v>
      </c>
      <c r="C26" s="5">
        <f>VLOOKUP(B26,Log!$B$2:$C$8,2,)</f>
        <v>1</v>
      </c>
      <c r="D26" s="5">
        <v>27.24</v>
      </c>
      <c r="E26" s="34">
        <f>IF(OR(AND(B26="Motorbike",D26-D25&lt;Log!$C$13),AND(B26&lt;&gt;"Motorbike",D26-D25&lt;Log!$C$12)),0,IF(E25&lt;&gt;0,D26-D25,IF(E24=0,D26-D23,D26-D24)))</f>
        <v>1.639999999999997</v>
      </c>
      <c r="F26" s="109">
        <f t="shared" si="4"/>
        <v>1.639999999999997</v>
      </c>
      <c r="H26" s="64">
        <v>192</v>
      </c>
      <c r="I26" s="4" t="s">
        <v>13</v>
      </c>
      <c r="J26" s="5">
        <f>VLOOKUP(I26,Log!$B$2:$C$8,2,)</f>
        <v>0.38</v>
      </c>
      <c r="K26" s="4">
        <v>31.64</v>
      </c>
      <c r="L26" s="34">
        <f>IF(OR(AND(I26="Motorbike",K26-K25&lt;Log!$C$13),AND(I26&lt;&gt;"Motorbike",K26-K25&lt;Log!$C$12)),0,IF(L25&lt;&gt;0,K26-K25,IF(L24=0,K26-K23,K26-K24)))</f>
        <v>5.120000000000001</v>
      </c>
      <c r="M26" s="34">
        <f t="shared" si="5"/>
        <v>1.9456000000000004</v>
      </c>
      <c r="N26" s="15"/>
      <c r="O26" s="60">
        <v>164</v>
      </c>
      <c r="P26" s="56" t="s">
        <v>13</v>
      </c>
      <c r="Q26" s="5">
        <f>VLOOKUP(P26,Log!$B$2:$C$8,2,)</f>
        <v>0.38</v>
      </c>
      <c r="R26" s="4">
        <v>22.92</v>
      </c>
      <c r="S26" s="34">
        <f>IF(OR(AND(P26="Motorbike",R26-R25&lt;Log!$C$13),AND(P26&lt;&gt;"Motorbike",R26-R25&lt;Log!$C$12)),0,IF(S25&lt;&gt;0,R26-R25,IF(S24=0,R26-R23,R26-R24)))</f>
        <v>0.92000000000000171</v>
      </c>
      <c r="T26" s="109">
        <f t="shared" si="6"/>
        <v>0.34960000000000063</v>
      </c>
    </row>
    <row r="27" spans="1:23" x14ac:dyDescent="0.25">
      <c r="A27" s="59">
        <v>149</v>
      </c>
      <c r="B27" s="56" t="s">
        <v>12</v>
      </c>
      <c r="C27" s="5">
        <f>VLOOKUP(B27,Log!$B$2:$C$8,2,)</f>
        <v>1</v>
      </c>
      <c r="D27" s="5">
        <v>29.2</v>
      </c>
      <c r="E27" s="34">
        <f>IF(OR(AND(B27="Motorbike",D27-D26&lt;Log!$C$13),AND(B27&lt;&gt;"Motorbike",D27-D26&lt;Log!$C$12)),0,IF(E26&lt;&gt;0,D27-D26,IF(E25=0,D27-D24,D27-D25)))</f>
        <v>1.9600000000000009</v>
      </c>
      <c r="F27" s="34">
        <f t="shared" si="4"/>
        <v>1.9600000000000009</v>
      </c>
      <c r="H27" s="16">
        <v>219</v>
      </c>
      <c r="I27" s="4" t="s">
        <v>12</v>
      </c>
      <c r="J27" s="5">
        <f>VLOOKUP(I27,Log!$B$2:$C$8,2,)</f>
        <v>1</v>
      </c>
      <c r="K27" s="4">
        <v>36.24</v>
      </c>
      <c r="L27" s="34">
        <f>IF(OR(AND(I27="Motorbike",K27-K26&lt;Log!$C$13),AND(I27&lt;&gt;"Motorbike",K27-K26&lt;Log!$C$12)),0,IF(L26&lt;&gt;0,K27-K26,IF(L25=0,K27-K24,K27-K25)))</f>
        <v>4.6000000000000014</v>
      </c>
      <c r="M27" s="34">
        <f t="shared" si="5"/>
        <v>4.6000000000000014</v>
      </c>
      <c r="N27" s="15"/>
      <c r="O27" s="60">
        <v>147</v>
      </c>
      <c r="P27" s="56" t="s">
        <v>14</v>
      </c>
      <c r="Q27" s="5">
        <f>VLOOKUP(P27,Log!$B$2:$C$8,2,)</f>
        <v>0.45</v>
      </c>
      <c r="R27" s="4">
        <v>24.4</v>
      </c>
      <c r="S27" s="34">
        <f>IF(OR(AND(P27="Motorbike",R27-R26&lt;Log!$C$13),AND(P27&lt;&gt;"Motorbike",R27-R26&lt;Log!$C$12)),0,IF(S26&lt;&gt;0,R27-R26,IF(S25=0,R27-R24,R27-R25)))</f>
        <v>1.4799999999999969</v>
      </c>
      <c r="T27" s="109">
        <f t="shared" si="6"/>
        <v>1.3319999999999972</v>
      </c>
    </row>
    <row r="28" spans="1:23" x14ac:dyDescent="0.25">
      <c r="A28" s="60">
        <v>188</v>
      </c>
      <c r="B28" s="56" t="s">
        <v>12</v>
      </c>
      <c r="C28" s="5">
        <f>VLOOKUP(B28,Log!$B$2:$C$8,2,)</f>
        <v>1</v>
      </c>
      <c r="D28" s="5">
        <v>30.52</v>
      </c>
      <c r="E28" s="34">
        <f>IF(OR(AND(B28="Motorbike",D28-D27&lt;Log!$C$13),AND(B28&lt;&gt;"Motorbike",D28-D27&lt;Log!$C$12)),0,IF(E27&lt;&gt;0,D28-D27,IF(E26=0,D28-D25,D28-D26)))</f>
        <v>1.3200000000000003</v>
      </c>
      <c r="F28" s="34">
        <f t="shared" si="4"/>
        <v>2.4156000000000004</v>
      </c>
      <c r="H28" s="54"/>
      <c r="I28" s="54"/>
      <c r="J28" s="54"/>
      <c r="K28" s="54"/>
      <c r="L28" s="54"/>
      <c r="M28" s="54"/>
      <c r="N28" s="15"/>
      <c r="O28" s="60">
        <v>158</v>
      </c>
      <c r="P28" s="56" t="s">
        <v>14</v>
      </c>
      <c r="Q28" s="5">
        <f>VLOOKUP(P28,Log!$B$2:$C$8,2,)</f>
        <v>0.45</v>
      </c>
      <c r="R28" s="4">
        <v>25.04</v>
      </c>
      <c r="S28" s="34">
        <f>IF(OR(AND(P28="Motorbike",R28-R27&lt;Log!$C$13),AND(P28&lt;&gt;"Motorbike",R28-R27&lt;Log!$C$12)),0,IF(S27&lt;&gt;0,R28-R27,IF(S26=0,R28-R25,R28-R26)))</f>
        <v>0</v>
      </c>
      <c r="T28" s="109">
        <f t="shared" si="6"/>
        <v>0</v>
      </c>
    </row>
    <row r="29" spans="1:23" ht="15.75" thickBot="1" x14ac:dyDescent="0.3">
      <c r="A29" s="60">
        <v>189</v>
      </c>
      <c r="B29" s="56" t="s">
        <v>13</v>
      </c>
      <c r="C29" s="5">
        <f>VLOOKUP(B29,Log!$B$2:$C$8,2,)</f>
        <v>0.38</v>
      </c>
      <c r="D29" s="5">
        <v>30.72</v>
      </c>
      <c r="E29" s="34">
        <f>IF(OR(AND(B29="Motorbike",D29-D28&lt;Log!$C$13),AND(B29&lt;&gt;"Motorbike",D29-D28&lt;Log!$C$12)),0,IF(E28&lt;&gt;0,D29-D28,IF(E27=0,D29-D26,D29-D27)))</f>
        <v>0</v>
      </c>
      <c r="F29" s="34">
        <f t="shared" si="4"/>
        <v>0</v>
      </c>
      <c r="H29" s="54"/>
      <c r="I29" s="54"/>
      <c r="J29" s="54"/>
      <c r="K29" s="54"/>
      <c r="L29" s="54"/>
      <c r="M29" s="54"/>
      <c r="N29" s="15"/>
      <c r="O29" s="61">
        <v>167</v>
      </c>
      <c r="P29" s="56" t="s">
        <v>12</v>
      </c>
      <c r="Q29" s="5">
        <f>VLOOKUP(P29,Log!$B$2:$C$8,2,)</f>
        <v>1</v>
      </c>
      <c r="R29" s="4">
        <v>26.52</v>
      </c>
      <c r="S29" s="34">
        <f>IF(OR(AND(P29="Motorbike",R29-R28&lt;Log!$C$13),AND(P29&lt;&gt;"Motorbike",R29-R28&lt;Log!$C$12)),0,IF(S28&lt;&gt;0,R29-R28,IF(S27=0,R29-R26,R29-R27)))</f>
        <v>2.120000000000001</v>
      </c>
      <c r="T29" s="109">
        <f t="shared" si="6"/>
        <v>2.120000000000001</v>
      </c>
      <c r="W29" s="11"/>
    </row>
    <row r="30" spans="1:23" x14ac:dyDescent="0.25">
      <c r="A30" s="60">
        <v>187</v>
      </c>
      <c r="B30" s="56" t="s">
        <v>14</v>
      </c>
      <c r="C30" s="5">
        <f>VLOOKUP(B30,Log!$B$2:$C$8,2,)</f>
        <v>0.45</v>
      </c>
      <c r="D30" s="5">
        <v>31</v>
      </c>
      <c r="E30" s="34">
        <f>IF(OR(AND(B30="Motorbike",D30-D29&lt;Log!$C$13),AND(B30&lt;&gt;"Motorbike",D30-D29&lt;Log!$C$12)),0,IF(E29&lt;&gt;0,D30-D29,IF(E28=0,D30-D27,D30-D28)))</f>
        <v>0</v>
      </c>
      <c r="F30" s="34">
        <f t="shared" si="4"/>
        <v>0</v>
      </c>
      <c r="H30" s="54"/>
      <c r="I30" s="54"/>
      <c r="J30" s="54"/>
      <c r="K30" s="54"/>
      <c r="L30" s="54"/>
      <c r="M30" s="54"/>
      <c r="N30" s="15"/>
      <c r="O30" s="58">
        <v>183</v>
      </c>
      <c r="P30" s="4" t="s">
        <v>33</v>
      </c>
      <c r="Q30" s="5">
        <f>VLOOKUP(P30,Log!$B$2:$C$8,2,)</f>
        <v>1.84</v>
      </c>
      <c r="R30" s="4">
        <v>31.84</v>
      </c>
      <c r="S30" s="34">
        <f>IF(OR(AND(P30="Motorbike",R30-R29&lt;Log!$C$13),AND(P30&lt;&gt;"Motorbike",R30-R29&lt;Log!$C$12)),0,IF(S29&lt;&gt;0,R30-R29,IF(S28=0,R30-R27,R30-R28)))</f>
        <v>5.32</v>
      </c>
      <c r="T30" s="34">
        <f t="shared" si="6"/>
        <v>9.7888000000000002</v>
      </c>
      <c r="W30" s="11"/>
    </row>
    <row r="31" spans="1:23" x14ac:dyDescent="0.25">
      <c r="A31" s="60">
        <v>173</v>
      </c>
      <c r="B31" s="56" t="s">
        <v>28</v>
      </c>
      <c r="C31" s="5">
        <f>VLOOKUP(B31,Log!$B$2:$C$8,2,)</f>
        <v>1.02</v>
      </c>
      <c r="D31" s="5">
        <v>32.520000000000003</v>
      </c>
      <c r="E31" s="34">
        <f>IF(OR(AND(B31="Motorbike",D31-D30&lt;Log!$C$13),AND(B31&lt;&gt;"Motorbike",D31-D30&lt;Log!$C$12)),0,IF(E30&lt;&gt;0,D31-D30,IF(E29=0,D31-D28,D31-D29)))</f>
        <v>2.0000000000000036</v>
      </c>
      <c r="F31" s="34">
        <f t="shared" si="4"/>
        <v>4.0400000000000071</v>
      </c>
      <c r="H31" s="54"/>
      <c r="I31" s="54"/>
      <c r="J31" s="54"/>
      <c r="K31" s="54"/>
      <c r="L31" s="54"/>
      <c r="M31" s="54"/>
      <c r="N31" s="15"/>
      <c r="O31" s="4">
        <v>203</v>
      </c>
      <c r="P31" s="4" t="s">
        <v>13</v>
      </c>
      <c r="Q31" s="5">
        <f>VLOOKUP(P31,Log!$B$2:$C$8,2,)</f>
        <v>0.38</v>
      </c>
      <c r="R31" s="4">
        <v>33.64</v>
      </c>
      <c r="S31" s="34">
        <f>IF(OR(AND(P31="Motorbike",R31-R30&lt;Log!$C$13),AND(P31&lt;&gt;"Motorbike",R31-R30&lt;Log!$C$12)),0,IF(S30&lt;&gt;0,R31-R30,IF(S29=0,R31-R28,R31-R29)))</f>
        <v>1.8000000000000007</v>
      </c>
      <c r="T31" s="34">
        <f t="shared" si="6"/>
        <v>0.68400000000000027</v>
      </c>
      <c r="W31" s="11"/>
    </row>
    <row r="32" spans="1:23" x14ac:dyDescent="0.25">
      <c r="A32" s="60">
        <v>190</v>
      </c>
      <c r="B32" s="56" t="s">
        <v>12</v>
      </c>
      <c r="C32" s="5">
        <f>VLOOKUP(B32,Log!$B$2:$C$8,2,)</f>
        <v>1</v>
      </c>
      <c r="D32" s="5">
        <v>32.520000000000003</v>
      </c>
      <c r="E32" s="34">
        <f>IF(OR(AND(B32="Motorbike",D32-D31&lt;Log!$C$13),AND(B32&lt;&gt;"Motorbike",D32-D31&lt;Log!$C$12)),0,IF(E31&lt;&gt;0,D32-D31,IF(E30=0,D32-D29,D32-D30)))</f>
        <v>0</v>
      </c>
      <c r="F32" s="34">
        <f t="shared" si="4"/>
        <v>0</v>
      </c>
      <c r="H32" s="54"/>
      <c r="I32" s="54"/>
      <c r="J32" s="54"/>
      <c r="K32" s="54"/>
      <c r="L32" s="54"/>
      <c r="M32" s="54"/>
      <c r="N32" s="15"/>
      <c r="O32" s="4">
        <v>219</v>
      </c>
      <c r="P32" s="4" t="s">
        <v>12</v>
      </c>
      <c r="Q32" s="5">
        <f>VLOOKUP(P32,Log!$B$2:$C$8,2,)</f>
        <v>1</v>
      </c>
      <c r="R32" s="4">
        <v>36.64</v>
      </c>
      <c r="S32" s="34">
        <f>IF(OR(AND(P32="Motorbike",R32-R31&lt;Log!$C$13),AND(P32&lt;&gt;"Motorbike",R32-R31&lt;Log!$C$12)),0,IF(S31&lt;&gt;0,R32-R31,IF(S30=0,R32-R29,R32-R30)))</f>
        <v>3</v>
      </c>
      <c r="T32" s="34">
        <f t="shared" si="6"/>
        <v>3</v>
      </c>
      <c r="W32" s="11"/>
    </row>
    <row r="33" spans="1:23" x14ac:dyDescent="0.25">
      <c r="A33" s="60">
        <v>212</v>
      </c>
      <c r="B33" s="56" t="s">
        <v>14</v>
      </c>
      <c r="C33" s="5">
        <f>VLOOKUP(B33,Log!$B$2:$C$8,2,)</f>
        <v>0.45</v>
      </c>
      <c r="D33" s="5">
        <v>34.24</v>
      </c>
      <c r="E33" s="34">
        <f>IF(OR(AND(B33="Motorbike",D33-D32&lt;Log!$C$13),AND(B33&lt;&gt;"Motorbike",D33-D32&lt;Log!$C$12)),0,IF(E32&lt;&gt;0,D33-D32,IF(E31=0,D33-D30,D33-D31)))</f>
        <v>1.7199999999999989</v>
      </c>
      <c r="F33" s="34">
        <f t="shared" si="4"/>
        <v>0.77399999999999947</v>
      </c>
      <c r="H33" s="52"/>
      <c r="I33" s="53"/>
      <c r="J33" s="15"/>
      <c r="L33" s="54"/>
      <c r="M33" s="54"/>
      <c r="N33" s="15"/>
      <c r="W33" s="11"/>
    </row>
    <row r="34" spans="1:23" x14ac:dyDescent="0.25">
      <c r="A34" s="60">
        <v>216</v>
      </c>
      <c r="B34" s="56" t="s">
        <v>12</v>
      </c>
      <c r="C34" s="5">
        <f>VLOOKUP(B34,Log!$B$2:$C$8,2,)</f>
        <v>1</v>
      </c>
      <c r="D34" s="5">
        <v>35.799999999999997</v>
      </c>
      <c r="E34" s="34">
        <f>IF(OR(AND(B34="Motorbike",D34-D33&lt;Log!$C$13),AND(B34&lt;&gt;"Motorbike",D34-D33&lt;Log!$C$12)),0,IF(E33&lt;&gt;0,D34-D33,IF(E32=0,D34-D31,D34-D32)))</f>
        <v>1.5599999999999952</v>
      </c>
      <c r="F34" s="34">
        <f t="shared" si="4"/>
        <v>2.2619999999999929</v>
      </c>
      <c r="H34" s="52"/>
      <c r="I34" s="53"/>
      <c r="J34" s="15"/>
      <c r="L34" s="54"/>
      <c r="M34" s="54"/>
      <c r="N34" s="15"/>
      <c r="W34" s="11"/>
    </row>
    <row r="35" spans="1:23" x14ac:dyDescent="0.25">
      <c r="A35" s="60">
        <v>215</v>
      </c>
      <c r="B35" s="56" t="s">
        <v>14</v>
      </c>
      <c r="C35" s="5">
        <f>VLOOKUP(B35,Log!$B$2:$C$8,2,)</f>
        <v>0.45</v>
      </c>
      <c r="D35" s="5">
        <v>35.799999999999997</v>
      </c>
      <c r="E35" s="34">
        <f>IF(OR(AND(B35="Motorbike",D35-D34&lt;Log!$C$13),AND(B35&lt;&gt;"Motorbike",D35-D34&lt;Log!$C$12)),0,IF(E34&lt;&gt;0,D35-D34,IF(E33=0,D35-D32,D35-D33)))</f>
        <v>0</v>
      </c>
      <c r="F35" s="34">
        <f t="shared" si="4"/>
        <v>0</v>
      </c>
      <c r="H35" s="55"/>
      <c r="J35" s="15"/>
      <c r="L35" s="54"/>
      <c r="M35" s="54"/>
      <c r="W35" s="11"/>
    </row>
    <row r="36" spans="1:23" x14ac:dyDescent="0.25">
      <c r="A36" s="60">
        <v>196</v>
      </c>
      <c r="B36" s="56" t="s">
        <v>14</v>
      </c>
      <c r="C36" s="5">
        <f>VLOOKUP(B36,Log!$B$2:$C$8,2,)</f>
        <v>0.45</v>
      </c>
      <c r="D36" s="5">
        <v>37.24</v>
      </c>
      <c r="E36" s="34">
        <f>IF(OR(AND(B36="Motorbike",D36-D35&lt;Log!$C$13),AND(B36&lt;&gt;"Motorbike",D36-D35&lt;Log!$C$12)),0,IF(E35&lt;&gt;0,D36-D35,IF(E34=0,D36-D33,D36-D34)))</f>
        <v>1.4400000000000048</v>
      </c>
      <c r="F36" s="34">
        <f t="shared" si="4"/>
        <v>2.0880000000000067</v>
      </c>
      <c r="H36" s="55"/>
      <c r="J36" s="15"/>
      <c r="L36" s="54"/>
      <c r="M36" s="54"/>
      <c r="W36" s="11"/>
    </row>
    <row r="37" spans="1:23" ht="15.75" thickBot="1" x14ac:dyDescent="0.3">
      <c r="A37" s="61">
        <v>218</v>
      </c>
      <c r="B37" s="56" t="s">
        <v>12</v>
      </c>
      <c r="C37" s="5">
        <f>VLOOKUP(B37,Log!$B$2:$C$8,2,)</f>
        <v>1</v>
      </c>
      <c r="D37" s="5">
        <v>37.92</v>
      </c>
      <c r="E37" s="34">
        <f>IF(OR(AND(B37="Motorbike",D37-D36&lt;Log!$C$13),AND(B37&lt;&gt;"Motorbike",D37-D36&lt;Log!$C$12)),0,IF(E36&lt;&gt;0,D37-D36,IF(E35=0,D37-D34,D37-D35)))</f>
        <v>0</v>
      </c>
      <c r="F37" s="34">
        <f t="shared" si="4"/>
        <v>0</v>
      </c>
      <c r="H37" s="55"/>
      <c r="J37" s="15"/>
      <c r="L37" s="54"/>
      <c r="M37" s="54"/>
      <c r="W37" s="11"/>
    </row>
    <row r="38" spans="1:23" x14ac:dyDescent="0.25"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>
        <f>AVERAGE(S30:S34)</f>
        <v>3.3733333333333335</v>
      </c>
      <c r="T52" s="9">
        <f>AVERAGE(T30:T34)</f>
        <v>4.4909333333333334</v>
      </c>
    </row>
    <row r="53" spans="19:20" x14ac:dyDescent="0.25">
      <c r="S53" s="10">
        <f>3600/S52</f>
        <v>1067.193675889328</v>
      </c>
      <c r="T53" s="10">
        <f>3600/T52</f>
        <v>801.61510599133067</v>
      </c>
    </row>
  </sheetData>
  <mergeCells count="4">
    <mergeCell ref="C1:D1"/>
    <mergeCell ref="A11:F11"/>
    <mergeCell ref="H11:M11"/>
    <mergeCell ref="O11:T11"/>
  </mergeCells>
  <conditionalFormatting sqref="E15:E37">
    <cfRule type="cellIs" dxfId="157" priority="19" operator="greaterThanOrEqual">
      <formula>4</formula>
    </cfRule>
  </conditionalFormatting>
  <conditionalFormatting sqref="E13:F13">
    <cfRule type="cellIs" dxfId="156" priority="42" operator="greaterThan">
      <formula>4</formula>
    </cfRule>
  </conditionalFormatting>
  <conditionalFormatting sqref="F14:F37">
    <cfRule type="cellIs" dxfId="155" priority="21" operator="greaterThan">
      <formula>4</formula>
    </cfRule>
  </conditionalFormatting>
  <conditionalFormatting sqref="H28:M32 L33:M37">
    <cfRule type="cellIs" dxfId="154" priority="47" operator="greaterThan">
      <formula>4</formula>
    </cfRule>
  </conditionalFormatting>
  <conditionalFormatting sqref="L15:L27">
    <cfRule type="cellIs" dxfId="153" priority="2" operator="greaterThanOrEqual">
      <formula>4</formula>
    </cfRule>
  </conditionalFormatting>
  <conditionalFormatting sqref="L13:M13">
    <cfRule type="cellIs" dxfId="152" priority="38" operator="greaterThan">
      <formula>4</formula>
    </cfRule>
  </conditionalFormatting>
  <conditionalFormatting sqref="M14:M27">
    <cfRule type="cellIs" dxfId="151" priority="14" operator="greaterThan">
      <formula>4</formula>
    </cfRule>
  </conditionalFormatting>
  <conditionalFormatting sqref="S15:S32">
    <cfRule type="cellIs" dxfId="150" priority="5" operator="greaterThanOrEqual">
      <formula>4</formula>
    </cfRule>
  </conditionalFormatting>
  <conditionalFormatting sqref="S13:T13">
    <cfRule type="cellIs" dxfId="149" priority="35" operator="greaterThan">
      <formula>4</formula>
    </cfRule>
  </conditionalFormatting>
  <conditionalFormatting sqref="T14:T32">
    <cfRule type="cellIs" dxfId="148" priority="7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0AEC056-DE6C-4836-B634-F517FEAA75C3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20" id="{0CBA696A-29FA-4DF9-AE9F-CED9A0F7F5CD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E14:E37</xm:sqref>
        </x14:conditionalFormatting>
        <x14:conditionalFormatting xmlns:xm="http://schemas.microsoft.com/office/excel/2006/main">
          <x14:cfRule type="expression" priority="1" id="{0E939D02-67D8-4D34-B467-8687D003059B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3" id="{E5F8CEBE-506B-4598-A371-6E8D383675AB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L14:L27</xm:sqref>
        </x14:conditionalFormatting>
        <x14:conditionalFormatting xmlns:xm="http://schemas.microsoft.com/office/excel/2006/main">
          <x14:cfRule type="expression" priority="4" id="{0B0CF1C2-2257-4BFB-8A92-C7298CEAC099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6" id="{EEFDABD5-20CC-4BA2-900C-3B4AE55C30D4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S14:S32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BBB70-881D-4F23-AFD2-FC6A909E180A}">
  <sheetPr codeName="Sheet7"/>
  <dimension ref="A1:W53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51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18.52</v>
      </c>
      <c r="M2" s="19">
        <f>SUM(M20:M28)</f>
        <v>17.585599999999999</v>
      </c>
      <c r="R2" s="4" t="s">
        <v>20</v>
      </c>
      <c r="S2" s="8">
        <f>SUM(S25:S28)</f>
        <v>5</v>
      </c>
      <c r="T2" s="8">
        <f>SUM(T25:T28)</f>
        <v>3.5144000000000002</v>
      </c>
    </row>
    <row r="3" spans="1:20" x14ac:dyDescent="0.25">
      <c r="K3" s="4" t="s">
        <v>21</v>
      </c>
      <c r="L3" s="20">
        <f>AVERAGE(L24:L26)</f>
        <v>1.3999999999999997</v>
      </c>
      <c r="M3" s="67">
        <f>AVERAGE(M21:M26)</f>
        <v>2.0576000000000003</v>
      </c>
      <c r="R3" s="4" t="s">
        <v>21</v>
      </c>
      <c r="S3" s="9">
        <f>AVERAGE(S25:S28)</f>
        <v>1.25</v>
      </c>
      <c r="T3" s="9">
        <f>AVERAGE(T23:T32)</f>
        <v>1.0845500000000001</v>
      </c>
    </row>
    <row r="4" spans="1:20" x14ac:dyDescent="0.25">
      <c r="A4" s="4" t="s">
        <v>12</v>
      </c>
      <c r="B4" s="144">
        <f>100*COUNTIF($B$13:$B$38,A4)/COUNTA($B$13:$B$38)</f>
        <v>50</v>
      </c>
      <c r="H4" s="4" t="s">
        <v>12</v>
      </c>
      <c r="I4" s="144">
        <f>100*COUNTIF($I$13:$I$33,H4)/COUNTA($I$13:$I$33)</f>
        <v>66.666666666666671</v>
      </c>
      <c r="K4" s="4" t="s">
        <v>7</v>
      </c>
      <c r="L4" s="23">
        <f>3600/L3</f>
        <v>2571.428571428572</v>
      </c>
      <c r="M4" s="68">
        <f>3600/M3</f>
        <v>1749.6111975116637</v>
      </c>
      <c r="O4" s="4" t="s">
        <v>12</v>
      </c>
      <c r="P4" s="144">
        <f>100*COUNTIF($P$13:$P$32,O4)/COUNTA($P$13:$P$32)</f>
        <v>44.444444444444443</v>
      </c>
      <c r="R4" s="4" t="s">
        <v>7</v>
      </c>
      <c r="S4" s="10">
        <f>3600/S3</f>
        <v>2880</v>
      </c>
      <c r="T4" s="10">
        <f>3600/T3</f>
        <v>3319.3490387718407</v>
      </c>
    </row>
    <row r="5" spans="1:20" x14ac:dyDescent="0.25">
      <c r="A5" s="4" t="s">
        <v>14</v>
      </c>
      <c r="B5" s="144">
        <f t="shared" ref="B5:B7" si="0">100*COUNTIF($B$13:$B$38,A5)/COUNTA($B$13:$B$38)</f>
        <v>25</v>
      </c>
      <c r="H5" s="4" t="s">
        <v>14</v>
      </c>
      <c r="I5" s="144">
        <f t="shared" ref="I5:I7" si="1">100*COUNTIF($I$13:$I$33,H5)/COUNTA($I$13:$I$33)</f>
        <v>14.285714285714286</v>
      </c>
      <c r="O5" s="4" t="s">
        <v>14</v>
      </c>
      <c r="P5" s="144">
        <f t="shared" ref="P5:P7" si="2">100*COUNTIF($P$13:$P$32,O5)/COUNTA($P$13:$P$32)</f>
        <v>22.222222222222221</v>
      </c>
    </row>
    <row r="6" spans="1:20" x14ac:dyDescent="0.25">
      <c r="A6" s="4" t="s">
        <v>13</v>
      </c>
      <c r="B6" s="144">
        <f t="shared" si="0"/>
        <v>25</v>
      </c>
      <c r="E6" s="29" t="s">
        <v>32</v>
      </c>
      <c r="F6" s="29" t="s">
        <v>31</v>
      </c>
      <c r="H6" s="4" t="s">
        <v>13</v>
      </c>
      <c r="I6" s="144">
        <f t="shared" si="1"/>
        <v>19.047619047619047</v>
      </c>
      <c r="L6" s="29" t="s">
        <v>32</v>
      </c>
      <c r="M6" s="29" t="s">
        <v>31</v>
      </c>
      <c r="O6" s="4" t="s">
        <v>13</v>
      </c>
      <c r="P6" s="144">
        <f t="shared" si="2"/>
        <v>27.777777777777779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0</v>
      </c>
      <c r="D7" s="30" t="s">
        <v>30</v>
      </c>
      <c r="E7" s="25">
        <f>SUM(E14:E30)</f>
        <v>26.12</v>
      </c>
      <c r="F7" s="25">
        <f>SUM(F14:F30)</f>
        <v>24.962399999999999</v>
      </c>
      <c r="H7" s="4" t="s">
        <v>28</v>
      </c>
      <c r="I7" s="144">
        <f t="shared" si="1"/>
        <v>0</v>
      </c>
      <c r="K7" s="30" t="s">
        <v>30</v>
      </c>
      <c r="L7" s="25">
        <f>SUM(L14:L37)</f>
        <v>36.839999999999996</v>
      </c>
      <c r="M7" s="25">
        <f>SUM(M14:M37)</f>
        <v>34.2804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18.599999999999998</v>
      </c>
      <c r="T7" s="25">
        <f>SUM(T13:T23)</f>
        <v>18.746000000000002</v>
      </c>
    </row>
    <row r="8" spans="1:20" ht="15.75" thickBot="1" x14ac:dyDescent="0.3">
      <c r="D8" s="30" t="s">
        <v>21</v>
      </c>
      <c r="E8" s="28">
        <f>AVERAGEIF(E16:E27,"&lt;&gt;0")</f>
        <v>1.9309090909090907</v>
      </c>
      <c r="F8" s="28">
        <f>AVERAGEIF(F15:F24,"&lt;&gt;0")</f>
        <v>1.75928</v>
      </c>
      <c r="K8" s="30" t="s">
        <v>21</v>
      </c>
      <c r="L8" s="28">
        <f>AVERAGEIF(L14:L33,"&lt;&gt;0")</f>
        <v>2.0466666666666664</v>
      </c>
      <c r="M8" s="28">
        <f>AVERAGEIF(M14:M33,"&lt;&gt;0")</f>
        <v>1.9044666666666668</v>
      </c>
      <c r="O8" s="4" t="s">
        <v>15</v>
      </c>
      <c r="P8" s="144">
        <f t="shared" ref="P8:P9" si="3">100*COUNTIF($P$13:$P$39,O8)/COUNTA($P$13:$P$39)</f>
        <v>5.5555555555555554</v>
      </c>
      <c r="R8" s="30" t="s">
        <v>21</v>
      </c>
      <c r="S8" s="28">
        <f>AVERAGEIF(S14:S28,"&lt;&gt;0")</f>
        <v>2.1066666666666665</v>
      </c>
      <c r="T8" s="28">
        <f>AVERAGEIF(T15:T28,"&lt;&gt;0")</f>
        <v>1.9892727272727273</v>
      </c>
    </row>
    <row r="9" spans="1:20" ht="15.75" thickBot="1" x14ac:dyDescent="0.3">
      <c r="D9" s="30" t="s">
        <v>7</v>
      </c>
      <c r="E9" s="27">
        <f>3600/E8</f>
        <v>1864.4067796610173</v>
      </c>
      <c r="F9" s="31">
        <f>3600/F8</f>
        <v>2046.2916647719521</v>
      </c>
      <c r="K9" s="30" t="s">
        <v>7</v>
      </c>
      <c r="L9" s="27">
        <f>3600/L8</f>
        <v>1758.9576547231272</v>
      </c>
      <c r="M9" s="31">
        <f>3600/M8</f>
        <v>1890.2929954142892</v>
      </c>
      <c r="O9" s="4" t="s">
        <v>33</v>
      </c>
      <c r="P9" s="144">
        <f t="shared" si="3"/>
        <v>0</v>
      </c>
      <c r="R9" s="30" t="s">
        <v>7</v>
      </c>
      <c r="S9" s="27">
        <f>3600/S8</f>
        <v>1708.8607594936711</v>
      </c>
      <c r="T9" s="31">
        <f>3600/T8</f>
        <v>1809.7066081710996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3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6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59">
        <v>4</v>
      </c>
      <c r="B13" s="56" t="s">
        <v>12</v>
      </c>
      <c r="C13" s="5">
        <f>VLOOKUP(B13,Log!$B$2:$C$8,2,)</f>
        <v>1</v>
      </c>
      <c r="D13" s="5">
        <v>4.2</v>
      </c>
      <c r="E13" s="34">
        <v>0</v>
      </c>
      <c r="F13" s="34">
        <v>0</v>
      </c>
      <c r="H13" s="65">
        <v>2</v>
      </c>
      <c r="I13" s="62" t="s">
        <v>12</v>
      </c>
      <c r="J13" s="5">
        <f>VLOOKUP(I13,Log!$B$2:$C$8,2,)</f>
        <v>1</v>
      </c>
      <c r="K13" s="4">
        <v>1.88</v>
      </c>
      <c r="L13" s="34">
        <v>0</v>
      </c>
      <c r="M13" s="34">
        <v>0</v>
      </c>
      <c r="N13" s="15"/>
      <c r="O13" s="65">
        <v>6</v>
      </c>
      <c r="P13" s="56" t="s">
        <v>13</v>
      </c>
      <c r="Q13" s="5">
        <f>VLOOKUP(P13,Log!$B$2:$C$8,2,)</f>
        <v>0.38</v>
      </c>
      <c r="R13" s="4">
        <v>3.72</v>
      </c>
      <c r="S13" s="34">
        <v>0</v>
      </c>
      <c r="T13" s="34">
        <v>0</v>
      </c>
    </row>
    <row r="14" spans="1:20" x14ac:dyDescent="0.25">
      <c r="A14" s="60">
        <v>18</v>
      </c>
      <c r="B14" s="56" t="s">
        <v>14</v>
      </c>
      <c r="C14" s="5">
        <f>VLOOKUP(B14,Log!$B$2:$C$8,2,)</f>
        <v>0.45</v>
      </c>
      <c r="D14" s="5">
        <v>6.32</v>
      </c>
      <c r="E14" s="34">
        <f>IF(OR(AND(B14="Motorbike",D14-D13&lt;Log!$C$13),AND(B14&lt;&gt;"Motorbike",D14-D13&lt;Log!$C$12)),0,D14-D13)</f>
        <v>2.12</v>
      </c>
      <c r="F14" s="109">
        <f>IF(E15&lt;&gt;0,C14*E14,IF(E16=0,(C14+C15+C16)*E14,(C14+C15)*E14))</f>
        <v>0.95400000000000007</v>
      </c>
      <c r="H14" s="73">
        <v>5</v>
      </c>
      <c r="I14" s="62" t="s">
        <v>12</v>
      </c>
      <c r="J14" s="5">
        <f>VLOOKUP(I14,Log!$B$2:$C$8,2,)</f>
        <v>1</v>
      </c>
      <c r="K14" s="4">
        <v>3.68</v>
      </c>
      <c r="L14" s="34">
        <f>IF(OR(AND(I14="Motorbike",K14-K13&lt;Log!$C$13),AND(I14&lt;&gt;"Motorbike",K14-K13&lt;Log!$C$12)),0,K14-K13)</f>
        <v>1.8000000000000003</v>
      </c>
      <c r="M14" s="109">
        <f>IF(L15&lt;&gt;0,J14*L14,IF(L16=0,(J14+J15+J16)*L14,(J14+J15)*L14))</f>
        <v>1.8000000000000003</v>
      </c>
      <c r="N14" s="15"/>
      <c r="O14" s="73">
        <v>49</v>
      </c>
      <c r="P14" s="62" t="s">
        <v>13</v>
      </c>
      <c r="Q14" s="5">
        <f>VLOOKUP(P14,Log!$B$2:$C$8,2,)</f>
        <v>0.38</v>
      </c>
      <c r="R14" s="4">
        <v>6.2</v>
      </c>
      <c r="S14" s="34">
        <f>IF(OR(AND(P14="Motorbike",R14-R13&lt;Log!$C$13),AND(P14&lt;&gt;"Motorbike",R14-R13&lt;Log!$C$12)),0,R14-R13)</f>
        <v>2.48</v>
      </c>
      <c r="T14" s="34">
        <f t="shared" ref="T14:T30" si="4">IF(S15&lt;&gt;0,Q14*S14,IF(S16=0,(Q14+Q15+Q16)*S14,(Q14+Q15)*S14))</f>
        <v>2.0584000000000002</v>
      </c>
    </row>
    <row r="15" spans="1:20" x14ac:dyDescent="0.25">
      <c r="A15" s="85">
        <v>37</v>
      </c>
      <c r="B15" s="56" t="s">
        <v>13</v>
      </c>
      <c r="C15" s="5">
        <f>VLOOKUP(B15,Log!$B$2:$C$8,2,)</f>
        <v>0.38</v>
      </c>
      <c r="D15" s="5">
        <v>7.08</v>
      </c>
      <c r="E15" s="34">
        <f>IF(OR(AND(B15="Motorbike",D15-D14&lt;Log!$C$13),AND(B15&lt;&gt;"Motorbike",D15-D14&lt;Log!$C$12)),0,D15-D14)</f>
        <v>0.75999999999999979</v>
      </c>
      <c r="F15" s="109">
        <f t="shared" ref="F15:F36" si="5">IF(E16&lt;&gt;0,C15*E15,IF(E17=0,(C15+C16+C17)*E15,(C15+C16)*E15))</f>
        <v>0.28879999999999995</v>
      </c>
      <c r="H15" s="74">
        <v>27</v>
      </c>
      <c r="I15" s="62" t="s">
        <v>14</v>
      </c>
      <c r="J15" s="5">
        <f>VLOOKUP(I15,Log!$B$2:$C$8,2,)</f>
        <v>0.45</v>
      </c>
      <c r="K15" s="4">
        <v>7.52</v>
      </c>
      <c r="L15" s="34">
        <f>IF(OR(AND(I15="Motorbike",K15-K14&lt;Log!$C$13),AND(I15&lt;&gt;"Motorbike",K15-K14&lt;Log!$C$12)),0,K15-K14)</f>
        <v>3.8399999999999994</v>
      </c>
      <c r="M15" s="109">
        <f t="shared" ref="M15:M33" si="6">IF(L16&lt;&gt;0,J15*L15,IF(L17=0,(J15+J16+J17)*L15,(J15+J16)*L15))</f>
        <v>5.5679999999999987</v>
      </c>
      <c r="N15" s="15"/>
      <c r="O15" s="73">
        <v>45</v>
      </c>
      <c r="P15" s="56" t="s">
        <v>14</v>
      </c>
      <c r="Q15" s="5">
        <f>VLOOKUP(P15,Log!$B$2:$C$8,2,)</f>
        <v>0.45</v>
      </c>
      <c r="R15" s="4">
        <v>7.12</v>
      </c>
      <c r="S15" s="34">
        <f>IF(OR(AND(P15="Motorbike",R15-R14&lt;Log!$C$13),AND(P15&lt;&gt;"Motorbike",R15-R14&lt;Log!$C$12)),0,R15-R14)</f>
        <v>0</v>
      </c>
      <c r="T15" s="109">
        <f t="shared" si="4"/>
        <v>0</v>
      </c>
    </row>
    <row r="16" spans="1:20" x14ac:dyDescent="0.25">
      <c r="A16" s="60">
        <v>22</v>
      </c>
      <c r="B16" s="56" t="s">
        <v>12</v>
      </c>
      <c r="C16" s="5">
        <f>VLOOKUP(B16,Log!$B$2:$C$8,2,)</f>
        <v>1</v>
      </c>
      <c r="D16" s="5">
        <v>10.199999999999999</v>
      </c>
      <c r="E16" s="34">
        <f>IF(OR(AND(B16="Motorbike",D16-D15&lt;Log!$C$13),AND(B16&lt;&gt;"Motorbike",D16-D15&lt;Log!$C$12)),0,IF(E15&lt;&gt;0,D16-D15,IF(E14=0,D16-D13,D16-D14)))</f>
        <v>3.1199999999999992</v>
      </c>
      <c r="F16" s="109">
        <f t="shared" si="5"/>
        <v>3.1199999999999992</v>
      </c>
      <c r="H16" s="73">
        <v>13</v>
      </c>
      <c r="I16" s="62" t="s">
        <v>12</v>
      </c>
      <c r="J16" s="5">
        <f>VLOOKUP(I16,Log!$B$2:$C$8,2,)</f>
        <v>1</v>
      </c>
      <c r="K16" s="4">
        <v>8.48</v>
      </c>
      <c r="L16" s="34">
        <f>IF(OR(AND(I16="Motorbike",K16-K15&lt;Log!$C$13),AND(I16&lt;&gt;"Motorbike",K16-K15&lt;Log!$C$12)),0,IF(L15&lt;&gt;0,K16-K15,IF(L14=0,K16-K13,K16-K14)))</f>
        <v>0</v>
      </c>
      <c r="M16" s="109">
        <f t="shared" si="6"/>
        <v>0</v>
      </c>
      <c r="N16" s="15"/>
      <c r="O16" s="60">
        <v>28</v>
      </c>
      <c r="P16" s="56" t="s">
        <v>12</v>
      </c>
      <c r="Q16" s="5">
        <f>VLOOKUP(P16,Log!$B$2:$C$8,2,)</f>
        <v>1</v>
      </c>
      <c r="R16" s="4">
        <v>8.6</v>
      </c>
      <c r="S16" s="34">
        <f>IF(OR(AND(P16="Motorbike",R16-R15&lt;Log!$C$13),AND(P16&lt;&gt;"Motorbike",R16-R15&lt;Log!$C$12)),0,IF(S15&lt;&gt;0,R16-R15,IF(S14=0,R16-R13,R16-R14)))</f>
        <v>2.3999999999999995</v>
      </c>
      <c r="T16" s="109">
        <f t="shared" si="4"/>
        <v>2.3999999999999995</v>
      </c>
    </row>
    <row r="17" spans="1:23" x14ac:dyDescent="0.25">
      <c r="A17" s="97">
        <v>57</v>
      </c>
      <c r="B17" s="56" t="s">
        <v>12</v>
      </c>
      <c r="C17" s="5">
        <f>VLOOKUP(B17,Log!$B$2:$C$8,2,)</f>
        <v>1</v>
      </c>
      <c r="D17" s="5">
        <v>12.8</v>
      </c>
      <c r="E17" s="34">
        <f>IF(OR(AND(B17="Motorbike",D17-D16&lt;Log!$C$13),AND(B17&lt;&gt;"Motorbike",D17-D16&lt;Log!$C$12)),0,IF(E16&lt;&gt;0,D17-D16,IF(E15=0,D17-D14,D17-D15)))</f>
        <v>2.6000000000000014</v>
      </c>
      <c r="F17" s="109">
        <f t="shared" si="5"/>
        <v>2.6000000000000014</v>
      </c>
      <c r="H17" s="73">
        <v>54</v>
      </c>
      <c r="I17" s="56" t="s">
        <v>12</v>
      </c>
      <c r="J17" s="5">
        <f>VLOOKUP(I17,Log!$B$2:$C$8,2,)</f>
        <v>1</v>
      </c>
      <c r="K17" s="4">
        <v>10.119999999999999</v>
      </c>
      <c r="L17" s="34">
        <f>IF(OR(AND(I17="Motorbike",K17-K16&lt;Log!$C$13),AND(I17&lt;&gt;"Motorbike",K17-K16&lt;Log!$C$12)),0,IF(L16&lt;&gt;0,K17-K16,IF(L15=0,K17-K14,K17-K15)))</f>
        <v>2.5999999999999996</v>
      </c>
      <c r="M17" s="109">
        <f t="shared" si="6"/>
        <v>2.5999999999999996</v>
      </c>
      <c r="N17" s="15"/>
      <c r="O17" s="60">
        <v>81</v>
      </c>
      <c r="P17" s="56" t="s">
        <v>12</v>
      </c>
      <c r="Q17" s="5">
        <f>VLOOKUP(P17,Log!$B$2:$C$8,2,)</f>
        <v>1</v>
      </c>
      <c r="R17" s="4">
        <v>12.52</v>
      </c>
      <c r="S17" s="34">
        <f>IF(OR(AND(P17="Motorbike",R17-R16&lt;Log!$C$13),AND(P17&lt;&gt;"Motorbike",R17-R16&lt;Log!$C$12)),0,IF(S16&lt;&gt;0,R17-R16,IF(S15=0,R17-R14,R17-R15)))</f>
        <v>3.92</v>
      </c>
      <c r="T17" s="109">
        <f t="shared" si="4"/>
        <v>5.2136000000000005</v>
      </c>
    </row>
    <row r="18" spans="1:23" x14ac:dyDescent="0.25">
      <c r="A18" s="60">
        <v>64</v>
      </c>
      <c r="B18" s="56" t="s">
        <v>12</v>
      </c>
      <c r="C18" s="5">
        <f>VLOOKUP(B18,Log!$B$2:$C$8,2,)</f>
        <v>1</v>
      </c>
      <c r="D18" s="5">
        <v>14.52</v>
      </c>
      <c r="E18" s="34">
        <f>IF(OR(AND(B18="Motorbike",D18-D17&lt;Log!$C$13),AND(B18&lt;&gt;"Motorbike",D18-D17&lt;Log!$C$12)),0,IF(E17&lt;&gt;0,D18-D17,IF(E16=0,D18-D15,D18-D16)))</f>
        <v>1.7199999999999989</v>
      </c>
      <c r="F18" s="109">
        <f t="shared" si="5"/>
        <v>1.7199999999999989</v>
      </c>
      <c r="H18" s="73">
        <v>60</v>
      </c>
      <c r="I18" s="56" t="s">
        <v>12</v>
      </c>
      <c r="J18" s="5">
        <f>VLOOKUP(I18,Log!$B$2:$C$8,2,)</f>
        <v>1</v>
      </c>
      <c r="K18" s="4">
        <v>12.4</v>
      </c>
      <c r="L18" s="34">
        <f>IF(OR(AND(I18="Motorbike",K18-K17&lt;Log!$C$13),AND(I18&lt;&gt;"Motorbike",K18-K17&lt;Log!$C$12)),0,IF(L17&lt;&gt;0,K18-K17,IF(L16=0,K18-K15,K18-K16)))</f>
        <v>2.2800000000000011</v>
      </c>
      <c r="M18" s="109">
        <f t="shared" si="6"/>
        <v>2.2800000000000011</v>
      </c>
      <c r="N18" s="15"/>
      <c r="O18" s="60">
        <v>84</v>
      </c>
      <c r="P18" s="56" t="s">
        <v>15</v>
      </c>
      <c r="Q18" s="5">
        <f>VLOOKUP(P18,Log!$B$2:$C$8,2,)</f>
        <v>0.33</v>
      </c>
      <c r="R18" s="4">
        <v>12.52</v>
      </c>
      <c r="S18" s="34">
        <f>IF(OR(AND(P18="Motorbike",R18-R17&lt;Log!$C$13),AND(P18&lt;&gt;"Motorbike",R18-R17&lt;Log!$C$12)),0,IF(S17&lt;&gt;0,R18-R17,IF(S16=0,R18-R15,R18-R16)))</f>
        <v>0</v>
      </c>
      <c r="T18" s="109">
        <f t="shared" si="4"/>
        <v>0</v>
      </c>
    </row>
    <row r="19" spans="1:23" x14ac:dyDescent="0.25">
      <c r="A19" s="60">
        <v>88</v>
      </c>
      <c r="B19" s="56" t="s">
        <v>12</v>
      </c>
      <c r="C19" s="5">
        <f>VLOOKUP(B19,Log!$B$2:$C$8,2,)</f>
        <v>1</v>
      </c>
      <c r="D19" s="5">
        <v>16.2</v>
      </c>
      <c r="E19" s="34">
        <f>IF(OR(AND(B19="Motorbike",D19-D18&lt;Log!$C$13),AND(B19&lt;&gt;"Motorbike",D19-D18&lt;Log!$C$12)),0,IF(E18&lt;&gt;0,D19-D18,IF(E17=0,D19-D16,D19-D17)))</f>
        <v>1.6799999999999997</v>
      </c>
      <c r="F19" s="109">
        <f t="shared" si="5"/>
        <v>1.6799999999999997</v>
      </c>
      <c r="H19" s="73">
        <v>77</v>
      </c>
      <c r="I19" s="56" t="s">
        <v>12</v>
      </c>
      <c r="J19" s="5">
        <f>VLOOKUP(I19,Log!$B$2:$C$8,2,)</f>
        <v>1</v>
      </c>
      <c r="K19" s="4">
        <v>14.48</v>
      </c>
      <c r="L19" s="34">
        <f>IF(OR(AND(I19="Motorbike",K19-K18&lt;Log!$C$13),AND(I19&lt;&gt;"Motorbike",K19-K18&lt;Log!$C$12)),0,IF(L18&lt;&gt;0,K19-K18,IF(L17=0,K19-K16,K19-K17)))</f>
        <v>2.08</v>
      </c>
      <c r="M19" s="109">
        <f t="shared" si="6"/>
        <v>2.08</v>
      </c>
      <c r="N19" s="15"/>
      <c r="O19" s="60">
        <v>85</v>
      </c>
      <c r="P19" s="56" t="s">
        <v>12</v>
      </c>
      <c r="Q19" s="5">
        <f>VLOOKUP(P19,Log!$B$2:$C$8,2,)</f>
        <v>1</v>
      </c>
      <c r="R19" s="4">
        <v>15.08</v>
      </c>
      <c r="S19" s="34">
        <f>IF(OR(AND(P19="Motorbike",R19-R18&lt;Log!$C$13),AND(P19&lt;&gt;"Motorbike",R19-R18&lt;Log!$C$12)),0,IF(S18&lt;&gt;0,R19-R18,IF(S17=0,R19-R16,R19-R17)))</f>
        <v>2.5600000000000005</v>
      </c>
      <c r="T19" s="109">
        <f t="shared" si="4"/>
        <v>2.5600000000000005</v>
      </c>
    </row>
    <row r="20" spans="1:23" x14ac:dyDescent="0.25">
      <c r="A20" s="60">
        <v>99</v>
      </c>
      <c r="B20" s="56" t="s">
        <v>12</v>
      </c>
      <c r="C20" s="5">
        <f>VLOOKUP(B20,Log!$B$2:$C$8,2,)</f>
        <v>1</v>
      </c>
      <c r="D20" s="5">
        <v>18.079999999999998</v>
      </c>
      <c r="E20" s="34">
        <f>IF(OR(AND(B20="Motorbike",D20-D19&lt;Log!$C$13),AND(B20&lt;&gt;"Motorbike",D20-D19&lt;Log!$C$12)),0,IF(E19&lt;&gt;0,D20-D19,IF(E18=0,D20-D17,D20-D18)))</f>
        <v>1.879999999999999</v>
      </c>
      <c r="F20" s="109">
        <f t="shared" si="5"/>
        <v>1.879999999999999</v>
      </c>
      <c r="H20" s="73">
        <v>74</v>
      </c>
      <c r="I20" s="56" t="s">
        <v>12</v>
      </c>
      <c r="J20" s="5">
        <f>VLOOKUP(I20,Log!$B$2:$C$8,2,)</f>
        <v>1</v>
      </c>
      <c r="K20" s="4">
        <v>17.52</v>
      </c>
      <c r="L20" s="34">
        <f>IF(OR(AND(I20="Motorbike",K20-K19&lt;Log!$C$13),AND(I20&lt;&gt;"Motorbike",K20-K19&lt;Log!$C$12)),0,IF(L19&lt;&gt;0,K20-K19,IF(L18=0,K20-K17,K20-K18)))</f>
        <v>3.0399999999999991</v>
      </c>
      <c r="M20" s="109">
        <f t="shared" si="6"/>
        <v>3.0399999999999991</v>
      </c>
      <c r="N20" s="15"/>
      <c r="O20" s="60">
        <v>65</v>
      </c>
      <c r="P20" s="56" t="s">
        <v>12</v>
      </c>
      <c r="Q20" s="5">
        <f>VLOOKUP(P20,Log!$B$2:$C$8,2,)</f>
        <v>1</v>
      </c>
      <c r="R20" s="4">
        <v>16.88</v>
      </c>
      <c r="S20" s="34">
        <f>IF(OR(AND(P20="Motorbike",R20-R19&lt;Log!$C$13),AND(P20&lt;&gt;"Motorbike",R20-R19&lt;Log!$C$12)),0,IF(S19&lt;&gt;0,R20-R19,IF(S18=0,R20-R17,R20-R18)))</f>
        <v>1.7999999999999989</v>
      </c>
      <c r="T20" s="109">
        <f t="shared" si="4"/>
        <v>1.7999999999999989</v>
      </c>
    </row>
    <row r="21" spans="1:23" x14ac:dyDescent="0.25">
      <c r="A21" s="60">
        <v>108</v>
      </c>
      <c r="B21" s="56" t="s">
        <v>12</v>
      </c>
      <c r="C21" s="5">
        <f>VLOOKUP(B21,Log!$B$2:$C$8,2,)</f>
        <v>1</v>
      </c>
      <c r="D21" s="5">
        <v>20.399999999999999</v>
      </c>
      <c r="E21" s="34">
        <f>IF(OR(AND(B21="Motorbike",D21-D20&lt;Log!$C$13),AND(B21&lt;&gt;"Motorbike",D21-D20&lt;Log!$C$12)),0,IF(E20&lt;&gt;0,D21-D20,IF(E19=0,D21-D18,D21-D19)))</f>
        <v>2.3200000000000003</v>
      </c>
      <c r="F21" s="109">
        <f t="shared" si="5"/>
        <v>2.3200000000000003</v>
      </c>
      <c r="H21" s="73">
        <v>95</v>
      </c>
      <c r="I21" s="56" t="s">
        <v>12</v>
      </c>
      <c r="J21" s="5">
        <f>VLOOKUP(I21,Log!$B$2:$C$8,2,)</f>
        <v>1</v>
      </c>
      <c r="K21" s="4">
        <v>21.4</v>
      </c>
      <c r="L21" s="34">
        <f>IF(OR(AND(I21="Motorbike",K21-K20&lt;Log!$C$13),AND(I21&lt;&gt;"Motorbike",K21-K20&lt;Log!$C$12)),0,IF(L20&lt;&gt;0,K21-K20,IF(L19=0,K21-K18,K21-K19)))</f>
        <v>3.879999999999999</v>
      </c>
      <c r="M21" s="109">
        <f t="shared" si="6"/>
        <v>3.879999999999999</v>
      </c>
      <c r="N21" s="15"/>
      <c r="O21" s="60">
        <v>104</v>
      </c>
      <c r="P21" s="56" t="s">
        <v>12</v>
      </c>
      <c r="Q21" s="5">
        <f>VLOOKUP(P21,Log!$B$2:$C$8,2,)</f>
        <v>1</v>
      </c>
      <c r="R21" s="4">
        <v>19.8</v>
      </c>
      <c r="S21" s="34">
        <f>IF(OR(AND(P21="Motorbike",R21-R20&lt;Log!$C$13),AND(P21&lt;&gt;"Motorbike",R21-R20&lt;Log!$C$12)),0,IF(S20&lt;&gt;0,R21-R20,IF(S19=0,R21-R18,R21-R19)))</f>
        <v>2.9200000000000017</v>
      </c>
      <c r="T21" s="109">
        <f t="shared" si="4"/>
        <v>2.9200000000000017</v>
      </c>
    </row>
    <row r="22" spans="1:23" x14ac:dyDescent="0.25">
      <c r="A22" s="60">
        <v>117</v>
      </c>
      <c r="B22" s="56" t="s">
        <v>12</v>
      </c>
      <c r="C22" s="5">
        <f>VLOOKUP(B22,Log!$B$2:$C$8,2,)</f>
        <v>1</v>
      </c>
      <c r="D22" s="5">
        <v>22.68</v>
      </c>
      <c r="E22" s="34">
        <f>IF(OR(AND(B22="Motorbike",D22-D21&lt;Log!$C$13),AND(B22&lt;&gt;"Motorbike",D22-D21&lt;Log!$C$12)),0,IF(E21&lt;&gt;0,D22-D21,IF(E20=0,D22-D19,D22-D20)))</f>
        <v>2.2800000000000011</v>
      </c>
      <c r="F22" s="109">
        <f t="shared" si="5"/>
        <v>2.2800000000000011</v>
      </c>
      <c r="H22" s="73">
        <v>114</v>
      </c>
      <c r="I22" s="56" t="s">
        <v>12</v>
      </c>
      <c r="J22" s="5">
        <f>VLOOKUP(I22,Log!$B$2:$C$8,2,)</f>
        <v>1</v>
      </c>
      <c r="K22" s="4">
        <v>23.48</v>
      </c>
      <c r="L22" s="34">
        <f>IF(OR(AND(I22="Motorbike",K22-K21&lt;Log!$C$13),AND(I22&lt;&gt;"Motorbike",K22-K21&lt;Log!$C$12)),0,IF(L21&lt;&gt;0,K22-K21,IF(L20=0,K22-K19,K22-K20)))</f>
        <v>2.0800000000000018</v>
      </c>
      <c r="M22" s="109">
        <f t="shared" si="6"/>
        <v>2.0800000000000018</v>
      </c>
      <c r="N22" s="15"/>
      <c r="O22" s="60">
        <v>93</v>
      </c>
      <c r="P22" s="56" t="s">
        <v>12</v>
      </c>
      <c r="Q22" s="5">
        <f>VLOOKUP(P22,Log!$B$2:$C$8,2,)</f>
        <v>1</v>
      </c>
      <c r="R22" s="4">
        <v>21</v>
      </c>
      <c r="S22" s="34">
        <f>IF(OR(AND(P22="Motorbike",R22-R21&lt;Log!$C$13),AND(P22&lt;&gt;"Motorbike",R22-R21&lt;Log!$C$12)),0,IF(S21&lt;&gt;0,R22-R21,IF(S20=0,R22-R19,R22-R20)))</f>
        <v>1.1999999999999993</v>
      </c>
      <c r="T22" s="109">
        <f t="shared" si="4"/>
        <v>1.1999999999999993</v>
      </c>
    </row>
    <row r="23" spans="1:23" x14ac:dyDescent="0.25">
      <c r="A23" s="60">
        <v>118</v>
      </c>
      <c r="B23" s="56" t="s">
        <v>14</v>
      </c>
      <c r="C23" s="5">
        <f>VLOOKUP(B23,Log!$B$2:$C$8,2,)</f>
        <v>0.45</v>
      </c>
      <c r="D23" s="5">
        <v>23.8</v>
      </c>
      <c r="E23" s="34">
        <f>IF(OR(AND(B23="Motorbike",D23-D22&lt;Log!$C$13),AND(B23&lt;&gt;"Motorbike",D23-D22&lt;Log!$C$12)),0,IF(E22&lt;&gt;0,D23-D22,IF(E21=0,D23-D20,D23-D21)))</f>
        <v>1.120000000000001</v>
      </c>
      <c r="F23" s="109">
        <f t="shared" si="5"/>
        <v>0.50400000000000045</v>
      </c>
      <c r="H23" s="73">
        <v>133</v>
      </c>
      <c r="I23" s="56" t="s">
        <v>13</v>
      </c>
      <c r="J23" s="5">
        <f>VLOOKUP(I23,Log!$B$2:$C$8,2,)</f>
        <v>0.38</v>
      </c>
      <c r="K23" s="4">
        <v>26.6</v>
      </c>
      <c r="L23" s="34">
        <f>IF(OR(AND(I23="Motorbike",K23-K22&lt;Log!$C$13),AND(I23&lt;&gt;"Motorbike",K23-K22&lt;Log!$C$12)),0,IF(L22&lt;&gt;0,K23-K22,IF(L21=0,K23-K20,K23-K21)))</f>
        <v>3.120000000000001</v>
      </c>
      <c r="M23" s="109">
        <f t="shared" si="6"/>
        <v>1.1856000000000004</v>
      </c>
      <c r="N23" s="15"/>
      <c r="O23" s="60">
        <v>119</v>
      </c>
      <c r="P23" s="62" t="s">
        <v>14</v>
      </c>
      <c r="Q23" s="5">
        <f>VLOOKUP(P23,Log!$B$2:$C$8,2,)</f>
        <v>0.45</v>
      </c>
      <c r="R23" s="4">
        <v>22.32</v>
      </c>
      <c r="S23" s="34">
        <f>IF(OR(AND(P23="Motorbike",R23-R22&lt;Log!$C$13),AND(P23&lt;&gt;"Motorbike",R23-R22&lt;Log!$C$12)),0,IF(S22&lt;&gt;0,R23-R22,IF(S21=0,R23-R20,R23-R21)))</f>
        <v>1.3200000000000003</v>
      </c>
      <c r="T23" s="109">
        <f t="shared" si="4"/>
        <v>0.59400000000000019</v>
      </c>
    </row>
    <row r="24" spans="1:23" ht="15.75" thickBot="1" x14ac:dyDescent="0.3">
      <c r="A24" s="61">
        <v>135</v>
      </c>
      <c r="B24" s="71" t="s">
        <v>12</v>
      </c>
      <c r="C24" s="5">
        <f>VLOOKUP(B24,Log!$B$2:$C$8,2,)</f>
        <v>1</v>
      </c>
      <c r="D24" s="5">
        <v>25</v>
      </c>
      <c r="E24" s="34">
        <f>IF(OR(AND(B24="Motorbike",D24-D23&lt;Log!$C$13),AND(B24&lt;&gt;"Motorbike",D24-D23&lt;Log!$C$12)),0,IF(E23&lt;&gt;0,D24-D23,IF(E22=0,D24-D21,D24-D22)))</f>
        <v>1.1999999999999993</v>
      </c>
      <c r="F24" s="109">
        <f t="shared" si="5"/>
        <v>1.1999999999999993</v>
      </c>
      <c r="H24" s="73">
        <v>148</v>
      </c>
      <c r="I24" s="56" t="s">
        <v>12</v>
      </c>
      <c r="J24" s="5">
        <f>VLOOKUP(I24,Log!$B$2:$C$8,2,)</f>
        <v>1</v>
      </c>
      <c r="K24" s="4">
        <v>27.92</v>
      </c>
      <c r="L24" s="34">
        <f>IF(OR(AND(I24="Motorbike",K24-K23&lt;Log!$C$13),AND(I24&lt;&gt;"Motorbike",K24-K23&lt;Log!$C$12)),0,IF(L23&lt;&gt;0,K24-K23,IF(L22=0,K24-K21,K24-K22)))</f>
        <v>1.3200000000000003</v>
      </c>
      <c r="M24" s="109">
        <f t="shared" si="6"/>
        <v>1.3200000000000003</v>
      </c>
      <c r="N24" s="15"/>
      <c r="O24" s="60">
        <v>109</v>
      </c>
      <c r="P24" s="56" t="s">
        <v>12</v>
      </c>
      <c r="Q24" s="5">
        <f>VLOOKUP(P24,Log!$B$2:$C$8,2,)</f>
        <v>1</v>
      </c>
      <c r="R24" s="4">
        <v>24</v>
      </c>
      <c r="S24" s="34">
        <f>IF(OR(AND(P24="Motorbike",R24-R23&lt;Log!$C$13),AND(P24&lt;&gt;"Motorbike",R24-R23&lt;Log!$C$12)),0,IF(S23&lt;&gt;0,R24-R23,IF(S22=0,R24-R21,R24-R22)))</f>
        <v>1.6799999999999997</v>
      </c>
      <c r="T24" s="109">
        <f t="shared" si="4"/>
        <v>1.6799999999999997</v>
      </c>
    </row>
    <row r="25" spans="1:23" x14ac:dyDescent="0.25">
      <c r="A25" s="102">
        <v>141</v>
      </c>
      <c r="B25" s="59" t="s">
        <v>14</v>
      </c>
      <c r="C25" s="70">
        <f>VLOOKUP(B25,Log!$B$2:$C$8,2,)</f>
        <v>0.45</v>
      </c>
      <c r="D25" s="5">
        <v>26.88</v>
      </c>
      <c r="E25" s="34">
        <f>IF(OR(AND(B25="Motorbike",D25-D24&lt;Log!$C$13),AND(B25&lt;&gt;"Motorbike",D25-D24&lt;Log!$C$12)),0,IF(E24&lt;&gt;0,D25-D24,IF(E23=0,D25-D22,D25-D23)))</f>
        <v>1.879999999999999</v>
      </c>
      <c r="F25" s="34">
        <f t="shared" si="5"/>
        <v>1.5603999999999993</v>
      </c>
      <c r="H25" s="73">
        <v>170</v>
      </c>
      <c r="I25" s="56" t="s">
        <v>12</v>
      </c>
      <c r="J25" s="5">
        <f>VLOOKUP(I25,Log!$B$2:$C$8,2,)</f>
        <v>1</v>
      </c>
      <c r="K25" s="4">
        <v>29.8</v>
      </c>
      <c r="L25" s="34">
        <f>IF(OR(AND(I25="Motorbike",K25-K24&lt;Log!$C$13),AND(I25&lt;&gt;"Motorbike",K25-K24&lt;Log!$C$12)),0,IF(L24&lt;&gt;0,K25-K24,IF(L23=0,K25-K22,K25-K23)))</f>
        <v>1.879999999999999</v>
      </c>
      <c r="M25" s="109">
        <f t="shared" si="6"/>
        <v>1.879999999999999</v>
      </c>
      <c r="N25" s="15"/>
      <c r="O25" s="60">
        <v>121</v>
      </c>
      <c r="P25" s="56" t="s">
        <v>12</v>
      </c>
      <c r="Q25" s="5">
        <f>VLOOKUP(P25,Log!$B$2:$C$8,2,)</f>
        <v>1</v>
      </c>
      <c r="R25" s="4">
        <v>25</v>
      </c>
      <c r="S25" s="34">
        <f>IF(OR(AND(P25="Motorbike",R25-R24&lt;Log!$C$13),AND(P25&lt;&gt;"Motorbike",R25-R24&lt;Log!$C$12)),0,IF(S24&lt;&gt;0,R25-R24,IF(S23=0,R25-R22,R25-R23)))</f>
        <v>1</v>
      </c>
      <c r="T25" s="109">
        <f t="shared" si="4"/>
        <v>1</v>
      </c>
    </row>
    <row r="26" spans="1:23" ht="15.75" thickBot="1" x14ac:dyDescent="0.3">
      <c r="A26" s="19">
        <v>164</v>
      </c>
      <c r="B26" s="61" t="s">
        <v>13</v>
      </c>
      <c r="C26" s="70">
        <f>VLOOKUP(B26,Log!$B$2:$C$8,2,)</f>
        <v>0.38</v>
      </c>
      <c r="D26" s="5">
        <v>27.08</v>
      </c>
      <c r="E26" s="34">
        <f>IF(OR(AND(B26="Motorbike",D26-D25&lt;Log!$C$13),AND(B26&lt;&gt;"Motorbike",D26-D25&lt;Log!$C$12)),0,IF(E25&lt;&gt;0,D26-D25,IF(E24=0,D26-D23,D26-D24)))</f>
        <v>0</v>
      </c>
      <c r="F26" s="34">
        <f t="shared" si="5"/>
        <v>0</v>
      </c>
      <c r="H26" s="73">
        <v>151</v>
      </c>
      <c r="I26" s="56" t="s">
        <v>12</v>
      </c>
      <c r="J26" s="5">
        <f>VLOOKUP(I26,Log!$B$2:$C$8,2,)</f>
        <v>1</v>
      </c>
      <c r="K26" s="4">
        <v>30.8</v>
      </c>
      <c r="L26" s="34">
        <f>IF(OR(AND(I26="Motorbike",K26-K25&lt;Log!$C$13),AND(I26&lt;&gt;"Motorbike",K26-K25&lt;Log!$C$12)),0,IF(L25&lt;&gt;0,K26-K25,IF(L24=0,K26-K23,K26-K24)))</f>
        <v>1</v>
      </c>
      <c r="M26" s="109">
        <f t="shared" si="6"/>
        <v>2</v>
      </c>
      <c r="N26" s="15"/>
      <c r="O26" s="60">
        <v>133</v>
      </c>
      <c r="P26" s="56" t="s">
        <v>13</v>
      </c>
      <c r="Q26" s="5">
        <f>VLOOKUP(P26,Log!$B$2:$C$8,2,)</f>
        <v>0.38</v>
      </c>
      <c r="R26" s="4">
        <v>26.88</v>
      </c>
      <c r="S26" s="34">
        <f>IF(OR(AND(P26="Motorbike",R26-R25&lt;Log!$C$13),AND(P26&lt;&gt;"Motorbike",R26-R25&lt;Log!$C$12)),0,IF(S25&lt;&gt;0,R26-R25,IF(S24=0,R26-R23,R26-R24)))</f>
        <v>1.879999999999999</v>
      </c>
      <c r="T26" s="109">
        <f t="shared" si="4"/>
        <v>1.5603999999999993</v>
      </c>
    </row>
    <row r="27" spans="1:23" x14ac:dyDescent="0.25">
      <c r="A27" s="19">
        <v>178</v>
      </c>
      <c r="B27" s="59" t="s">
        <v>13</v>
      </c>
      <c r="C27" s="70">
        <f>VLOOKUP(B27,Log!$B$2:$C$8,2,)</f>
        <v>0.38</v>
      </c>
      <c r="D27" s="5">
        <v>28.32</v>
      </c>
      <c r="E27" s="34">
        <f>IF(OR(AND(B27="Motorbike",D27-D26&lt;Log!$C$13),AND(B27&lt;&gt;"Motorbike",D27-D26&lt;Log!$C$12)),0,IF(E26&lt;&gt;0,D27-D26,IF(E25=0,D27-D24,D27-D25)))</f>
        <v>1.4400000000000013</v>
      </c>
      <c r="F27" s="34">
        <f t="shared" si="5"/>
        <v>1.1952000000000012</v>
      </c>
      <c r="H27" s="73">
        <v>173</v>
      </c>
      <c r="I27" s="56" t="s">
        <v>12</v>
      </c>
      <c r="J27" s="5">
        <f>VLOOKUP(I27,Log!$B$2:$C$8,2,)</f>
        <v>1</v>
      </c>
      <c r="K27" s="4">
        <v>31.68</v>
      </c>
      <c r="L27" s="34">
        <f>IF(OR(AND(I27="Motorbike",K27-K26&lt;Log!$C$13),AND(I27&lt;&gt;"Motorbike",K27-K26&lt;Log!$C$12)),0,IF(L26&lt;&gt;0,K27-K26,IF(L25=0,K27-K24,K27-K25)))</f>
        <v>0</v>
      </c>
      <c r="M27" s="109">
        <f t="shared" si="6"/>
        <v>0</v>
      </c>
      <c r="N27" s="15"/>
      <c r="O27" s="60">
        <v>167</v>
      </c>
      <c r="P27" s="56" t="s">
        <v>14</v>
      </c>
      <c r="Q27" s="5">
        <f>VLOOKUP(P27,Log!$B$2:$C$8,2,)</f>
        <v>0.45</v>
      </c>
      <c r="R27" s="4">
        <v>27.48</v>
      </c>
      <c r="S27" s="34">
        <f>IF(OR(AND(P27="Motorbike",R27-R26&lt;Log!$C$13),AND(P27&lt;&gt;"Motorbike",R27-R26&lt;Log!$C$12)),0,IF(S26&lt;&gt;0,R27-R26,IF(S25=0,R27-R24,R27-R25)))</f>
        <v>0</v>
      </c>
      <c r="T27" s="109">
        <f t="shared" si="4"/>
        <v>0</v>
      </c>
    </row>
    <row r="28" spans="1:23" ht="15.75" thickBot="1" x14ac:dyDescent="0.3">
      <c r="A28" s="19">
        <v>163</v>
      </c>
      <c r="B28" s="61" t="s">
        <v>14</v>
      </c>
      <c r="C28" s="70">
        <f>VLOOKUP(B28,Log!$B$2:$C$8,2,)</f>
        <v>0.45</v>
      </c>
      <c r="D28" s="5">
        <v>28.32</v>
      </c>
      <c r="E28" s="34">
        <f>IF(OR(AND(B28="Motorbike",D28-D27&lt;Log!$C$13),AND(B28&lt;&gt;"Motorbike",D28-D27&lt;Log!$C$12)),0,IF(E27&lt;&gt;0,D28-D27,IF(E26=0,D28-D25,D28-D26)))</f>
        <v>0</v>
      </c>
      <c r="F28" s="34">
        <f t="shared" si="5"/>
        <v>0</v>
      </c>
      <c r="H28" s="73">
        <v>185</v>
      </c>
      <c r="I28" s="56" t="s">
        <v>12</v>
      </c>
      <c r="J28" s="5">
        <f>VLOOKUP(I28,Log!$B$2:$C$8,2,)</f>
        <v>1</v>
      </c>
      <c r="K28" s="4">
        <v>33</v>
      </c>
      <c r="L28" s="34">
        <f>IF(OR(AND(I28="Motorbike",K28-K27&lt;Log!$C$13),AND(I28&lt;&gt;"Motorbike",K28-K27&lt;Log!$C$12)),0,IF(L27&lt;&gt;0,K28-K27,IF(L26=0,K28-K25,K28-K26)))</f>
        <v>2.1999999999999993</v>
      </c>
      <c r="M28" s="109">
        <f t="shared" si="6"/>
        <v>2.1999999999999993</v>
      </c>
      <c r="N28" s="15"/>
      <c r="O28" s="61">
        <v>159</v>
      </c>
      <c r="P28" s="56" t="s">
        <v>14</v>
      </c>
      <c r="Q28" s="5">
        <f>VLOOKUP(P28,Log!$B$2:$C$8,2,)</f>
        <v>0.45</v>
      </c>
      <c r="R28" s="4">
        <v>29</v>
      </c>
      <c r="S28" s="34">
        <f>IF(OR(AND(P28="Motorbike",R28-R27&lt;Log!$C$13),AND(P28&lt;&gt;"Motorbike",R28-R27&lt;Log!$C$12)),0,IF(S27&lt;&gt;0,R28-R27,IF(S26=0,R28-R25,R28-R26)))</f>
        <v>2.120000000000001</v>
      </c>
      <c r="T28" s="109">
        <f t="shared" si="4"/>
        <v>0.95400000000000051</v>
      </c>
    </row>
    <row r="29" spans="1:23" x14ac:dyDescent="0.25">
      <c r="A29" s="19">
        <v>186</v>
      </c>
      <c r="B29" s="59" t="s">
        <v>14</v>
      </c>
      <c r="C29" s="70">
        <f>VLOOKUP(B29,Log!$B$2:$C$8,2,)</f>
        <v>0.45</v>
      </c>
      <c r="D29" s="5">
        <v>30.32</v>
      </c>
      <c r="E29" s="34">
        <f>IF(OR(AND(B29="Motorbike",D29-D28&lt;Log!$C$13),AND(B29&lt;&gt;"Motorbike",D29-D28&lt;Log!$C$12)),0,IF(E28&lt;&gt;0,D29-D28,IF(E27=0,D29-D26,D29-D27)))</f>
        <v>2</v>
      </c>
      <c r="F29" s="34">
        <f t="shared" si="5"/>
        <v>3.66</v>
      </c>
      <c r="H29" s="73">
        <v>221</v>
      </c>
      <c r="I29" s="56" t="s">
        <v>14</v>
      </c>
      <c r="J29" s="5">
        <f>VLOOKUP(I29,Log!$B$2:$C$8,2,)</f>
        <v>0.45</v>
      </c>
      <c r="K29" s="4">
        <v>34.119999999999997</v>
      </c>
      <c r="L29" s="34">
        <f>IF(OR(AND(I29="Motorbike",K29-K28&lt;Log!$C$13),AND(I29&lt;&gt;"Motorbike",K29-K28&lt;Log!$C$12)),0,IF(L28&lt;&gt;0,K29-K28,IF(L27=0,K29-K26,K29-K27)))</f>
        <v>1.1199999999999974</v>
      </c>
      <c r="M29" s="109">
        <f t="shared" si="6"/>
        <v>0.50399999999999889</v>
      </c>
      <c r="N29" s="15"/>
      <c r="O29" s="58">
        <v>172</v>
      </c>
      <c r="P29" s="4" t="s">
        <v>13</v>
      </c>
      <c r="Q29" s="5">
        <f>VLOOKUP(P29,Log!$B$2:$C$8,2,)</f>
        <v>0.38</v>
      </c>
      <c r="R29" s="4">
        <v>34.4</v>
      </c>
      <c r="S29" s="34">
        <f>IF(OR(AND(P29="Motorbike",R29-R28&lt;Log!$C$13),AND(P29&lt;&gt;"Motorbike",R29-R28&lt;Log!$C$12)),0,IF(S28&lt;&gt;0,R29-R28,IF(S27=0,R29-R26,R29-R27)))</f>
        <v>5.3999999999999986</v>
      </c>
      <c r="T29" s="34">
        <f t="shared" si="4"/>
        <v>2.0519999999999996</v>
      </c>
      <c r="W29" s="11"/>
    </row>
    <row r="30" spans="1:23" ht="15.75" thickBot="1" x14ac:dyDescent="0.3">
      <c r="A30" s="19">
        <v>208</v>
      </c>
      <c r="B30" s="61" t="s">
        <v>13</v>
      </c>
      <c r="C30" s="70">
        <f>VLOOKUP(B30,Log!$B$2:$C$8,2,)</f>
        <v>0.38</v>
      </c>
      <c r="D30" s="5">
        <v>30.68</v>
      </c>
      <c r="E30" s="34">
        <f>IF(OR(AND(B30="Motorbike",D30-D29&lt;Log!$C$13),AND(B30&lt;&gt;"Motorbike",D30-D29&lt;Log!$C$12)),0,IF(E29&lt;&gt;0,D30-D29,IF(E28=0,D30-D27,D30-D28)))</f>
        <v>0</v>
      </c>
      <c r="F30" s="34">
        <f t="shared" si="5"/>
        <v>0</v>
      </c>
      <c r="H30" s="73">
        <v>246</v>
      </c>
      <c r="I30" s="56" t="s">
        <v>13</v>
      </c>
      <c r="J30" s="5">
        <f>VLOOKUP(I30,Log!$B$2:$C$8,2,)</f>
        <v>0.38</v>
      </c>
      <c r="K30" s="4">
        <v>35.28</v>
      </c>
      <c r="L30" s="34">
        <f>IF(OR(AND(I30="Motorbike",K30-K29&lt;Log!$C$13),AND(I30&lt;&gt;"Motorbike",K30-K29&lt;Log!$C$12)),0,IF(L29&lt;&gt;0,K30-K29,IF(L28=0,K30-K27,K30-K28)))</f>
        <v>1.1600000000000037</v>
      </c>
      <c r="M30" s="109">
        <f t="shared" si="6"/>
        <v>0.44080000000000141</v>
      </c>
      <c r="N30" s="15"/>
      <c r="O30" s="4">
        <v>239</v>
      </c>
      <c r="P30" s="4" t="s">
        <v>13</v>
      </c>
      <c r="Q30" s="5">
        <f>VLOOKUP(P30,Log!$B$2:$C$8,2,)</f>
        <v>0.38</v>
      </c>
      <c r="R30" s="4">
        <v>36.6</v>
      </c>
      <c r="S30" s="34">
        <f>IF(OR(AND(P30="Motorbike",R30-R29&lt;Log!$C$13),AND(P30&lt;&gt;"Motorbike",R30-R29&lt;Log!$C$12)),0,IF(S29&lt;&gt;0,R30-R29,IF(S28=0,R30-R27,R30-R28)))</f>
        <v>2.2000000000000028</v>
      </c>
      <c r="T30" s="34">
        <f t="shared" si="4"/>
        <v>0.83600000000000108</v>
      </c>
      <c r="W30" s="11"/>
    </row>
    <row r="31" spans="1:23" ht="15.75" thickBot="1" x14ac:dyDescent="0.3">
      <c r="A31" s="4">
        <v>219</v>
      </c>
      <c r="B31" s="43" t="s">
        <v>12</v>
      </c>
      <c r="C31" s="5">
        <f>VLOOKUP(B31,Log!$B$2:$C$8,2,)</f>
        <v>1</v>
      </c>
      <c r="D31" s="5">
        <v>31.6</v>
      </c>
      <c r="E31" s="34">
        <f>IF(OR(AND(B31="Motorbike",D31-D30&lt;Log!$C$13),AND(B31&lt;&gt;"Motorbike",D31-D30&lt;Log!$C$12)),0,IF(E30&lt;&gt;0,D31-D30,IF(E29=0,D31-D28,D31-D29)))</f>
        <v>0</v>
      </c>
      <c r="F31" s="34">
        <f t="shared" si="5"/>
        <v>0</v>
      </c>
      <c r="H31" s="73">
        <v>233</v>
      </c>
      <c r="I31" s="56" t="s">
        <v>14</v>
      </c>
      <c r="J31" s="5">
        <f>VLOOKUP(I31,Log!$B$2:$C$8,2,)</f>
        <v>0.45</v>
      </c>
      <c r="K31" s="4">
        <v>36.92</v>
      </c>
      <c r="L31" s="34">
        <f>IF(OR(AND(I31="Motorbike",K31-K30&lt;Log!$C$13),AND(I31&lt;&gt;"Motorbike",K31-K30&lt;Log!$C$12)),0,IF(L30&lt;&gt;0,K31-K30,IF(L29=0,K31-K28,K31-K29)))</f>
        <v>1.6400000000000006</v>
      </c>
      <c r="M31" s="109">
        <f t="shared" si="6"/>
        <v>0.73800000000000032</v>
      </c>
      <c r="N31" s="15"/>
      <c r="W31" s="11"/>
    </row>
    <row r="32" spans="1:23" x14ac:dyDescent="0.25">
      <c r="A32" s="19">
        <v>232</v>
      </c>
      <c r="B32" s="59" t="s">
        <v>13</v>
      </c>
      <c r="C32" s="70">
        <f>VLOOKUP(B32,Log!$B$2:$C$8,2,)</f>
        <v>0.38</v>
      </c>
      <c r="D32" s="5">
        <v>33</v>
      </c>
      <c r="E32" s="34">
        <f>IF(OR(AND(B32="Motorbike",D32-D31&lt;Log!$C$13),AND(B32&lt;&gt;"Motorbike",D32-D31&lt;Log!$C$12)),0,IF(E31&lt;&gt;0,D32-D31,IF(E30=0,D32-D29,D32-D30)))</f>
        <v>2.6799999999999997</v>
      </c>
      <c r="F32" s="34">
        <f t="shared" si="5"/>
        <v>3.6983999999999995</v>
      </c>
      <c r="H32" s="73">
        <v>260</v>
      </c>
      <c r="I32" s="56" t="s">
        <v>13</v>
      </c>
      <c r="J32" s="5">
        <f>VLOOKUP(I32,Log!$B$2:$C$8,2,)</f>
        <v>0.38</v>
      </c>
      <c r="K32" s="4">
        <v>38.08</v>
      </c>
      <c r="L32" s="34">
        <f>IF(OR(AND(I32="Motorbike",K32-K31&lt;Log!$C$13),AND(I32&lt;&gt;"Motorbike",K32-K31&lt;Log!$C$12)),0,IF(L31&lt;&gt;0,K32-K31,IF(L30=0,K32-K29,K32-K30)))</f>
        <v>1.1599999999999966</v>
      </c>
      <c r="M32" s="109">
        <f t="shared" si="6"/>
        <v>0.44079999999999869</v>
      </c>
      <c r="N32" s="15"/>
      <c r="W32" s="11"/>
    </row>
    <row r="33" spans="1:23" ht="15.75" thickBot="1" x14ac:dyDescent="0.3">
      <c r="A33" s="19">
        <v>191</v>
      </c>
      <c r="B33" s="61" t="s">
        <v>12</v>
      </c>
      <c r="C33" s="70">
        <f>VLOOKUP(B33,Log!$B$2:$C$8,2,)</f>
        <v>1</v>
      </c>
      <c r="D33" s="5">
        <v>33.799999999999997</v>
      </c>
      <c r="E33" s="34">
        <f>IF(OR(AND(B33="Motorbike",D33-D32&lt;Log!$C$13),AND(B33&lt;&gt;"Motorbike",D33-D32&lt;Log!$C$12)),0,IF(E32&lt;&gt;0,D33-D32,IF(E31=0,D33-D30,D33-D31)))</f>
        <v>0</v>
      </c>
      <c r="F33" s="34">
        <f t="shared" si="5"/>
        <v>0</v>
      </c>
      <c r="H33" s="66">
        <v>270</v>
      </c>
      <c r="I33" s="56" t="s">
        <v>13</v>
      </c>
      <c r="J33" s="5">
        <f>VLOOKUP(I33,Log!$B$2:$C$8,2,)</f>
        <v>0.38</v>
      </c>
      <c r="K33" s="4">
        <v>38.72</v>
      </c>
      <c r="L33" s="34">
        <f>IF(OR(AND(I33="Motorbike",K33-K32&lt;Log!$C$13),AND(I33&lt;&gt;"Motorbike",K33-K32&lt;Log!$C$12)),0,IF(L32&lt;&gt;0,K33-K32,IF(L31=0,K33-K30,K33-K31)))</f>
        <v>0.64000000000000057</v>
      </c>
      <c r="M33" s="109">
        <f t="shared" si="6"/>
        <v>0.24320000000000022</v>
      </c>
      <c r="N33" s="15"/>
      <c r="W33" s="11"/>
    </row>
    <row r="34" spans="1:23" x14ac:dyDescent="0.25">
      <c r="A34" s="19">
        <v>249</v>
      </c>
      <c r="B34" s="59" t="s">
        <v>13</v>
      </c>
      <c r="C34" s="70">
        <f>VLOOKUP(B34,Log!$B$2:$C$8,2,)</f>
        <v>0.38</v>
      </c>
      <c r="D34" s="5">
        <v>35.72</v>
      </c>
      <c r="E34" s="34">
        <f>IF(OR(AND(B34="Motorbike",D34-D33&lt;Log!$C$13),AND(B34&lt;&gt;"Motorbike",D34-D33&lt;Log!$C$12)),0,IF(E33&lt;&gt;0,D34-D33,IF(E32=0,D34-D31,D34-D32)))</f>
        <v>2.7199999999999989</v>
      </c>
      <c r="F34" s="34">
        <f t="shared" si="5"/>
        <v>3.7535999999999983</v>
      </c>
      <c r="H34" s="52"/>
      <c r="I34" s="53"/>
      <c r="J34" s="15"/>
      <c r="L34" s="54"/>
      <c r="M34" s="54"/>
      <c r="N34" s="15"/>
      <c r="W34" s="11"/>
    </row>
    <row r="35" spans="1:23" ht="15.75" thickBot="1" x14ac:dyDescent="0.3">
      <c r="A35" s="19">
        <v>212</v>
      </c>
      <c r="B35" s="61" t="s">
        <v>12</v>
      </c>
      <c r="C35" s="70">
        <f>VLOOKUP(B35,Log!$B$2:$C$8,2,)</f>
        <v>1</v>
      </c>
      <c r="D35" s="5">
        <v>35.799999999999997</v>
      </c>
      <c r="E35" s="34">
        <f>IF(OR(AND(B35="Motorbike",D35-D34&lt;Log!$C$13),AND(B35&lt;&gt;"Motorbike",D35-D34&lt;Log!$C$12)),0,IF(E34&lt;&gt;0,D35-D34,IF(E33=0,D35-D32,D35-D33)))</f>
        <v>0</v>
      </c>
      <c r="F35" s="34">
        <f t="shared" si="5"/>
        <v>0</v>
      </c>
      <c r="H35" s="55"/>
      <c r="J35" s="15"/>
      <c r="L35" s="54"/>
      <c r="M35" s="54"/>
      <c r="W35" s="11"/>
    </row>
    <row r="36" spans="1:23" x14ac:dyDescent="0.25">
      <c r="A36" s="4">
        <v>234</v>
      </c>
      <c r="B36" s="58" t="s">
        <v>14</v>
      </c>
      <c r="C36" s="5">
        <f>VLOOKUP(B36,Log!$B$2:$C$8,2,)</f>
        <v>0.45</v>
      </c>
      <c r="D36" s="5">
        <v>37.479999999999997</v>
      </c>
      <c r="E36" s="34">
        <f>IF(OR(AND(B36="Motorbike",D36-D35&lt;Log!$C$13),AND(B36&lt;&gt;"Motorbike",D36-D35&lt;Log!$C$12)),0,IF(E35&lt;&gt;0,D36-D35,IF(E34=0,D36-D33,D36-D34)))</f>
        <v>1.759999999999998</v>
      </c>
      <c r="F36" s="34">
        <f t="shared" si="5"/>
        <v>0.79199999999999915</v>
      </c>
      <c r="H36" s="55"/>
      <c r="J36" s="15"/>
      <c r="L36" s="54"/>
      <c r="M36" s="54"/>
      <c r="W36" s="11"/>
    </row>
    <row r="37" spans="1:23" x14ac:dyDescent="0.25">
      <c r="H37" s="55"/>
      <c r="J37" s="15"/>
      <c r="L37" s="54"/>
      <c r="M37" s="54"/>
      <c r="W37" s="11"/>
    </row>
    <row r="38" spans="1:23" x14ac:dyDescent="0.25"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>
        <f>AVERAGE(S30:S34)</f>
        <v>2.2000000000000028</v>
      </c>
      <c r="T52" s="9">
        <f>AVERAGE(T30:T34)</f>
        <v>0.83600000000000108</v>
      </c>
    </row>
    <row r="53" spans="19:20" x14ac:dyDescent="0.25">
      <c r="S53" s="10">
        <f>3600/S52</f>
        <v>1636.3636363636342</v>
      </c>
      <c r="T53" s="10">
        <f>3600/T52</f>
        <v>4306.2200956937741</v>
      </c>
    </row>
  </sheetData>
  <mergeCells count="4">
    <mergeCell ref="C1:D1"/>
    <mergeCell ref="A11:F11"/>
    <mergeCell ref="H11:M11"/>
    <mergeCell ref="O11:T11"/>
  </mergeCells>
  <conditionalFormatting sqref="E14:E36">
    <cfRule type="cellIs" dxfId="141" priority="16" operator="greaterThanOrEqual">
      <formula>4</formula>
    </cfRule>
  </conditionalFormatting>
  <conditionalFormatting sqref="E13:F13">
    <cfRule type="cellIs" dxfId="140" priority="39" operator="greaterThan">
      <formula>4</formula>
    </cfRule>
  </conditionalFormatting>
  <conditionalFormatting sqref="F14:F36">
    <cfRule type="cellIs" dxfId="139" priority="18" operator="greaterThan">
      <formula>4</formula>
    </cfRule>
  </conditionalFormatting>
  <conditionalFormatting sqref="L14:L33">
    <cfRule type="cellIs" dxfId="138" priority="9" operator="greaterThanOrEqual">
      <formula>4</formula>
    </cfRule>
  </conditionalFormatting>
  <conditionalFormatting sqref="L13:M13 L34:M37">
    <cfRule type="cellIs" dxfId="137" priority="35" operator="greaterThan">
      <formula>4</formula>
    </cfRule>
  </conditionalFormatting>
  <conditionalFormatting sqref="M14:M33">
    <cfRule type="cellIs" dxfId="136" priority="11" operator="greaterThan">
      <formula>4</formula>
    </cfRule>
  </conditionalFormatting>
  <conditionalFormatting sqref="S14:S30">
    <cfRule type="cellIs" dxfId="135" priority="2" operator="greaterThanOrEqual">
      <formula>4</formula>
    </cfRule>
  </conditionalFormatting>
  <conditionalFormatting sqref="S13:T13">
    <cfRule type="cellIs" dxfId="134" priority="32" operator="greaterThan">
      <formula>4</formula>
    </cfRule>
  </conditionalFormatting>
  <conditionalFormatting sqref="T14:T30">
    <cfRule type="cellIs" dxfId="133" priority="4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6BEF48D9-5DA2-4991-A70A-5E16769555D3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E14:E36</xm:sqref>
        </x14:conditionalFormatting>
        <x14:conditionalFormatting xmlns:xm="http://schemas.microsoft.com/office/excel/2006/main">
          <x14:cfRule type="expression" priority="15" id="{35BC747A-02E6-45C1-8C69-06080FB7CA6A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E15:E36</xm:sqref>
        </x14:conditionalFormatting>
        <x14:conditionalFormatting xmlns:xm="http://schemas.microsoft.com/office/excel/2006/main">
          <x14:cfRule type="expression" priority="40" id="{DD320109-4F79-4437-A42F-92FE448E446A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L14:L15</xm:sqref>
        </x14:conditionalFormatting>
        <x14:conditionalFormatting xmlns:xm="http://schemas.microsoft.com/office/excel/2006/main">
          <x14:cfRule type="expression" priority="10" id="{605E75BB-A597-4FC4-BD89-0AAA874E17FC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L14:L33</xm:sqref>
        </x14:conditionalFormatting>
        <x14:conditionalFormatting xmlns:xm="http://schemas.microsoft.com/office/excel/2006/main">
          <x14:cfRule type="expression" priority="8" id="{C2DA3A2B-9DDF-410D-B896-C436D6F863E7}">
            <xm:f>AND(OFFSET(L15,0,-3)="Motorbike", L15&lt;Log!$C$13)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L15:L33</xm:sqref>
        </x14:conditionalFormatting>
        <x14:conditionalFormatting xmlns:xm="http://schemas.microsoft.com/office/excel/2006/main">
          <x14:cfRule type="expression" priority="41" id="{7B277DAF-980A-4ADD-B914-EB7D549D6BB4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S14:S15</xm:sqref>
        </x14:conditionalFormatting>
        <x14:conditionalFormatting xmlns:xm="http://schemas.microsoft.com/office/excel/2006/main">
          <x14:cfRule type="expression" priority="3" id="{1C2EE126-EFDC-4D7D-995C-74F2CDBC824A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S14:S30</xm:sqref>
        </x14:conditionalFormatting>
        <x14:conditionalFormatting xmlns:xm="http://schemas.microsoft.com/office/excel/2006/main">
          <x14:cfRule type="expression" priority="1" id="{2700E17B-ACF7-4A57-A9CE-3DA6860A36A5}">
            <xm:f>AND(OFFSET(S15,0,-3)="Motorbike", S15&lt;Log!$C$13)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S15:S30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00C3C-398D-4490-B139-31AF13D309D2}">
  <sheetPr codeName="Sheet8"/>
  <dimension ref="A1:W53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57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13.319999999999997</v>
      </c>
      <c r="M2" s="4">
        <f>SUM(M20:M28)</f>
        <v>18.023999999999997</v>
      </c>
      <c r="R2" s="4" t="s">
        <v>20</v>
      </c>
      <c r="S2" s="8">
        <f>SUM(S25:S29)</f>
        <v>8.1199999999999974</v>
      </c>
      <c r="T2" s="8">
        <f>SUM(T25:T29)</f>
        <v>6.5575999999999972</v>
      </c>
    </row>
    <row r="3" spans="1:20" x14ac:dyDescent="0.25">
      <c r="K3" s="4" t="s">
        <v>21</v>
      </c>
      <c r="L3" s="20">
        <f>AVERAGE(L24:L26)</f>
        <v>1.2666666666666668</v>
      </c>
      <c r="M3" s="20">
        <f>AVERAGE(M21:M26)</f>
        <v>1.497333333333333</v>
      </c>
      <c r="R3" s="4" t="s">
        <v>21</v>
      </c>
      <c r="S3" s="9">
        <f>AVERAGE(S25:S29)</f>
        <v>1.6239999999999994</v>
      </c>
      <c r="T3" s="9">
        <f>AVERAGE(T14:T23)</f>
        <v>1.2262399999999998</v>
      </c>
    </row>
    <row r="4" spans="1:20" x14ac:dyDescent="0.25">
      <c r="A4" s="4" t="s">
        <v>12</v>
      </c>
      <c r="B4" s="144">
        <f>100*COUNTIF($B$13:$B$38,A4)/COUNTA($B$13:$B$38)</f>
        <v>60.869565217391305</v>
      </c>
      <c r="H4" s="4" t="s">
        <v>12</v>
      </c>
      <c r="I4" s="144">
        <f>100*COUNTIF($I$13:$I$33,H4)/COUNTA($I$13:$I$33)</f>
        <v>77.777777777777771</v>
      </c>
      <c r="K4" s="4" t="s">
        <v>7</v>
      </c>
      <c r="L4" s="23">
        <f>3600/L3</f>
        <v>2842.1052631578946</v>
      </c>
      <c r="M4" s="68">
        <f>3600/M3</f>
        <v>2404.2742653606419</v>
      </c>
      <c r="O4" s="4" t="s">
        <v>12</v>
      </c>
      <c r="P4" s="144">
        <f>100*COUNTIF($P$13:$P$38,O4)/COUNTA($P$13:$P$38)</f>
        <v>34.615384615384613</v>
      </c>
      <c r="R4" s="4" t="s">
        <v>7</v>
      </c>
      <c r="S4" s="10">
        <f>3600/S3</f>
        <v>2216.7487684729072</v>
      </c>
      <c r="T4" s="10">
        <f>3600/T3</f>
        <v>2935.8037578288104</v>
      </c>
    </row>
    <row r="5" spans="1:20" x14ac:dyDescent="0.25">
      <c r="A5" s="4" t="s">
        <v>14</v>
      </c>
      <c r="B5" s="144">
        <f t="shared" ref="B5:B7" si="0">100*COUNTIF($B$13:$B$38,A5)/COUNTA($B$13:$B$38)</f>
        <v>13.043478260869565</v>
      </c>
      <c r="H5" s="4" t="s">
        <v>14</v>
      </c>
      <c r="I5" s="144">
        <f t="shared" ref="I5:I7" si="1">100*COUNTIF($I$13:$I$33,H5)/COUNTA($I$13:$I$33)</f>
        <v>11.111111111111111</v>
      </c>
      <c r="O5" s="4" t="s">
        <v>14</v>
      </c>
      <c r="P5" s="144">
        <f t="shared" ref="P5:P7" si="2">100*COUNTIF($P$13:$P$38,O5)/COUNTA($P$13:$P$38)</f>
        <v>26.923076923076923</v>
      </c>
    </row>
    <row r="6" spans="1:20" x14ac:dyDescent="0.25">
      <c r="A6" s="4" t="s">
        <v>13</v>
      </c>
      <c r="B6" s="144">
        <f t="shared" si="0"/>
        <v>21.739130434782609</v>
      </c>
      <c r="E6" s="29" t="s">
        <v>32</v>
      </c>
      <c r="F6" s="29" t="s">
        <v>31</v>
      </c>
      <c r="H6" s="4" t="s">
        <v>13</v>
      </c>
      <c r="I6" s="144">
        <f t="shared" si="1"/>
        <v>11.111111111111111</v>
      </c>
      <c r="L6" s="29" t="s">
        <v>32</v>
      </c>
      <c r="M6" s="29" t="s">
        <v>31</v>
      </c>
      <c r="O6" s="4" t="s">
        <v>13</v>
      </c>
      <c r="P6" s="144">
        <f t="shared" si="2"/>
        <v>38.46153846153846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0</v>
      </c>
      <c r="D7" s="30" t="s">
        <v>30</v>
      </c>
      <c r="E7" s="25">
        <f>SUM(E14:E30)</f>
        <v>25.279999999999998</v>
      </c>
      <c r="F7" s="25">
        <f>SUM(F14:F30)</f>
        <v>26.282</v>
      </c>
      <c r="H7" s="4" t="s">
        <v>28</v>
      </c>
      <c r="I7" s="144">
        <f t="shared" si="1"/>
        <v>0</v>
      </c>
      <c r="K7" s="30" t="s">
        <v>30</v>
      </c>
      <c r="L7" s="25">
        <f>SUM(L14:L37)</f>
        <v>31.919999999999995</v>
      </c>
      <c r="M7" s="25">
        <f>SUM(M14:M37)</f>
        <v>34.105199999999996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13.6</v>
      </c>
      <c r="T7" s="25">
        <f>SUM(T13:T23)</f>
        <v>12.262399999999998</v>
      </c>
    </row>
    <row r="8" spans="1:20" ht="15.75" thickBot="1" x14ac:dyDescent="0.3">
      <c r="D8" s="30" t="s">
        <v>21</v>
      </c>
      <c r="E8" s="28">
        <f>AVERAGEIF(E14:E21,"&lt;&gt;0")</f>
        <v>1.7950000000000002</v>
      </c>
      <c r="F8" s="28">
        <f>AVERAGEIF(F20:F33,"&lt;&gt;0")</f>
        <v>1.9662181818181821</v>
      </c>
      <c r="K8" s="30" t="s">
        <v>21</v>
      </c>
      <c r="L8" s="28">
        <f>AVERAGEIF(L20:L30,"&lt;&gt;0")</f>
        <v>2.1649999999999996</v>
      </c>
      <c r="M8" s="28">
        <f>AVERAGEIF(M21:M30,"&lt;&gt;0")</f>
        <v>2.254857142857142</v>
      </c>
      <c r="O8" s="4" t="s">
        <v>15</v>
      </c>
      <c r="P8" s="144">
        <f t="shared" ref="P8:P9" si="3">100*COUNTIF($P$13:$P$39,O8)/COUNTA($P$13:$P$39)</f>
        <v>0</v>
      </c>
      <c r="R8" s="30" t="s">
        <v>21</v>
      </c>
      <c r="S8" s="28">
        <f>AVERAGEIF(S14:S29,"&lt;&gt;0")</f>
        <v>1.6428571428571426</v>
      </c>
      <c r="T8" s="28">
        <f>AVERAGEIF(T27:T36,"&lt;&gt;0")</f>
        <v>1.8030857142857146</v>
      </c>
    </row>
    <row r="9" spans="1:20" ht="15.75" thickBot="1" x14ac:dyDescent="0.3">
      <c r="D9" s="30" t="s">
        <v>7</v>
      </c>
      <c r="E9" s="27">
        <f>3600/E8</f>
        <v>2005.5710306406684</v>
      </c>
      <c r="F9" s="31">
        <f>3600/F8</f>
        <v>1830.9260046975271</v>
      </c>
      <c r="K9" s="30" t="s">
        <v>7</v>
      </c>
      <c r="L9" s="27">
        <f>3600/L8</f>
        <v>1662.8175519630488</v>
      </c>
      <c r="M9" s="31">
        <f>3600/M8</f>
        <v>1596.553471870249</v>
      </c>
      <c r="O9" s="4" t="s">
        <v>33</v>
      </c>
      <c r="P9" s="144">
        <f t="shared" si="3"/>
        <v>0</v>
      </c>
      <c r="R9" s="30" t="s">
        <v>7</v>
      </c>
      <c r="S9" s="27">
        <f>3600/S8</f>
        <v>2191.3043478260875</v>
      </c>
      <c r="T9" s="31">
        <f>3600/T8</f>
        <v>1996.5772960638901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3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6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ht="15.75" thickBot="1" x14ac:dyDescent="0.3">
      <c r="A13" s="51">
        <v>1</v>
      </c>
      <c r="B13" s="4" t="s">
        <v>12</v>
      </c>
      <c r="C13" s="70">
        <f>VLOOKUP(B13,Log!$B$2:$C$8,2,)</f>
        <v>1</v>
      </c>
      <c r="D13" s="5">
        <v>4.24</v>
      </c>
      <c r="E13" s="34">
        <v>0</v>
      </c>
      <c r="F13" s="34">
        <v>0</v>
      </c>
      <c r="H13" s="16">
        <v>3</v>
      </c>
      <c r="I13" s="62" t="s">
        <v>12</v>
      </c>
      <c r="J13" s="5">
        <f>VLOOKUP(I13,Log!$B$2:$C$8,2,)</f>
        <v>1</v>
      </c>
      <c r="K13" s="4">
        <v>5.2</v>
      </c>
      <c r="L13" s="34">
        <v>0</v>
      </c>
      <c r="M13" s="34">
        <v>0</v>
      </c>
      <c r="N13" s="15"/>
      <c r="O13" s="65">
        <v>7</v>
      </c>
      <c r="P13" s="56" t="s">
        <v>14</v>
      </c>
      <c r="Q13" s="5">
        <f>VLOOKUP(P13,Log!$B$2:$C$8,2,)</f>
        <v>0.45</v>
      </c>
      <c r="R13" s="4">
        <v>3.72</v>
      </c>
      <c r="S13" s="34">
        <v>0</v>
      </c>
      <c r="T13" s="34">
        <v>0</v>
      </c>
    </row>
    <row r="14" spans="1:20" ht="15.75" thickBot="1" x14ac:dyDescent="0.3">
      <c r="A14" s="59">
        <v>2</v>
      </c>
      <c r="B14" s="56" t="s">
        <v>12</v>
      </c>
      <c r="C14" s="70">
        <f>VLOOKUP(B14,Log!$B$2:$C$8,2,)</f>
        <v>1</v>
      </c>
      <c r="D14" s="5">
        <v>6.72</v>
      </c>
      <c r="E14" s="34">
        <f>IF(OR(AND(B14="Motorbike",D14-D13&lt;Log!$C$13),AND(B14&lt;&gt;"Motorbike",D14-D13&lt;Log!$C$12)),0,D14-D13)</f>
        <v>2.4799999999999995</v>
      </c>
      <c r="F14" s="34">
        <f>IF(E15&lt;&gt;0,C14*E14,IF(E16=0,(C14+C15+C16)*E14,(C14+C15)*E14))</f>
        <v>2.4799999999999995</v>
      </c>
      <c r="H14" s="63">
        <v>33</v>
      </c>
      <c r="I14" s="62" t="s">
        <v>13</v>
      </c>
      <c r="J14" s="5">
        <f>VLOOKUP(I14,Log!$B$2:$C$8,2,)</f>
        <v>0.38</v>
      </c>
      <c r="K14" s="4">
        <v>7.24</v>
      </c>
      <c r="L14" s="34">
        <f>IF(OR(AND(I14="Motorbike",K14-K13&lt;Log!$C$13),AND(I14&lt;&gt;"Motorbike",K14-K13&lt;Log!$C$12)),0,K14-K13)</f>
        <v>2.04</v>
      </c>
      <c r="M14" s="34">
        <f>IF(L15&lt;&gt;0,J14*L14,IF(L16=0,(J14+J15+J16)*L14,(J14+J15)*L14))</f>
        <v>0.7752</v>
      </c>
      <c r="N14" s="15"/>
      <c r="O14" s="73">
        <v>3</v>
      </c>
      <c r="P14" s="75" t="s">
        <v>12</v>
      </c>
      <c r="Q14" s="5">
        <f>VLOOKUP(P14,Log!$B$2:$C$8,2,)</f>
        <v>1</v>
      </c>
      <c r="R14" s="4">
        <v>5.44</v>
      </c>
      <c r="S14" s="34">
        <f>IF(OR(AND(P14="Motorbike",R14-R13&lt;Log!$C$13),AND(P14&lt;&gt;"Motorbike",R14-R13&lt;Log!$C$12)),0,R14-R13)</f>
        <v>1.7200000000000002</v>
      </c>
      <c r="T14" s="34">
        <f>IF(S15&lt;&gt;0,Q14*S14,IF(S16=0,(Q14+Q15+Q16)*S14,(Q14+Q15)*S14))</f>
        <v>1.7200000000000002</v>
      </c>
    </row>
    <row r="15" spans="1:20" x14ac:dyDescent="0.25">
      <c r="A15" s="60">
        <v>53</v>
      </c>
      <c r="B15" s="56" t="s">
        <v>13</v>
      </c>
      <c r="C15" s="70">
        <f>VLOOKUP(B15,Log!$B$2:$C$8,2,)</f>
        <v>0.38</v>
      </c>
      <c r="D15" s="5">
        <v>8.1199999999999992</v>
      </c>
      <c r="E15" s="34">
        <f>IF(OR(AND(B15="Motorbike",D15-D14&lt;Log!$C$13),AND(B15&lt;&gt;"Motorbike",D15-D14&lt;Log!$C$12)),0,D15-D14)</f>
        <v>1.3999999999999995</v>
      </c>
      <c r="F15" s="34">
        <f t="shared" ref="F15:F35" si="4">IF(E16&lt;&gt;0,C15*E15,IF(E17=0,(C15+C16+C17)*E15,(C15+C16)*E15))</f>
        <v>0.53199999999999981</v>
      </c>
      <c r="H15" s="65">
        <v>17</v>
      </c>
      <c r="I15" s="62" t="s">
        <v>12</v>
      </c>
      <c r="J15" s="5">
        <f>VLOOKUP(I15,Log!$B$2:$C$8,2,)</f>
        <v>1</v>
      </c>
      <c r="K15" s="4">
        <v>9.7200000000000006</v>
      </c>
      <c r="L15" s="34">
        <f>IF(OR(AND(I15="Motorbike",K15-K14&lt;Log!$C$13),AND(I15&lt;&gt;"Motorbike",K15-K14&lt;Log!$C$12)),0,K15-K14)</f>
        <v>2.4800000000000004</v>
      </c>
      <c r="M15" s="34">
        <f t="shared" ref="M15:M30" si="5">IF(L16&lt;&gt;0,J15*L15,IF(L17=0,(J15+J16+J17)*L15,(J15+J16)*L15))</f>
        <v>2.4800000000000004</v>
      </c>
      <c r="N15" s="15"/>
      <c r="O15" s="73">
        <v>33</v>
      </c>
      <c r="P15" s="87" t="s">
        <v>13</v>
      </c>
      <c r="Q15" s="70">
        <f>VLOOKUP(P15,Log!$B$2:$C$8,2,)</f>
        <v>0.38</v>
      </c>
      <c r="R15" s="4">
        <v>7.44</v>
      </c>
      <c r="S15" s="34">
        <f>IF(OR(AND(P15="Motorbike",R15-R14&lt;Log!$C$13),AND(P15&lt;&gt;"Motorbike",R15-R14&lt;Log!$C$12)),0,R15-R14)</f>
        <v>2</v>
      </c>
      <c r="T15" s="34">
        <f t="shared" ref="T15:T38" si="6">IF(S16&lt;&gt;0,Q15*S15,IF(S17=0,(Q15+Q16+Q17)*S15,(Q15+Q16)*S15))</f>
        <v>1.6600000000000001</v>
      </c>
    </row>
    <row r="16" spans="1:20" ht="15.75" thickBot="1" x14ac:dyDescent="0.3">
      <c r="A16" s="60">
        <v>6</v>
      </c>
      <c r="B16" s="56" t="s">
        <v>12</v>
      </c>
      <c r="C16" s="70">
        <f>VLOOKUP(B16,Log!$B$2:$C$8,2,)</f>
        <v>1</v>
      </c>
      <c r="D16" s="5">
        <v>9.32</v>
      </c>
      <c r="E16" s="34">
        <f>IF(OR(AND(B16="Motorbike",D16-D15&lt;Log!$C$13),AND(B16&lt;&gt;"Motorbike",D16-D15&lt;Log!$C$12)),0,IF(E15&lt;&gt;0,D16-D15,IF(E14=0,D16-D13,D16-D14)))</f>
        <v>1.2000000000000011</v>
      </c>
      <c r="F16" s="34">
        <f t="shared" si="4"/>
        <v>1.2000000000000011</v>
      </c>
      <c r="H16" s="73">
        <v>39</v>
      </c>
      <c r="I16" s="62" t="s">
        <v>12</v>
      </c>
      <c r="J16" s="5">
        <f>VLOOKUP(I16,Log!$B$2:$C$8,2,)</f>
        <v>1</v>
      </c>
      <c r="K16" s="4">
        <v>11.32</v>
      </c>
      <c r="L16" s="34">
        <f>IF(OR(AND(I16="Motorbike",K16-K15&lt;Log!$C$13),AND(I16&lt;&gt;"Motorbike",K16-K15&lt;Log!$C$12)),0,IF(L15&lt;&gt;0,K16-K15,IF(L14=0,K16-K13,K16-K14)))</f>
        <v>1.5999999999999996</v>
      </c>
      <c r="M16" s="34">
        <f t="shared" si="5"/>
        <v>1.5999999999999996</v>
      </c>
      <c r="N16" s="15"/>
      <c r="O16" s="61">
        <v>9</v>
      </c>
      <c r="P16" s="88" t="s">
        <v>14</v>
      </c>
      <c r="Q16" s="70">
        <f>VLOOKUP(P16,Log!$B$2:$C$8,2,)</f>
        <v>0.45</v>
      </c>
      <c r="R16" s="4">
        <v>7.52</v>
      </c>
      <c r="S16" s="34">
        <f>IF(OR(AND(P16="Motorbike",R16-R15&lt;Log!$C$13),AND(P16&lt;&gt;"Motorbike",R16-R15&lt;Log!$C$12)),0,IF(S15&lt;&gt;0,R16-R15,IF(S14=0,R16-R13,R16-R14)))</f>
        <v>0</v>
      </c>
      <c r="T16" s="34">
        <f t="shared" si="6"/>
        <v>0</v>
      </c>
    </row>
    <row r="17" spans="1:23" x14ac:dyDescent="0.25">
      <c r="A17" s="60">
        <v>39</v>
      </c>
      <c r="B17" s="56" t="s">
        <v>12</v>
      </c>
      <c r="C17" s="70">
        <f>VLOOKUP(B17,Log!$B$2:$C$8,2,)</f>
        <v>1</v>
      </c>
      <c r="D17" s="5">
        <v>11.32</v>
      </c>
      <c r="E17" s="34">
        <f>IF(OR(AND(B17="Motorbike",D17-D16&lt;Log!$C$13),AND(B17&lt;&gt;"Motorbike",D17-D16&lt;Log!$C$12)),0,IF(E16&lt;&gt;0,D17-D16,IF(E15=0,D17-D14,D17-D15)))</f>
        <v>2</v>
      </c>
      <c r="F17" s="34">
        <f t="shared" si="4"/>
        <v>2</v>
      </c>
      <c r="H17" s="73">
        <v>10</v>
      </c>
      <c r="I17" s="56" t="s">
        <v>12</v>
      </c>
      <c r="J17" s="5">
        <f>VLOOKUP(I17,Log!$B$2:$C$8,2,)</f>
        <v>1</v>
      </c>
      <c r="K17" s="4">
        <v>13.72</v>
      </c>
      <c r="L17" s="34">
        <f>IF(OR(AND(I17="Motorbike",K17-K16&lt;Log!$C$13),AND(I17&lt;&gt;"Motorbike",K17-K16&lt;Log!$C$12)),0,IF(L16&lt;&gt;0,K17-K16,IF(L15=0,K17-K14,K17-K15)))</f>
        <v>2.4000000000000004</v>
      </c>
      <c r="M17" s="34">
        <f t="shared" si="5"/>
        <v>2.4000000000000004</v>
      </c>
      <c r="N17" s="15"/>
      <c r="O17" s="59">
        <v>30</v>
      </c>
      <c r="P17" s="72" t="s">
        <v>12</v>
      </c>
      <c r="Q17" s="5">
        <f>VLOOKUP(P17,Log!$B$2:$C$8,2,)</f>
        <v>1</v>
      </c>
      <c r="R17" s="4">
        <v>9.92</v>
      </c>
      <c r="S17" s="34">
        <f>IF(OR(AND(P17="Motorbike",R17-R16&lt;Log!$C$13),AND(P17&lt;&gt;"Motorbike",R17-R16&lt;Log!$C$12)),0,IF(S16&lt;&gt;0,R17-R16,IF(S15=0,R17-R14,R17-R15)))</f>
        <v>2.4799999999999995</v>
      </c>
      <c r="T17" s="34">
        <f t="shared" si="6"/>
        <v>2.4799999999999995</v>
      </c>
    </row>
    <row r="18" spans="1:23" ht="15.75" thickBot="1" x14ac:dyDescent="0.3">
      <c r="A18" s="61">
        <v>49</v>
      </c>
      <c r="B18" s="56" t="s">
        <v>12</v>
      </c>
      <c r="C18" s="70">
        <f>VLOOKUP(B18,Log!$B$2:$C$8,2,)</f>
        <v>1</v>
      </c>
      <c r="D18" s="5">
        <v>13.04</v>
      </c>
      <c r="E18" s="34">
        <f>IF(OR(AND(B18="Motorbike",D18-D17&lt;Log!$C$13),AND(B18&lt;&gt;"Motorbike",D18-D17&lt;Log!$C$12)),0,IF(E17&lt;&gt;0,D18-D17,IF(E16=0,D18-D15,D18-D16)))</f>
        <v>1.7199999999999989</v>
      </c>
      <c r="F18" s="34">
        <f t="shared" si="4"/>
        <v>1.7199999999999989</v>
      </c>
      <c r="H18" s="66">
        <v>71</v>
      </c>
      <c r="I18" s="56" t="s">
        <v>14</v>
      </c>
      <c r="J18" s="5">
        <f>VLOOKUP(I18,Log!$B$2:$C$8,2,)</f>
        <v>0.45</v>
      </c>
      <c r="K18" s="4">
        <v>16</v>
      </c>
      <c r="L18" s="34">
        <f>IF(OR(AND(I18="Motorbike",K18-K17&lt;Log!$C$13),AND(I18&lt;&gt;"Motorbike",K18-K17&lt;Log!$C$12)),0,IF(L17&lt;&gt;0,K18-K17,IF(L16=0,K18-K15,K18-K16)))</f>
        <v>2.2799999999999994</v>
      </c>
      <c r="M18" s="34">
        <f t="shared" si="5"/>
        <v>1.0259999999999998</v>
      </c>
      <c r="N18" s="15"/>
      <c r="O18" s="60">
        <v>56</v>
      </c>
      <c r="P18" s="56" t="s">
        <v>12</v>
      </c>
      <c r="Q18" s="5">
        <f>VLOOKUP(P18,Log!$B$2:$C$8,2,)</f>
        <v>1</v>
      </c>
      <c r="R18" s="4">
        <v>11.4</v>
      </c>
      <c r="S18" s="34">
        <f>IF(OR(AND(P18="Motorbike",R18-R17&lt;Log!$C$13),AND(P18&lt;&gt;"Motorbike",R18-R17&lt;Log!$C$12)),0,IF(S17&lt;&gt;0,R18-R17,IF(S16=0,R18-R15,R18-R16)))</f>
        <v>1.4800000000000004</v>
      </c>
      <c r="T18" s="34">
        <f t="shared" si="6"/>
        <v>1.4800000000000004</v>
      </c>
    </row>
    <row r="19" spans="1:23" ht="15.75" thickBot="1" x14ac:dyDescent="0.3">
      <c r="A19" s="59">
        <v>63</v>
      </c>
      <c r="B19" s="56" t="s">
        <v>12</v>
      </c>
      <c r="C19" s="70">
        <f>VLOOKUP(B19,Log!$B$2:$C$8,2,)</f>
        <v>1</v>
      </c>
      <c r="D19" s="5">
        <v>15.4</v>
      </c>
      <c r="E19" s="34">
        <f>IF(OR(AND(B19="Motorbike",D19-D18&lt;Log!$C$13),AND(B19&lt;&gt;"Motorbike",D19-D18&lt;Log!$C$12)),0,IF(E18&lt;&gt;0,D19-D18,IF(E17=0,D19-D16,D19-D17)))</f>
        <v>2.3600000000000012</v>
      </c>
      <c r="F19" s="34">
        <f t="shared" si="4"/>
        <v>2.3600000000000012</v>
      </c>
      <c r="H19" s="90">
        <v>90</v>
      </c>
      <c r="I19" s="56" t="s">
        <v>12</v>
      </c>
      <c r="J19" s="5">
        <f>VLOOKUP(I19,Log!$B$2:$C$8,2,)</f>
        <v>1</v>
      </c>
      <c r="K19" s="4">
        <v>19.8</v>
      </c>
      <c r="L19" s="34">
        <f>IF(OR(AND(I19="Motorbike",K19-K18&lt;Log!$C$13),AND(I19&lt;&gt;"Motorbike",K19-K18&lt;Log!$C$12)),0,IF(L18&lt;&gt;0,K19-K18,IF(L17=0,K19-K16,K19-K17)))</f>
        <v>3.8000000000000007</v>
      </c>
      <c r="M19" s="34">
        <f t="shared" si="5"/>
        <v>3.8000000000000007</v>
      </c>
      <c r="N19" s="15"/>
      <c r="O19" s="60">
        <v>68</v>
      </c>
      <c r="P19" s="71" t="s">
        <v>12</v>
      </c>
      <c r="Q19" s="5">
        <f>VLOOKUP(P19,Log!$B$2:$C$8,2,)</f>
        <v>1</v>
      </c>
      <c r="R19" s="4">
        <v>13.44</v>
      </c>
      <c r="S19" s="34">
        <f>IF(OR(AND(P19="Motorbike",R19-R18&lt;Log!$C$13),AND(P19&lt;&gt;"Motorbike",R19-R18&lt;Log!$C$12)),0,IF(S18&lt;&gt;0,R19-R18,IF(S17=0,R19-R16,R19-R17)))</f>
        <v>2.0399999999999991</v>
      </c>
      <c r="T19" s="34">
        <f t="shared" si="6"/>
        <v>2.0399999999999991</v>
      </c>
    </row>
    <row r="20" spans="1:23" x14ac:dyDescent="0.25">
      <c r="A20" s="60">
        <v>80</v>
      </c>
      <c r="B20" s="56" t="s">
        <v>13</v>
      </c>
      <c r="C20" s="70">
        <f>VLOOKUP(B20,Log!$B$2:$C$8,2,)</f>
        <v>0.38</v>
      </c>
      <c r="D20" s="5">
        <v>17.2</v>
      </c>
      <c r="E20" s="34">
        <f>IF(OR(AND(B20="Motorbike",D20-D19&lt;Log!$C$13),AND(B20&lt;&gt;"Motorbike",D20-D19&lt;Log!$C$12)),0,IF(E19&lt;&gt;0,D20-D19,IF(E18=0,D20-D17,D20-D18)))</f>
        <v>1.7999999999999989</v>
      </c>
      <c r="F20" s="109">
        <f t="shared" si="4"/>
        <v>0.68399999999999961</v>
      </c>
      <c r="H20" s="65">
        <v>103</v>
      </c>
      <c r="I20" s="56" t="s">
        <v>12</v>
      </c>
      <c r="J20" s="5">
        <f>VLOOKUP(I20,Log!$B$2:$C$8,2,)</f>
        <v>1</v>
      </c>
      <c r="K20" s="4">
        <v>22.92</v>
      </c>
      <c r="L20" s="34">
        <f>IF(OR(AND(I20="Motorbike",K20-K19&lt;Log!$C$13),AND(I20&lt;&gt;"Motorbike",K20-K19&lt;Log!$C$12)),0,IF(L19&lt;&gt;0,K20-K19,IF(L18=0,K20-K17,K20-K18)))</f>
        <v>3.120000000000001</v>
      </c>
      <c r="M20" s="34">
        <f t="shared" si="5"/>
        <v>6.240000000000002</v>
      </c>
      <c r="N20" s="15"/>
      <c r="O20" s="60">
        <v>77</v>
      </c>
      <c r="P20" s="87" t="s">
        <v>14</v>
      </c>
      <c r="Q20" s="70">
        <f>VLOOKUP(P20,Log!$B$2:$C$8,2,)</f>
        <v>0.45</v>
      </c>
      <c r="R20" s="4">
        <v>14.64</v>
      </c>
      <c r="S20" s="34">
        <f>IF(OR(AND(P20="Motorbike",R20-R19&lt;Log!$C$13),AND(P20&lt;&gt;"Motorbike",R20-R19&lt;Log!$C$12)),0,IF(S19&lt;&gt;0,R20-R19,IF(S18=0,R20-R17,R20-R18)))</f>
        <v>1.2000000000000011</v>
      </c>
      <c r="T20" s="34">
        <f t="shared" si="6"/>
        <v>0.996000000000001</v>
      </c>
    </row>
    <row r="21" spans="1:23" ht="15.75" thickBot="1" x14ac:dyDescent="0.3">
      <c r="A21" s="60">
        <v>81</v>
      </c>
      <c r="B21" s="56" t="s">
        <v>12</v>
      </c>
      <c r="C21" s="70">
        <f>VLOOKUP(B21,Log!$B$2:$C$8,2,)</f>
        <v>1</v>
      </c>
      <c r="D21" s="5">
        <v>18.600000000000001</v>
      </c>
      <c r="E21" s="34">
        <f>IF(OR(AND(B21="Motorbike",D21-D20&lt;Log!$C$13),AND(B21&lt;&gt;"Motorbike",D21-D20&lt;Log!$C$12)),0,IF(E20&lt;&gt;0,D21-D20,IF(E19=0,D21-D18,D21-D19)))</f>
        <v>1.4000000000000021</v>
      </c>
      <c r="F21" s="109">
        <f t="shared" si="4"/>
        <v>2.8000000000000043</v>
      </c>
      <c r="H21" s="73">
        <v>116</v>
      </c>
      <c r="I21" s="56" t="s">
        <v>12</v>
      </c>
      <c r="J21" s="5">
        <f>VLOOKUP(I21,Log!$B$2:$C$8,2,)</f>
        <v>1</v>
      </c>
      <c r="K21" s="4">
        <v>23.4</v>
      </c>
      <c r="L21" s="34">
        <f>IF(OR(AND(I21="Motorbike",K21-K20&lt;Log!$C$13),AND(I21&lt;&gt;"Motorbike",K21-K20&lt;Log!$C$12)),0,IF(L20&lt;&gt;0,K21-K20,IF(L19=0,K21-K18,K21-K19)))</f>
        <v>0</v>
      </c>
      <c r="M21" s="109">
        <f t="shared" si="5"/>
        <v>0</v>
      </c>
      <c r="N21" s="15"/>
      <c r="O21" s="60">
        <v>65</v>
      </c>
      <c r="P21" s="88" t="s">
        <v>13</v>
      </c>
      <c r="Q21" s="70">
        <f>VLOOKUP(P21,Log!$B$2:$C$8,2,)</f>
        <v>0.38</v>
      </c>
      <c r="R21" s="4">
        <v>14.92</v>
      </c>
      <c r="S21" s="34">
        <f>IF(OR(AND(P21="Motorbike",R21-R20&lt;Log!$C$13),AND(P21&lt;&gt;"Motorbike",R21-R20&lt;Log!$C$12)),0,IF(S20&lt;&gt;0,R21-R20,IF(S19=0,R21-R18,R21-R19)))</f>
        <v>0</v>
      </c>
      <c r="T21" s="34">
        <f t="shared" si="6"/>
        <v>0</v>
      </c>
    </row>
    <row r="22" spans="1:23" x14ac:dyDescent="0.25">
      <c r="A22" s="60">
        <v>59</v>
      </c>
      <c r="B22" s="56" t="s">
        <v>12</v>
      </c>
      <c r="C22" s="70">
        <f>VLOOKUP(B22,Log!$B$2:$C$8,2,)</f>
        <v>1</v>
      </c>
      <c r="D22" s="5">
        <v>19.52</v>
      </c>
      <c r="E22" s="34">
        <f>IF(OR(AND(B22="Motorbike",D22-D21&lt;Log!$C$13),AND(B22&lt;&gt;"Motorbike",D22-D21&lt;Log!$C$12)),0,IF(E21&lt;&gt;0,D22-D21,IF(E20=0,D22-D19,D22-D20)))</f>
        <v>0</v>
      </c>
      <c r="F22" s="109">
        <f t="shared" si="4"/>
        <v>0</v>
      </c>
      <c r="H22" s="73">
        <v>124</v>
      </c>
      <c r="I22" s="56" t="s">
        <v>12</v>
      </c>
      <c r="J22" s="5">
        <f>VLOOKUP(I22,Log!$B$2:$C$8,2,)</f>
        <v>1</v>
      </c>
      <c r="K22" s="4">
        <v>25.12</v>
      </c>
      <c r="L22" s="34">
        <f>IF(OR(AND(I22="Motorbike",K22-K21&lt;Log!$C$13),AND(I22&lt;&gt;"Motorbike",K22-K21&lt;Log!$C$12)),0,IF(L21&lt;&gt;0,K22-K21,IF(L20=0,K22-K19,K22-K20)))</f>
        <v>2.1999999999999993</v>
      </c>
      <c r="M22" s="109">
        <f t="shared" si="5"/>
        <v>2.1999999999999993</v>
      </c>
      <c r="N22" s="15"/>
      <c r="O22" s="60">
        <v>62</v>
      </c>
      <c r="P22" s="72" t="s">
        <v>12</v>
      </c>
      <c r="Q22" s="5">
        <f>VLOOKUP(P22,Log!$B$2:$C$8,2,)</f>
        <v>1</v>
      </c>
      <c r="R22" s="4">
        <v>16.04</v>
      </c>
      <c r="S22" s="34">
        <f>IF(OR(AND(P22="Motorbike",R22-R21&lt;Log!$C$13),AND(P22&lt;&gt;"Motorbike",R22-R21&lt;Log!$C$12)),0,IF(S21&lt;&gt;0,R22-R21,IF(S20=0,R22-R19,R22-R20)))</f>
        <v>1.3999999999999986</v>
      </c>
      <c r="T22" s="34">
        <f t="shared" si="6"/>
        <v>1.3999999999999986</v>
      </c>
    </row>
    <row r="23" spans="1:23" ht="15.75" thickBot="1" x14ac:dyDescent="0.3">
      <c r="A23" s="60">
        <v>113</v>
      </c>
      <c r="B23" s="56" t="s">
        <v>14</v>
      </c>
      <c r="C23" s="70">
        <f>VLOOKUP(B23,Log!$B$2:$C$8,2,)</f>
        <v>0.45</v>
      </c>
      <c r="D23" s="5">
        <v>20.92</v>
      </c>
      <c r="E23" s="34">
        <f>IF(OR(AND(B23="Motorbike",D23-D22&lt;Log!$C$13),AND(B23&lt;&gt;"Motorbike",D23-D22&lt;Log!$C$12)),0,IF(E22&lt;&gt;0,D23-D22,IF(E21=0,D23-D20,D23-D21)))</f>
        <v>2.3200000000000003</v>
      </c>
      <c r="F23" s="109">
        <f t="shared" si="4"/>
        <v>3.3640000000000003</v>
      </c>
      <c r="H23" s="73">
        <v>136</v>
      </c>
      <c r="I23" s="71" t="s">
        <v>12</v>
      </c>
      <c r="J23" s="5">
        <f>VLOOKUP(I23,Log!$B$2:$C$8,2,)</f>
        <v>1</v>
      </c>
      <c r="K23" s="4">
        <v>26.52</v>
      </c>
      <c r="L23" s="34">
        <f>IF(OR(AND(I23="Motorbike",K23-K22&lt;Log!$C$13),AND(I23&lt;&gt;"Motorbike",K23-K22&lt;Log!$C$12)),0,IF(L22&lt;&gt;0,K23-K22,IF(L21=0,K23-K20,K23-K21)))</f>
        <v>1.3999999999999986</v>
      </c>
      <c r="M23" s="109">
        <f t="shared" si="5"/>
        <v>1.3999999999999986</v>
      </c>
      <c r="N23" s="15"/>
      <c r="O23" s="60">
        <v>89</v>
      </c>
      <c r="P23" s="62" t="s">
        <v>13</v>
      </c>
      <c r="Q23" s="5">
        <f>VLOOKUP(P23,Log!$B$2:$C$8,2,)</f>
        <v>0.38</v>
      </c>
      <c r="R23" s="4">
        <v>17.32</v>
      </c>
      <c r="S23" s="34">
        <f>IF(OR(AND(P23="Motorbike",R23-R22&lt;Log!$C$13),AND(P23&lt;&gt;"Motorbike",R23-R22&lt;Log!$C$12)),0,IF(S22&lt;&gt;0,R23-R22,IF(S21=0,R23-R20,R23-R21)))</f>
        <v>1.2800000000000011</v>
      </c>
      <c r="T23" s="34">
        <f t="shared" si="6"/>
        <v>0.48640000000000044</v>
      </c>
    </row>
    <row r="24" spans="1:23" x14ac:dyDescent="0.25">
      <c r="A24" s="60">
        <v>78</v>
      </c>
      <c r="B24" s="56" t="s">
        <v>12</v>
      </c>
      <c r="C24" s="70">
        <f>VLOOKUP(B24,Log!$B$2:$C$8,2,)</f>
        <v>1</v>
      </c>
      <c r="D24" s="5">
        <v>21.64</v>
      </c>
      <c r="E24" s="34">
        <f>IF(OR(AND(B24="Motorbike",D24-D23&lt;Log!$C$13),AND(B24&lt;&gt;"Motorbike",D24-D23&lt;Log!$C$12)),0,IF(E23&lt;&gt;0,D24-D23,IF(E22=0,D24-D21,D24-D22)))</f>
        <v>0</v>
      </c>
      <c r="F24" s="109">
        <f t="shared" si="4"/>
        <v>0</v>
      </c>
      <c r="H24" s="73">
        <v>149</v>
      </c>
      <c r="I24" s="59" t="s">
        <v>12</v>
      </c>
      <c r="J24" s="70">
        <f>VLOOKUP(I24,Log!$B$2:$C$8,2,)</f>
        <v>1</v>
      </c>
      <c r="K24" s="4">
        <v>28.52</v>
      </c>
      <c r="L24" s="34">
        <f>IF(OR(AND(I24="Motorbike",K24-K23&lt;Log!$C$13),AND(I24&lt;&gt;"Motorbike",K24-K23&lt;Log!$C$12)),0,IF(L23&lt;&gt;0,K24-K23,IF(L22=0,K24-K21,K24-K22)))</f>
        <v>2</v>
      </c>
      <c r="M24" s="109">
        <f t="shared" si="5"/>
        <v>2.9</v>
      </c>
      <c r="N24" s="15"/>
      <c r="O24" s="60">
        <v>79</v>
      </c>
      <c r="P24" s="56" t="s">
        <v>14</v>
      </c>
      <c r="Q24" s="5">
        <f>VLOOKUP(P24,Log!$B$2:$C$8,2,)</f>
        <v>0.45</v>
      </c>
      <c r="R24" s="4">
        <v>18.600000000000001</v>
      </c>
      <c r="S24" s="34">
        <f>IF(OR(AND(P24="Motorbike",R24-R23&lt;Log!$C$13),AND(P24&lt;&gt;"Motorbike",R24-R23&lt;Log!$C$12)),0,IF(S23&lt;&gt;0,R24-R23,IF(S22=0,R24-R21,R24-R22)))</f>
        <v>1.2800000000000011</v>
      </c>
      <c r="T24" s="34">
        <f t="shared" si="6"/>
        <v>0.57600000000000051</v>
      </c>
    </row>
    <row r="25" spans="1:23" ht="15.75" thickBot="1" x14ac:dyDescent="0.3">
      <c r="A25" s="60">
        <v>98</v>
      </c>
      <c r="B25" s="56" t="s">
        <v>12</v>
      </c>
      <c r="C25" s="70">
        <f>VLOOKUP(B25,Log!$B$2:$C$8,2,)</f>
        <v>1</v>
      </c>
      <c r="D25" s="5">
        <v>22.8</v>
      </c>
      <c r="E25" s="34">
        <f>IF(OR(AND(B25="Motorbike",D25-D24&lt;Log!$C$13),AND(B25&lt;&gt;"Motorbike",D25-D24&lt;Log!$C$12)),0,IF(E24&lt;&gt;0,D25-D24,IF(E23=0,D25-D22,D25-D23)))</f>
        <v>1.879999999999999</v>
      </c>
      <c r="F25" s="109">
        <f t="shared" si="4"/>
        <v>1.879999999999999</v>
      </c>
      <c r="H25" s="73">
        <v>148</v>
      </c>
      <c r="I25" s="61" t="s">
        <v>14</v>
      </c>
      <c r="J25" s="70">
        <f>VLOOKUP(I25,Log!$B$2:$C$8,2,)</f>
        <v>0.45</v>
      </c>
      <c r="K25" s="4">
        <v>28.6</v>
      </c>
      <c r="L25" s="34">
        <f>IF(OR(AND(I25="Motorbike",K25-K24&lt;Log!$C$13),AND(I25&lt;&gt;"Motorbike",K25-K24&lt;Log!$C$12)),0,IF(L24&lt;&gt;0,K25-K24,IF(L23=0,K25-K22,K25-K23)))</f>
        <v>0</v>
      </c>
      <c r="M25" s="109">
        <f t="shared" si="5"/>
        <v>0</v>
      </c>
      <c r="N25" s="15"/>
      <c r="O25" s="61">
        <v>95</v>
      </c>
      <c r="P25" s="56" t="s">
        <v>13</v>
      </c>
      <c r="Q25" s="5">
        <f>VLOOKUP(P25,Log!$B$2:$C$8,2,)</f>
        <v>0.38</v>
      </c>
      <c r="R25" s="4">
        <v>20.12</v>
      </c>
      <c r="S25" s="34">
        <f>IF(OR(AND(P25="Motorbike",R25-R24&lt;Log!$C$13),AND(P25&lt;&gt;"Motorbike",R25-R24&lt;Log!$C$12)),0,IF(S24&lt;&gt;0,R25-R24,IF(S23=0,R25-R22,R25-R23)))</f>
        <v>1.5199999999999996</v>
      </c>
      <c r="T25" s="34">
        <f t="shared" si="6"/>
        <v>0.57759999999999989</v>
      </c>
    </row>
    <row r="26" spans="1:23" x14ac:dyDescent="0.25">
      <c r="A26" s="60">
        <v>126</v>
      </c>
      <c r="B26" s="56" t="s">
        <v>14</v>
      </c>
      <c r="C26" s="70">
        <f>VLOOKUP(B26,Log!$B$2:$C$8,2,)</f>
        <v>0.45</v>
      </c>
      <c r="D26" s="5">
        <v>24.92</v>
      </c>
      <c r="E26" s="34">
        <f>IF(OR(AND(B26="Motorbike",D26-D25&lt;Log!$C$13),AND(B26&lt;&gt;"Motorbike",D26-D25&lt;Log!$C$12)),0,IF(E25&lt;&gt;0,D26-D25,IF(E24=0,D26-D23,D26-D24)))</f>
        <v>2.120000000000001</v>
      </c>
      <c r="F26" s="109">
        <f t="shared" si="4"/>
        <v>0.95400000000000051</v>
      </c>
      <c r="H26" s="73">
        <v>153</v>
      </c>
      <c r="I26" s="59" t="s">
        <v>12</v>
      </c>
      <c r="J26" s="70">
        <f>VLOOKUP(I26,Log!$B$2:$C$8,2,)</f>
        <v>1</v>
      </c>
      <c r="K26" s="4">
        <v>30.32</v>
      </c>
      <c r="L26" s="34">
        <f>IF(OR(AND(I26="Motorbike",K26-K25&lt;Log!$C$13),AND(I26&lt;&gt;"Motorbike",K26-K25&lt;Log!$C$12)),0,IF(L25&lt;&gt;0,K26-K25,IF(L24=0,K26-K23,K26-K24)))</f>
        <v>1.8000000000000007</v>
      </c>
      <c r="M26" s="109">
        <f t="shared" si="5"/>
        <v>2.4840000000000009</v>
      </c>
      <c r="N26" s="15"/>
      <c r="O26" s="59">
        <v>115</v>
      </c>
      <c r="P26" s="56" t="s">
        <v>13</v>
      </c>
      <c r="Q26" s="5">
        <f>VLOOKUP(P26,Log!$B$2:$C$8,2,)</f>
        <v>0.38</v>
      </c>
      <c r="R26" s="4">
        <v>21.12</v>
      </c>
      <c r="S26" s="34">
        <f>IF(OR(AND(P26="Motorbike",R26-R25&lt;Log!$C$13),AND(P26&lt;&gt;"Motorbike",R26-R25&lt;Log!$C$12)),0,IF(S25&lt;&gt;0,R26-R25,IF(S24=0,R26-R23,R26-R24)))</f>
        <v>1</v>
      </c>
      <c r="T26" s="34">
        <f t="shared" si="6"/>
        <v>0.38</v>
      </c>
    </row>
    <row r="27" spans="1:23" ht="15.75" thickBot="1" x14ac:dyDescent="0.3">
      <c r="A27" s="60">
        <v>139</v>
      </c>
      <c r="B27" s="56" t="s">
        <v>12</v>
      </c>
      <c r="C27" s="70">
        <f>VLOOKUP(B27,Log!$B$2:$C$8,2,)</f>
        <v>1</v>
      </c>
      <c r="D27" s="5">
        <v>26.4</v>
      </c>
      <c r="E27" s="34">
        <f>IF(OR(AND(B27="Motorbike",D27-D26&lt;Log!$C$13),AND(B27&lt;&gt;"Motorbike",D27-D26&lt;Log!$C$12)),0,IF(E26&lt;&gt;0,D27-D26,IF(E25=0,D27-D24,D27-D25)))</f>
        <v>1.4799999999999969</v>
      </c>
      <c r="F27" s="109">
        <f t="shared" si="4"/>
        <v>1.4799999999999969</v>
      </c>
      <c r="H27" s="73">
        <v>188</v>
      </c>
      <c r="I27" s="61" t="s">
        <v>13</v>
      </c>
      <c r="J27" s="70">
        <f>VLOOKUP(I27,Log!$B$2:$C$8,2,)</f>
        <v>0.38</v>
      </c>
      <c r="K27" s="4">
        <v>30.8</v>
      </c>
      <c r="L27" s="34">
        <f>IF(OR(AND(I27="Motorbike",K27-K26&lt;Log!$C$13),AND(I27&lt;&gt;"Motorbike",K27-K26&lt;Log!$C$12)),0,IF(L26&lt;&gt;0,K27-K26,IF(L25=0,K27-K24,K27-K25)))</f>
        <v>0</v>
      </c>
      <c r="M27" s="109">
        <f t="shared" si="5"/>
        <v>0</v>
      </c>
      <c r="N27" s="15"/>
      <c r="O27" s="73">
        <v>103</v>
      </c>
      <c r="P27" s="56" t="s">
        <v>12</v>
      </c>
      <c r="Q27" s="5">
        <f>VLOOKUP(P27,Log!$B$2:$C$8,2,)</f>
        <v>1</v>
      </c>
      <c r="R27" s="4">
        <v>22.92</v>
      </c>
      <c r="S27" s="34">
        <f>IF(OR(AND(P27="Motorbike",R27-R26&lt;Log!$C$13),AND(P27&lt;&gt;"Motorbike",R27-R26&lt;Log!$C$12)),0,IF(S26&lt;&gt;0,R27-R26,IF(S25=0,R27-R24,R27-R25)))</f>
        <v>1.8000000000000007</v>
      </c>
      <c r="T27" s="34">
        <f t="shared" si="6"/>
        <v>1.8000000000000007</v>
      </c>
    </row>
    <row r="28" spans="1:23" ht="15.75" thickBot="1" x14ac:dyDescent="0.3">
      <c r="A28" s="60">
        <v>131</v>
      </c>
      <c r="B28" s="56" t="s">
        <v>12</v>
      </c>
      <c r="C28" s="70">
        <f>VLOOKUP(B28,Log!$B$2:$C$8,2,)</f>
        <v>1</v>
      </c>
      <c r="D28" s="5">
        <v>28.12</v>
      </c>
      <c r="E28" s="34">
        <f>IF(OR(AND(B28="Motorbike",D28-D27&lt;Log!$C$13),AND(B28&lt;&gt;"Motorbike",D28-D27&lt;Log!$C$12)),0,IF(E27&lt;&gt;0,D28-D27,IF(E26=0,D28-D25,D28-D26)))</f>
        <v>1.7200000000000024</v>
      </c>
      <c r="F28" s="109">
        <f t="shared" si="4"/>
        <v>1.7200000000000024</v>
      </c>
      <c r="H28" s="73">
        <v>179</v>
      </c>
      <c r="I28" s="72" t="s">
        <v>12</v>
      </c>
      <c r="J28" s="5">
        <f>VLOOKUP(I28,Log!$B$2:$C$8,2,)</f>
        <v>1</v>
      </c>
      <c r="K28" s="4">
        <v>33.119999999999997</v>
      </c>
      <c r="L28" s="34">
        <f>IF(OR(AND(I28="Motorbike",K28-K27&lt;Log!$C$13),AND(I28&lt;&gt;"Motorbike",K28-K27&lt;Log!$C$12)),0,IF(L27&lt;&gt;0,K28-K27,IF(L26=0,K28-K25,K28-K26)))</f>
        <v>2.7999999999999972</v>
      </c>
      <c r="M28" s="109">
        <f t="shared" si="5"/>
        <v>2.7999999999999972</v>
      </c>
      <c r="N28" s="15"/>
      <c r="O28" s="61">
        <v>102</v>
      </c>
      <c r="P28" s="56" t="s">
        <v>12</v>
      </c>
      <c r="Q28" s="5">
        <f>VLOOKUP(P28,Log!$B$2:$C$8,2,)</f>
        <v>1</v>
      </c>
      <c r="R28" s="4">
        <v>24.44</v>
      </c>
      <c r="S28" s="34">
        <f>IF(OR(AND(P28="Motorbike",R28-R27&lt;Log!$C$13),AND(P28&lt;&gt;"Motorbike",R28-R27&lt;Log!$C$12)),0,IF(S27&lt;&gt;0,R28-R27,IF(S26=0,R28-R25,R28-R26)))</f>
        <v>1.5199999999999996</v>
      </c>
      <c r="T28" s="34">
        <f t="shared" si="6"/>
        <v>1.5199999999999996</v>
      </c>
    </row>
    <row r="29" spans="1:23" x14ac:dyDescent="0.25">
      <c r="A29" s="60">
        <v>192</v>
      </c>
      <c r="B29" s="56" t="s">
        <v>33</v>
      </c>
      <c r="C29" s="70">
        <f>VLOOKUP(B29,Log!$B$2:$C$8,2,)</f>
        <v>1.84</v>
      </c>
      <c r="D29" s="5">
        <v>29.52</v>
      </c>
      <c r="E29" s="34">
        <f>IF(OR(AND(B29="Motorbike",D29-D28&lt;Log!$C$13),AND(B29&lt;&gt;"Motorbike",D29-D28&lt;Log!$C$12)),0,IF(E28&lt;&gt;0,D29-D28,IF(E27=0,D29-D26,D29-D27)))</f>
        <v>1.3999999999999986</v>
      </c>
      <c r="F29" s="109">
        <f t="shared" si="4"/>
        <v>3.107999999999997</v>
      </c>
      <c r="H29" s="73">
        <v>175</v>
      </c>
      <c r="I29" s="56" t="s">
        <v>12</v>
      </c>
      <c r="J29" s="5">
        <f>VLOOKUP(I29,Log!$B$2:$C$8,2,)</f>
        <v>1</v>
      </c>
      <c r="K29" s="4">
        <v>35.24</v>
      </c>
      <c r="L29" s="34">
        <f>IF(OR(AND(I29="Motorbike",K29-K28&lt;Log!$C$13),AND(I29&lt;&gt;"Motorbike",K29-K28&lt;Log!$C$12)),0,IF(L28&lt;&gt;0,K29-K28,IF(L27=0,K29-K26,K29-K27)))</f>
        <v>2.1200000000000045</v>
      </c>
      <c r="M29" s="109">
        <f t="shared" si="5"/>
        <v>2.1200000000000045</v>
      </c>
      <c r="N29" s="15"/>
      <c r="O29" s="97">
        <v>136</v>
      </c>
      <c r="P29" s="56" t="s">
        <v>12</v>
      </c>
      <c r="Q29" s="5">
        <f>VLOOKUP(P29,Log!$B$2:$C$8,2,)</f>
        <v>1</v>
      </c>
      <c r="R29" s="4">
        <v>26.72</v>
      </c>
      <c r="S29" s="34">
        <f>IF(OR(AND(P29="Motorbike",R29-R28&lt;Log!$C$13),AND(P29&lt;&gt;"Motorbike",R29-R28&lt;Log!$C$12)),0,IF(S28&lt;&gt;0,R29-R28,IF(S27=0,R29-R26,R29-R27)))</f>
        <v>2.2799999999999976</v>
      </c>
      <c r="T29" s="34">
        <f t="shared" si="6"/>
        <v>2.2799999999999976</v>
      </c>
      <c r="W29" s="11"/>
    </row>
    <row r="30" spans="1:23" ht="15.75" thickBot="1" x14ac:dyDescent="0.3">
      <c r="A30" s="60">
        <v>166</v>
      </c>
      <c r="B30" s="56" t="s">
        <v>13</v>
      </c>
      <c r="C30" s="70">
        <f>VLOOKUP(B30,Log!$B$2:$C$8,2,)</f>
        <v>0.38</v>
      </c>
      <c r="D30" s="5">
        <v>29.64</v>
      </c>
      <c r="E30" s="34">
        <f>IF(OR(AND(B30="Motorbike",D30-D29&lt;Log!$C$13),AND(B30&lt;&gt;"Motorbike",D30-D29&lt;Log!$C$12)),0,IF(E29&lt;&gt;0,D30-D29,IF(E28=0,D30-D27,D30-D28)))</f>
        <v>0</v>
      </c>
      <c r="F30" s="109">
        <f t="shared" si="4"/>
        <v>0</v>
      </c>
      <c r="H30" s="66">
        <v>201</v>
      </c>
      <c r="I30" s="56" t="s">
        <v>12</v>
      </c>
      <c r="J30" s="5">
        <f>VLOOKUP(I30,Log!$B$2:$C$8,2,)</f>
        <v>1</v>
      </c>
      <c r="K30" s="4">
        <v>37.119999999999997</v>
      </c>
      <c r="L30" s="34">
        <f>IF(OR(AND(I30="Motorbike",K30-K29&lt;Log!$C$13),AND(I30&lt;&gt;"Motorbike",K30-K29&lt;Log!$C$12)),0,IF(L29&lt;&gt;0,K30-K29,IF(L28=0,K30-K27,K30-K28)))</f>
        <v>1.8799999999999955</v>
      </c>
      <c r="M30" s="109">
        <f t="shared" si="5"/>
        <v>1.8799999999999955</v>
      </c>
      <c r="N30" s="15"/>
      <c r="O30" s="97">
        <v>145</v>
      </c>
      <c r="P30" s="56" t="s">
        <v>14</v>
      </c>
      <c r="Q30" s="5">
        <f>VLOOKUP(P30,Log!$B$2:$C$8,2,)</f>
        <v>0.45</v>
      </c>
      <c r="R30" s="4">
        <v>29</v>
      </c>
      <c r="S30" s="34">
        <f>IF(OR(AND(P30="Motorbike",R30-R29&lt;Log!$C$13),AND(P30&lt;&gt;"Motorbike",R30-R29&lt;Log!$C$12)),0,IF(S29&lt;&gt;0,R30-R29,IF(S28=0,R30-R27,R30-R28)))</f>
        <v>2.2800000000000011</v>
      </c>
      <c r="T30" s="34">
        <f t="shared" si="6"/>
        <v>1.0260000000000005</v>
      </c>
      <c r="W30" s="11"/>
    </row>
    <row r="31" spans="1:23" ht="15.75" thickBot="1" x14ac:dyDescent="0.3">
      <c r="A31" s="60">
        <v>156</v>
      </c>
      <c r="B31" s="56" t="s">
        <v>12</v>
      </c>
      <c r="C31" s="70">
        <f>VLOOKUP(B31,Log!$B$2:$C$8,2,)</f>
        <v>1</v>
      </c>
      <c r="D31" s="5">
        <v>31.64</v>
      </c>
      <c r="E31" s="34">
        <f>IF(OR(AND(B31="Motorbike",D31-D30&lt;Log!$C$13),AND(B31&lt;&gt;"Motorbike",D31-D30&lt;Log!$C$12)),0,IF(E30&lt;&gt;0,D31-D30,IF(E29=0,D31-D28,D31-D29)))</f>
        <v>2.120000000000001</v>
      </c>
      <c r="F31" s="109">
        <f t="shared" si="4"/>
        <v>2.120000000000001</v>
      </c>
      <c r="N31" s="15"/>
      <c r="O31" s="60">
        <v>157</v>
      </c>
      <c r="P31" s="71" t="s">
        <v>13</v>
      </c>
      <c r="Q31" s="5">
        <f>VLOOKUP(P31,Log!$B$2:$C$8,2,)</f>
        <v>0.38</v>
      </c>
      <c r="R31" s="4">
        <v>30.12</v>
      </c>
      <c r="S31" s="34">
        <f>IF(OR(AND(P31="Motorbike",R31-R30&lt;Log!$C$13),AND(P31&lt;&gt;"Motorbike",R31-R30&lt;Log!$C$12)),0,IF(S30&lt;&gt;0,R31-R30,IF(S29=0,R31-R28,R31-R29)))</f>
        <v>1.120000000000001</v>
      </c>
      <c r="T31" s="34">
        <f t="shared" si="6"/>
        <v>1.3552000000000011</v>
      </c>
      <c r="W31" s="11"/>
    </row>
    <row r="32" spans="1:23" x14ac:dyDescent="0.25">
      <c r="A32" s="60">
        <v>186</v>
      </c>
      <c r="B32" s="56" t="s">
        <v>12</v>
      </c>
      <c r="C32" s="70">
        <f>VLOOKUP(B32,Log!$B$2:$C$8,2,)</f>
        <v>1</v>
      </c>
      <c r="D32" s="5">
        <v>34.520000000000003</v>
      </c>
      <c r="E32" s="34">
        <f>IF(OR(AND(B32="Motorbike",D32-D31&lt;Log!$C$13),AND(B32&lt;&gt;"Motorbike",D32-D31&lt;Log!$C$12)),0,IF(E31&lt;&gt;0,D32-D31,IF(E30=0,D32-D29,D32-D30)))</f>
        <v>2.8800000000000026</v>
      </c>
      <c r="F32" s="109">
        <f t="shared" si="4"/>
        <v>2.8800000000000026</v>
      </c>
      <c r="N32" s="15"/>
      <c r="O32" s="60">
        <v>169</v>
      </c>
      <c r="P32" s="87" t="s">
        <v>14</v>
      </c>
      <c r="Q32" s="70">
        <f>VLOOKUP(P32,Log!$B$2:$C$8,2,)</f>
        <v>0.45</v>
      </c>
      <c r="R32" s="4">
        <v>30.8</v>
      </c>
      <c r="S32" s="34">
        <f>IF(OR(AND(P32="Motorbike",R32-R31&lt;Log!$C$13),AND(P32&lt;&gt;"Motorbike",R32-R31&lt;Log!$C$12)),0,IF(S31&lt;&gt;0,R32-R31,IF(S30=0,R32-R29,R32-R30)))</f>
        <v>0</v>
      </c>
      <c r="T32" s="34">
        <f t="shared" si="6"/>
        <v>0</v>
      </c>
      <c r="W32" s="11"/>
    </row>
    <row r="33" spans="1:23" ht="15.75" thickBot="1" x14ac:dyDescent="0.3">
      <c r="A33" s="61">
        <v>200</v>
      </c>
      <c r="B33" s="56" t="s">
        <v>13</v>
      </c>
      <c r="C33" s="70">
        <f>VLOOKUP(B33,Log!$B$2:$C$8,2,)</f>
        <v>0.38</v>
      </c>
      <c r="D33" s="5">
        <v>36.200000000000003</v>
      </c>
      <c r="E33" s="34">
        <f>IF(OR(AND(B33="Motorbike",D33-D32&lt;Log!$C$13),AND(B33&lt;&gt;"Motorbike",D33-D32&lt;Log!$C$12)),0,IF(E32&lt;&gt;0,D33-D32,IF(E31=0,D33-D30,D33-D31)))</f>
        <v>1.6799999999999997</v>
      </c>
      <c r="F33" s="109">
        <f t="shared" si="4"/>
        <v>0.63839999999999986</v>
      </c>
      <c r="N33" s="15"/>
      <c r="O33" s="60">
        <v>188</v>
      </c>
      <c r="P33" s="88" t="s">
        <v>13</v>
      </c>
      <c r="Q33" s="70">
        <f>VLOOKUP(P33,Log!$B$2:$C$8,2,)</f>
        <v>0.38</v>
      </c>
      <c r="R33" s="4">
        <v>31</v>
      </c>
      <c r="S33" s="34">
        <f>IF(OR(AND(P33="Motorbike",R33-R32&lt;Log!$C$13),AND(P33&lt;&gt;"Motorbike",R33-R32&lt;Log!$C$12)),0,IF(S32&lt;&gt;0,R33-R32,IF(S31=0,R33-R30,R33-R31)))</f>
        <v>0</v>
      </c>
      <c r="T33" s="34">
        <f t="shared" si="6"/>
        <v>0</v>
      </c>
      <c r="W33" s="11"/>
    </row>
    <row r="34" spans="1:23" x14ac:dyDescent="0.25">
      <c r="A34" s="58">
        <v>227</v>
      </c>
      <c r="B34" s="4" t="s">
        <v>14</v>
      </c>
      <c r="C34" s="70">
        <f>VLOOKUP(B34,Log!$B$2:$C$8,2,)</f>
        <v>0.45</v>
      </c>
      <c r="D34" s="5">
        <v>37.72</v>
      </c>
      <c r="E34" s="34">
        <f>IF(OR(AND(B34="Motorbike",D34-D33&lt;Log!$C$13),AND(B34&lt;&gt;"Motorbike",D34-D33&lt;Log!$C$12)),0,IF(E33&lt;&gt;0,D34-D33,IF(E32=0,D34-D31,D34-D32)))</f>
        <v>1.519999999999996</v>
      </c>
      <c r="F34" s="34">
        <f t="shared" si="4"/>
        <v>1.2615999999999967</v>
      </c>
      <c r="H34" s="52"/>
      <c r="I34" s="53"/>
      <c r="J34" s="15"/>
      <c r="L34" s="54"/>
      <c r="M34" s="54"/>
      <c r="N34" s="15"/>
      <c r="O34" s="60">
        <v>199</v>
      </c>
      <c r="P34" s="72" t="s">
        <v>13</v>
      </c>
      <c r="Q34" s="5">
        <f>VLOOKUP(P34,Log!$B$2:$C$8,2,)</f>
        <v>0.38</v>
      </c>
      <c r="R34" s="4">
        <v>31.92</v>
      </c>
      <c r="S34" s="34">
        <f>IF(OR(AND(P34="Motorbike",R34-R33&lt;Log!$C$13),AND(P34&lt;&gt;"Motorbike",R34-R33&lt;Log!$C$12)),0,IF(S33&lt;&gt;0,R34-R33,IF(S32=0,R34-R31,R34-R32)))</f>
        <v>1.8000000000000007</v>
      </c>
      <c r="T34" s="34">
        <f t="shared" si="6"/>
        <v>1.4940000000000007</v>
      </c>
      <c r="W34" s="11"/>
    </row>
    <row r="35" spans="1:23" x14ac:dyDescent="0.25">
      <c r="A35" s="4">
        <v>210</v>
      </c>
      <c r="B35" s="4" t="s">
        <v>13</v>
      </c>
      <c r="C35" s="70">
        <f>VLOOKUP(B35,Log!$B$2:$C$8,2,)</f>
        <v>0.38</v>
      </c>
      <c r="D35" s="5">
        <v>38</v>
      </c>
      <c r="E35" s="34">
        <f>IF(OR(AND(B35="Motorbike",D35-D34&lt;Log!$C$13),AND(B35&lt;&gt;"Motorbike",D35-D34&lt;Log!$C$12)),0,IF(E34&lt;&gt;0,D35-D34,IF(E33=0,D35-D32,D35-D33)))</f>
        <v>0</v>
      </c>
      <c r="F35" s="34">
        <f t="shared" si="4"/>
        <v>0</v>
      </c>
      <c r="H35" s="55"/>
      <c r="J35" s="15"/>
      <c r="L35" s="54"/>
      <c r="M35" s="54"/>
      <c r="O35" s="60">
        <v>178</v>
      </c>
      <c r="P35" s="56" t="s">
        <v>14</v>
      </c>
      <c r="Q35" s="5">
        <f>VLOOKUP(P35,Log!$B$2:$C$8,2,)</f>
        <v>0.45</v>
      </c>
      <c r="R35" s="4">
        <v>32.840000000000003</v>
      </c>
      <c r="S35" s="34">
        <f>IF(OR(AND(P35="Motorbike",R35-R34&lt;Log!$C$13),AND(P35&lt;&gt;"Motorbike",R35-R34&lt;Log!$C$12)),0,IF(S34&lt;&gt;0,R35-R34,IF(S33=0,R35-R32,R35-R33)))</f>
        <v>0</v>
      </c>
      <c r="T35" s="34">
        <f t="shared" si="6"/>
        <v>0</v>
      </c>
      <c r="W35" s="11"/>
    </row>
    <row r="36" spans="1:23" ht="15.75" thickBot="1" x14ac:dyDescent="0.3">
      <c r="H36" s="55"/>
      <c r="J36" s="15"/>
      <c r="L36" s="54"/>
      <c r="M36" s="54"/>
      <c r="O36" s="61">
        <v>155</v>
      </c>
      <c r="P36" s="56" t="s">
        <v>12</v>
      </c>
      <c r="Q36" s="5">
        <f>VLOOKUP(P36,Log!$B$2:$C$8,2,)</f>
        <v>1</v>
      </c>
      <c r="R36" s="4">
        <v>34.200000000000003</v>
      </c>
      <c r="S36" s="34">
        <f>IF(OR(AND(P36="Motorbike",R36-R35&lt;Log!$C$13),AND(P36&lt;&gt;"Motorbike",R36-R35&lt;Log!$C$12)),0,IF(S35&lt;&gt;0,R36-R35,IF(S34=0,R36-R33,R36-R34)))</f>
        <v>2.2800000000000011</v>
      </c>
      <c r="T36" s="34">
        <f t="shared" si="6"/>
        <v>3.1464000000000012</v>
      </c>
      <c r="W36" s="11"/>
    </row>
    <row r="37" spans="1:23" x14ac:dyDescent="0.25">
      <c r="H37" s="55"/>
      <c r="J37" s="15"/>
      <c r="L37" s="54"/>
      <c r="M37" s="54"/>
      <c r="O37" s="58">
        <v>233</v>
      </c>
      <c r="P37" s="4" t="s">
        <v>13</v>
      </c>
      <c r="Q37" s="5">
        <f>VLOOKUP(P37,Log!$B$2:$C$8,2,)</f>
        <v>0.38</v>
      </c>
      <c r="R37" s="4">
        <v>34.72</v>
      </c>
      <c r="S37" s="34">
        <f>IF(OR(AND(P37="Motorbike",R37-R36&lt;Log!$C$13),AND(P37&lt;&gt;"Motorbike",R37-R36&lt;Log!$C$12)),0,IF(S36&lt;&gt;0,R37-R36,IF(S35=0,R37-R34,R37-R35)))</f>
        <v>0</v>
      </c>
      <c r="T37" s="34">
        <f t="shared" si="6"/>
        <v>0</v>
      </c>
      <c r="W37" s="11"/>
    </row>
    <row r="38" spans="1:23" x14ac:dyDescent="0.25">
      <c r="O38" s="4">
        <v>237</v>
      </c>
      <c r="P38" s="4" t="s">
        <v>13</v>
      </c>
      <c r="Q38" s="5">
        <f>VLOOKUP(P38,Log!$B$2:$C$8,2,)</f>
        <v>0.38</v>
      </c>
      <c r="R38" s="4">
        <v>37.119999999999997</v>
      </c>
      <c r="S38" s="34">
        <f>IF(OR(AND(P38="Motorbike",R38-R37&lt;Log!$C$13),AND(P38&lt;&gt;"Motorbike",R38-R37&lt;Log!$C$12)),0,IF(S37&lt;&gt;0,R38-R37,IF(S36=0,R38-R35,R38-R36)))</f>
        <v>2.9199999999999946</v>
      </c>
      <c r="T38" s="34">
        <f t="shared" si="6"/>
        <v>1.1095999999999979</v>
      </c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>
        <f>AVERAGE(S31:S35)</f>
        <v>0.5840000000000003</v>
      </c>
      <c r="T52" s="9">
        <f>AVERAGE(T31:T35)</f>
        <v>0.56984000000000035</v>
      </c>
    </row>
    <row r="53" spans="19:20" x14ac:dyDescent="0.25">
      <c r="S53" s="10">
        <f>3600/S52</f>
        <v>6164.3835616438328</v>
      </c>
      <c r="T53" s="10">
        <f>3600/T52</f>
        <v>6317.5628246525303</v>
      </c>
    </row>
  </sheetData>
  <mergeCells count="4">
    <mergeCell ref="C1:D1"/>
    <mergeCell ref="A11:F11"/>
    <mergeCell ref="H11:M11"/>
    <mergeCell ref="O11:T11"/>
  </mergeCells>
  <conditionalFormatting sqref="E14:E35 S14:S38">
    <cfRule type="cellIs" dxfId="124" priority="20" operator="greaterThanOrEqual">
      <formula>4</formula>
    </cfRule>
  </conditionalFormatting>
  <conditionalFormatting sqref="E13:F13 T14:T38">
    <cfRule type="cellIs" dxfId="123" priority="43" operator="greaterThan">
      <formula>4</formula>
    </cfRule>
  </conditionalFormatting>
  <conditionalFormatting sqref="F14:F35">
    <cfRule type="cellIs" dxfId="122" priority="22" operator="greaterThan">
      <formula>4</formula>
    </cfRule>
  </conditionalFormatting>
  <conditionalFormatting sqref="L15:L30">
    <cfRule type="cellIs" dxfId="121" priority="13" operator="greaterThanOrEqual">
      <formula>4</formula>
    </cfRule>
  </conditionalFormatting>
  <conditionalFormatting sqref="L13:M13">
    <cfRule type="cellIs" dxfId="120" priority="39" operator="greaterThan">
      <formula>4</formula>
    </cfRule>
  </conditionalFormatting>
  <conditionalFormatting sqref="L34:M37">
    <cfRule type="cellIs" dxfId="119" priority="48" operator="greaterThan">
      <formula>4</formula>
    </cfRule>
  </conditionalFormatting>
  <conditionalFormatting sqref="M14:M30">
    <cfRule type="cellIs" dxfId="118" priority="15" operator="greaterThan">
      <formula>4</formula>
    </cfRule>
  </conditionalFormatting>
  <conditionalFormatting sqref="S13:T13">
    <cfRule type="cellIs" dxfId="117" priority="36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" id="{C9E2B8DD-9651-4861-85DC-D93DE75FA395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E14:E15 S14:S38</xm:sqref>
        </x14:conditionalFormatting>
        <x14:conditionalFormatting xmlns:xm="http://schemas.microsoft.com/office/excel/2006/main">
          <x14:cfRule type="expression" priority="21" id="{C3CAC2FC-23AB-45A7-B5D8-99461D826B8F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E14:E35 S14:S38</xm:sqref>
        </x14:conditionalFormatting>
        <x14:conditionalFormatting xmlns:xm="http://schemas.microsoft.com/office/excel/2006/main">
          <x14:cfRule type="expression" priority="19" id="{08B5C288-DED0-447B-B7FD-1ED337CC6C58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E15:E35</xm:sqref>
        </x14:conditionalFormatting>
        <x14:conditionalFormatting xmlns:xm="http://schemas.microsoft.com/office/excel/2006/main">
          <x14:cfRule type="expression" priority="12" id="{A46E34AE-A0E0-41EE-94BE-812F04B8FDCE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14" id="{31A42CEB-0E97-4363-B422-F2EF6DC2693A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550D-9635-4B6F-88E9-D1F6B65E9AEB}">
  <sheetPr codeName="Sheet9"/>
  <dimension ref="A1:W53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56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17.880000000000003</v>
      </c>
      <c r="M2" s="19">
        <f>SUM(M20:M28)</f>
        <v>17.922400000000003</v>
      </c>
      <c r="R2" s="4" t="s">
        <v>20</v>
      </c>
      <c r="S2" s="8">
        <f>SUM(S25:S27)</f>
        <v>6.3999999999999986</v>
      </c>
      <c r="T2" s="8">
        <f>SUM(T25:T27)</f>
        <v>5.3659999999999988</v>
      </c>
    </row>
    <row r="3" spans="1:20" x14ac:dyDescent="0.25">
      <c r="K3" s="4" t="s">
        <v>21</v>
      </c>
      <c r="L3" s="20">
        <f>AVERAGE(L24:L26)</f>
        <v>1.8399999999999999</v>
      </c>
      <c r="M3" s="67">
        <f>AVERAGE(M21:M26)</f>
        <v>1.9937333333333331</v>
      </c>
      <c r="R3" s="4" t="s">
        <v>21</v>
      </c>
      <c r="S3" s="9">
        <f>AVERAGE(S25:S27)</f>
        <v>2.1333333333333329</v>
      </c>
      <c r="T3" s="9">
        <f>AVERAGE(T23:T32)</f>
        <v>2.2208571428571431</v>
      </c>
    </row>
    <row r="4" spans="1:20" x14ac:dyDescent="0.25">
      <c r="A4" s="4" t="s">
        <v>12</v>
      </c>
      <c r="B4" s="144">
        <f>100*COUNTIF($B$13:$B$38,A4)/COUNTA($B$13:$B$38)</f>
        <v>47.368421052631582</v>
      </c>
      <c r="H4" s="4" t="s">
        <v>12</v>
      </c>
      <c r="I4" s="144">
        <f>100*COUNTIF($I$13:$I$33,H4)/COUNTA($I$13:$I$33)</f>
        <v>88.235294117647058</v>
      </c>
      <c r="K4" s="4" t="s">
        <v>7</v>
      </c>
      <c r="L4" s="23">
        <f>3600/L3</f>
        <v>1956.521739130435</v>
      </c>
      <c r="M4" s="68">
        <f>3600/M3</f>
        <v>1805.6577275463119</v>
      </c>
      <c r="O4" s="4" t="s">
        <v>12</v>
      </c>
      <c r="P4" s="144">
        <f>100*COUNTIF($P$13:$P$38,O4)/COUNTA($P$13:$P$38)</f>
        <v>76.470588235294116</v>
      </c>
      <c r="R4" s="4" t="s">
        <v>7</v>
      </c>
      <c r="S4" s="10">
        <f>3600/S3</f>
        <v>1687.5000000000005</v>
      </c>
      <c r="T4" s="10">
        <f>3600/T3</f>
        <v>1620.9957545349284</v>
      </c>
    </row>
    <row r="5" spans="1:20" x14ac:dyDescent="0.25">
      <c r="A5" s="4" t="s">
        <v>14</v>
      </c>
      <c r="B5" s="144">
        <f t="shared" ref="B5:B7" si="0">100*COUNTIF($B$13:$B$38,A5)/COUNTA($B$13:$B$38)</f>
        <v>21.05263157894737</v>
      </c>
      <c r="H5" s="4" t="s">
        <v>14</v>
      </c>
      <c r="I5" s="144">
        <f t="shared" ref="I5:I7" si="1">100*COUNTIF($I$13:$I$33,H5)/COUNTA($I$13:$I$33)</f>
        <v>5.882352941176471</v>
      </c>
      <c r="O5" s="4" t="s">
        <v>14</v>
      </c>
      <c r="P5" s="144">
        <f t="shared" ref="P5:P7" si="2">100*COUNTIF($P$13:$P$38,O5)/COUNTA($P$13:$P$38)</f>
        <v>17.647058823529413</v>
      </c>
    </row>
    <row r="6" spans="1:20" x14ac:dyDescent="0.25">
      <c r="A6" s="4" t="s">
        <v>13</v>
      </c>
      <c r="B6" s="144">
        <f t="shared" si="0"/>
        <v>26.315789473684209</v>
      </c>
      <c r="E6" s="29" t="s">
        <v>32</v>
      </c>
      <c r="F6" s="29" t="s">
        <v>31</v>
      </c>
      <c r="H6" s="4" t="s">
        <v>13</v>
      </c>
      <c r="I6" s="144">
        <f t="shared" si="1"/>
        <v>0</v>
      </c>
      <c r="L6" s="29" t="s">
        <v>32</v>
      </c>
      <c r="M6" s="29" t="s">
        <v>31</v>
      </c>
      <c r="O6" s="4" t="s">
        <v>13</v>
      </c>
      <c r="P6" s="144">
        <f t="shared" si="2"/>
        <v>5.882352941176471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5.2631578947368425</v>
      </c>
      <c r="D7" s="30" t="s">
        <v>30</v>
      </c>
      <c r="E7" s="25">
        <f>SUM(E14:E30)</f>
        <v>30.84</v>
      </c>
      <c r="F7" s="25">
        <f>SUM(F19:F30)</f>
        <v>21.178799999999999</v>
      </c>
      <c r="H7" s="4" t="s">
        <v>28</v>
      </c>
      <c r="I7" s="144">
        <f t="shared" si="1"/>
        <v>5.882352941176471</v>
      </c>
      <c r="K7" s="30" t="s">
        <v>30</v>
      </c>
      <c r="L7" s="25">
        <f>SUM(L14:L37)</f>
        <v>29.28</v>
      </c>
      <c r="M7" s="25">
        <f>SUM(M14:M37)</f>
        <v>28.112400000000001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17.48</v>
      </c>
      <c r="T7" s="25">
        <f>SUM(T13:T23)</f>
        <v>15.8368</v>
      </c>
    </row>
    <row r="8" spans="1:20" ht="15.75" thickBot="1" x14ac:dyDescent="0.3">
      <c r="D8" s="30" t="s">
        <v>21</v>
      </c>
      <c r="E8" s="28">
        <f>AVERAGEIF(E14:E31,"&lt;&gt;0")</f>
        <v>2.1146666666666665</v>
      </c>
      <c r="F8" s="28">
        <f>AVERAGEIF(F14:F31,"&lt;&gt;0")</f>
        <v>1.8344266666666669</v>
      </c>
      <c r="K8" s="30" t="s">
        <v>21</v>
      </c>
      <c r="L8" s="28">
        <f>AVERAGEIF(L14:L29,"&lt;&gt;0")</f>
        <v>1.9520000000000002</v>
      </c>
      <c r="M8" s="28">
        <f>AVERAGEIF(M14:M29,"&lt;&gt;0")</f>
        <v>1.87416</v>
      </c>
      <c r="O8" s="4" t="s">
        <v>15</v>
      </c>
      <c r="P8" s="144">
        <f t="shared" ref="P8:P9" si="3">100*COUNTIF($P$13:$P$39,O8)/COUNTA($P$13:$P$39)</f>
        <v>0</v>
      </c>
      <c r="R8" s="30" t="s">
        <v>21</v>
      </c>
      <c r="S8" s="28">
        <f>AVERAGEIF(S14:S28,"&lt;&gt;0")</f>
        <v>1.7866666666666666</v>
      </c>
      <c r="T8" s="28">
        <f>AVERAGEIF(T14:T25,"&lt;&gt;0")</f>
        <v>1.6464000000000001</v>
      </c>
    </row>
    <row r="9" spans="1:20" ht="15.75" thickBot="1" x14ac:dyDescent="0.3">
      <c r="D9" s="30" t="s">
        <v>7</v>
      </c>
      <c r="E9" s="27">
        <f>3600/E8</f>
        <v>1702.3959646910469</v>
      </c>
      <c r="F9" s="31">
        <f>3600/F8</f>
        <v>1962.4660202642785</v>
      </c>
      <c r="K9" s="30" t="s">
        <v>7</v>
      </c>
      <c r="L9" s="27">
        <f>3600/L8</f>
        <v>1844.2622950819671</v>
      </c>
      <c r="M9" s="31">
        <f>3600/M8</f>
        <v>1920.8605455243949</v>
      </c>
      <c r="O9" s="4" t="s">
        <v>33</v>
      </c>
      <c r="P9" s="144">
        <f t="shared" si="3"/>
        <v>0</v>
      </c>
      <c r="R9" s="30" t="s">
        <v>7</v>
      </c>
      <c r="S9" s="27">
        <f>3600/S8</f>
        <v>2014.9253731343283</v>
      </c>
      <c r="T9" s="31">
        <f>3600/T8</f>
        <v>2186.5889212827988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57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6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59">
        <v>7</v>
      </c>
      <c r="B13" s="56" t="s">
        <v>14</v>
      </c>
      <c r="C13" s="70">
        <f>VLOOKUP(B13,Log!$B$2:$C$8,2,)</f>
        <v>0.45</v>
      </c>
      <c r="D13" s="5">
        <v>0.4</v>
      </c>
      <c r="E13" s="34">
        <v>0</v>
      </c>
      <c r="F13" s="34">
        <v>0</v>
      </c>
      <c r="H13" s="65">
        <v>4</v>
      </c>
      <c r="I13" s="98" t="s">
        <v>12</v>
      </c>
      <c r="J13" s="70">
        <f>VLOOKUP(I13,Log!$B$2:$C$8,2,)</f>
        <v>1</v>
      </c>
      <c r="K13" s="4">
        <v>0.4</v>
      </c>
      <c r="L13" s="34">
        <v>0</v>
      </c>
      <c r="M13" s="34">
        <v>0</v>
      </c>
      <c r="N13" s="15"/>
      <c r="O13" s="65">
        <v>3</v>
      </c>
      <c r="P13" s="56" t="s">
        <v>12</v>
      </c>
      <c r="Q13" s="70">
        <f>VLOOKUP(P13,Log!$B$2:$C$8,2,)</f>
        <v>1</v>
      </c>
      <c r="R13" s="4">
        <v>0.72</v>
      </c>
      <c r="S13" s="34">
        <v>0</v>
      </c>
      <c r="T13" s="34">
        <v>0</v>
      </c>
    </row>
    <row r="14" spans="1:20" ht="15.75" thickBot="1" x14ac:dyDescent="0.3">
      <c r="A14" s="60">
        <v>9</v>
      </c>
      <c r="B14" s="56" t="s">
        <v>13</v>
      </c>
      <c r="C14" s="70">
        <f>VLOOKUP(B14,Log!$B$2:$C$8,2,)</f>
        <v>0.38</v>
      </c>
      <c r="D14" s="5">
        <v>1.72</v>
      </c>
      <c r="E14" s="110">
        <f>IF(OR(AND(B14="Motorbike",D14-D13&lt;Log!$C$13),AND(B14&lt;&gt;"Motorbike",D14-D13&lt;Log!$C$12)),0,D14-D13)</f>
        <v>1.3199999999999998</v>
      </c>
      <c r="F14" s="109">
        <f>IF(E15&lt;&gt;0,C14*E14,IF(E16=0,(C14+C15+C16)*E14,(C14+C15)*E14))</f>
        <v>0.50159999999999993</v>
      </c>
      <c r="H14" s="73">
        <v>3</v>
      </c>
      <c r="I14" s="91" t="s">
        <v>12</v>
      </c>
      <c r="J14" s="70">
        <f>VLOOKUP(I14,Log!$B$2:$C$8,2,)</f>
        <v>1</v>
      </c>
      <c r="K14" s="4">
        <v>0.52</v>
      </c>
      <c r="L14" s="34">
        <f>IF(OR(AND(I14="Motorbike",K14-K13&lt;Log!$C$13),AND(I14&lt;&gt;"Motorbike",K14-K13&lt;Log!$C$12)),0,K14-K13)</f>
        <v>0</v>
      </c>
      <c r="M14" s="109">
        <f>IF(L15&lt;&gt;0,J14*L14,IF(L16=0,(J14+J15+J16)*L14,(J14+J15)*L14))</f>
        <v>0</v>
      </c>
      <c r="N14" s="15"/>
      <c r="O14" s="73">
        <v>5</v>
      </c>
      <c r="P14" s="62" t="s">
        <v>12</v>
      </c>
      <c r="Q14" s="70">
        <f>VLOOKUP(P14,Log!$B$2:$C$8,2,)</f>
        <v>1</v>
      </c>
      <c r="R14" s="4">
        <v>3.04</v>
      </c>
      <c r="S14" s="34">
        <f>IF(OR(AND(P14="Motorbike",R14-R13&lt;Log!$C$13),AND(P14&lt;&gt;"Motorbike",R14-R13&lt;Log!$C$12)),0,R14-R13)</f>
        <v>2.3200000000000003</v>
      </c>
      <c r="T14" s="109">
        <f>IF(S15&lt;&gt;0,Q14*S14,IF(S16=0,(Q14+Q15+Q16)*S14,(Q14+Q15)*S14))</f>
        <v>2.3200000000000003</v>
      </c>
    </row>
    <row r="15" spans="1:20" ht="15.75" thickBot="1" x14ac:dyDescent="0.3">
      <c r="A15" s="60">
        <v>8</v>
      </c>
      <c r="B15" s="56" t="s">
        <v>12</v>
      </c>
      <c r="C15" s="70">
        <f>VLOOKUP(B15,Log!$B$2:$C$8,2,)</f>
        <v>1</v>
      </c>
      <c r="D15" s="42">
        <v>2.6</v>
      </c>
      <c r="E15" s="111">
        <f>D15-D14</f>
        <v>0.88000000000000012</v>
      </c>
      <c r="F15" s="112">
        <f t="shared" ref="F15:F31" si="4">IF(E16&lt;&gt;0,C15*E15,IF(E17=0,(C15+C16+C17)*E15,(C15+C16)*E15))</f>
        <v>1.7600000000000002</v>
      </c>
      <c r="H15" s="73">
        <v>5</v>
      </c>
      <c r="I15" s="77" t="s">
        <v>12</v>
      </c>
      <c r="J15" s="70">
        <f>VLOOKUP(I15,Log!$B$2:$C$8,2,)</f>
        <v>1</v>
      </c>
      <c r="K15" s="4">
        <v>2.84</v>
      </c>
      <c r="L15" s="34">
        <f>IF(OR(AND(I15="Motorbike",K15-K14&lt;Log!$C$13),AND(I15&lt;&gt;"Motorbike",K15-K14&lt;Log!$C$12)),0,K15-K14)</f>
        <v>2.3199999999999998</v>
      </c>
      <c r="M15" s="109">
        <f t="shared" ref="M15:M29" si="5">IF(L16&lt;&gt;0,J15*L15,IF(L17=0,(J15+J16+J17)*L15,(J15+J16)*L15))</f>
        <v>2.3199999999999998</v>
      </c>
      <c r="N15" s="15"/>
      <c r="O15" s="73">
        <v>12</v>
      </c>
      <c r="P15" s="56" t="s">
        <v>13</v>
      </c>
      <c r="Q15" s="70">
        <f>VLOOKUP(P15,Log!$B$2:$C$8,2,)</f>
        <v>0.38</v>
      </c>
      <c r="R15" s="4">
        <v>4.2</v>
      </c>
      <c r="S15" s="34">
        <f>IF(OR(AND(P15="Motorbike",R15-R14&lt;Log!$C$13),AND(P15&lt;&gt;"Motorbike",R15-R14&lt;Log!$C$12)),0,R15-R14)</f>
        <v>1.1600000000000001</v>
      </c>
      <c r="T15" s="109">
        <f t="shared" ref="T15:T29" si="6">IF(S16&lt;&gt;0,Q15*S15,IF(S17=0,(Q15+Q16+Q17)*S15,(Q15+Q16)*S15))</f>
        <v>0.44080000000000008</v>
      </c>
    </row>
    <row r="16" spans="1:20" x14ac:dyDescent="0.25">
      <c r="A16" s="60">
        <v>24</v>
      </c>
      <c r="B16" s="56" t="s">
        <v>12</v>
      </c>
      <c r="C16" s="70">
        <f>VLOOKUP(B16,Log!$B$2:$C$8,2,)</f>
        <v>1</v>
      </c>
      <c r="D16" s="5">
        <v>3.24</v>
      </c>
      <c r="E16" s="108">
        <f>IF(OR(AND(B16="Motorbike",D16-D15&lt;Log!$C$13),AND(B16&lt;&gt;"Motorbike",D16-D15&lt;Log!$C$12)),0,IF(E15&lt;&gt;0,D16-D15,IF(E14=0,D16-D13,D16-D14)))</f>
        <v>0</v>
      </c>
      <c r="F16" s="109">
        <f t="shared" si="4"/>
        <v>0</v>
      </c>
      <c r="H16" s="73">
        <v>11</v>
      </c>
      <c r="I16" s="62" t="s">
        <v>12</v>
      </c>
      <c r="J16" s="70">
        <f>VLOOKUP(I16,Log!$B$2:$C$8,2,)</f>
        <v>1</v>
      </c>
      <c r="K16" s="4">
        <v>4.84</v>
      </c>
      <c r="L16" s="34">
        <f>IF(OR(AND(I16="Motorbike",K16-K15&lt;Log!$C$13),AND(I16&lt;&gt;"Motorbike",K16-K15&lt;Log!$C$12)),0,IF(L15&lt;&gt;0,K16-K15,IF(L14=0,K16-K13,K16-K14)))</f>
        <v>2</v>
      </c>
      <c r="M16" s="109">
        <f t="shared" si="5"/>
        <v>2</v>
      </c>
      <c r="N16" s="15"/>
      <c r="O16" s="60">
        <v>11</v>
      </c>
      <c r="P16" s="56" t="s">
        <v>12</v>
      </c>
      <c r="Q16" s="70">
        <f>VLOOKUP(P16,Log!$B$2:$C$8,2,)</f>
        <v>1</v>
      </c>
      <c r="R16" s="4">
        <v>5.2</v>
      </c>
      <c r="S16" s="34">
        <f>IF(OR(AND(P16="Motorbike",R16-R15&lt;Log!$C$13),AND(P16&lt;&gt;"Motorbike",R16-R15&lt;Log!$C$12)),0,IF(S15&lt;&gt;0,R16-R15,IF(S14=0,R16-R13,R16-R14)))</f>
        <v>1</v>
      </c>
      <c r="T16" s="109">
        <f t="shared" si="6"/>
        <v>1</v>
      </c>
    </row>
    <row r="17" spans="1:23" x14ac:dyDescent="0.25">
      <c r="A17" s="60">
        <v>17</v>
      </c>
      <c r="B17" s="56" t="s">
        <v>12</v>
      </c>
      <c r="C17" s="70">
        <f>VLOOKUP(B17,Log!$B$2:$C$8,2,)</f>
        <v>1</v>
      </c>
      <c r="D17" s="5">
        <v>4.4400000000000004</v>
      </c>
      <c r="E17" s="34">
        <f>IF(OR(AND(B17="Motorbike",D17-D16&lt;Log!$C$13),AND(B17&lt;&gt;"Motorbike",D17-D16&lt;Log!$C$12)),0,IF(E16&lt;&gt;0,D17-D16,IF(E15=0,D17-D14,D17-D15)))</f>
        <v>1.8400000000000003</v>
      </c>
      <c r="F17" s="109">
        <f t="shared" si="4"/>
        <v>3.6800000000000006</v>
      </c>
      <c r="H17" s="73">
        <v>31</v>
      </c>
      <c r="I17" s="56" t="s">
        <v>12</v>
      </c>
      <c r="J17" s="70">
        <f>VLOOKUP(I17,Log!$B$2:$C$8,2,)</f>
        <v>1</v>
      </c>
      <c r="K17" s="4">
        <v>6.12</v>
      </c>
      <c r="L17" s="34">
        <f>IF(OR(AND(I17="Motorbike",K17-K16&lt;Log!$C$13),AND(I17&lt;&gt;"Motorbike",K17-K16&lt;Log!$C$12)),0,IF(L16&lt;&gt;0,K17-K16,IF(L15=0,K17-K14,K17-K15)))</f>
        <v>1.2800000000000002</v>
      </c>
      <c r="M17" s="109">
        <f t="shared" si="5"/>
        <v>1.2800000000000002</v>
      </c>
      <c r="N17" s="15"/>
      <c r="O17" s="60">
        <v>38</v>
      </c>
      <c r="P17" s="56" t="s">
        <v>12</v>
      </c>
      <c r="Q17" s="70">
        <f>VLOOKUP(P17,Log!$B$2:$C$8,2,)</f>
        <v>1</v>
      </c>
      <c r="R17" s="4">
        <v>7.2</v>
      </c>
      <c r="S17" s="34">
        <f>IF(OR(AND(P17="Motorbike",R17-R16&lt;Log!$C$13),AND(P17&lt;&gt;"Motorbike",R17-R16&lt;Log!$C$12)),0,IF(S16&lt;&gt;0,R17-R16,IF(S15=0,R17-R14,R17-R15)))</f>
        <v>2</v>
      </c>
      <c r="T17" s="109">
        <f t="shared" si="6"/>
        <v>2</v>
      </c>
    </row>
    <row r="18" spans="1:23" x14ac:dyDescent="0.25">
      <c r="A18" s="60">
        <v>13</v>
      </c>
      <c r="B18" s="56" t="s">
        <v>12</v>
      </c>
      <c r="C18" s="70">
        <f>VLOOKUP(B18,Log!$B$2:$C$8,2,)</f>
        <v>1</v>
      </c>
      <c r="D18" s="5">
        <v>5.12</v>
      </c>
      <c r="E18" s="34">
        <f>IF(OR(AND(B18="Motorbike",D18-D17&lt;Log!$C$13),AND(B18&lt;&gt;"Motorbike",D18-D17&lt;Log!$C$12)),0,IF(E17&lt;&gt;0,D18-D17,IF(E16=0,D18-D15,D18-D16)))</f>
        <v>0</v>
      </c>
      <c r="F18" s="109">
        <f t="shared" si="4"/>
        <v>0</v>
      </c>
      <c r="H18" s="73">
        <v>38</v>
      </c>
      <c r="I18" s="56" t="s">
        <v>12</v>
      </c>
      <c r="J18" s="70">
        <f>VLOOKUP(I18,Log!$B$2:$C$8,2,)</f>
        <v>1</v>
      </c>
      <c r="K18" s="4">
        <v>7.2</v>
      </c>
      <c r="L18" s="34">
        <f>IF(OR(AND(I18="Motorbike",K18-K17&lt;Log!$C$13),AND(I18&lt;&gt;"Motorbike",K18-K17&lt;Log!$C$12)),0,IF(L17&lt;&gt;0,K18-K17,IF(L16=0,K18-K15,K18-K16)))</f>
        <v>1.08</v>
      </c>
      <c r="M18" s="109">
        <f t="shared" si="5"/>
        <v>1.08</v>
      </c>
      <c r="N18" s="15"/>
      <c r="O18" s="60">
        <v>43</v>
      </c>
      <c r="P18" s="56" t="s">
        <v>12</v>
      </c>
      <c r="Q18" s="70">
        <f>VLOOKUP(P18,Log!$B$2:$C$8,2,)</f>
        <v>1</v>
      </c>
      <c r="R18" s="4">
        <v>9</v>
      </c>
      <c r="S18" s="34">
        <f>IF(OR(AND(P18="Motorbike",R18-R17&lt;Log!$C$13),AND(P18&lt;&gt;"Motorbike",R18-R17&lt;Log!$C$12)),0,IF(S17&lt;&gt;0,R18-R17,IF(S16=0,R18-R15,R18-R16)))</f>
        <v>1.7999999999999998</v>
      </c>
      <c r="T18" s="109">
        <f t="shared" si="6"/>
        <v>1.7999999999999998</v>
      </c>
    </row>
    <row r="19" spans="1:23" x14ac:dyDescent="0.25">
      <c r="A19" s="60">
        <v>16</v>
      </c>
      <c r="B19" s="56" t="s">
        <v>12</v>
      </c>
      <c r="C19" s="70">
        <f>VLOOKUP(B19,Log!$B$2:$C$8,2,)</f>
        <v>1</v>
      </c>
      <c r="D19" s="5">
        <v>8</v>
      </c>
      <c r="E19" s="34">
        <f>IF(OR(AND(B19="Motorbike",D19-D18&lt;Log!$C$13),AND(B19&lt;&gt;"Motorbike",D19-D18&lt;Log!$C$12)),0,IF(E18&lt;&gt;0,D19-D18,IF(E17=0,D19-D16,D19-D17)))</f>
        <v>3.5599999999999996</v>
      </c>
      <c r="F19" s="109">
        <f t="shared" si="4"/>
        <v>3.5599999999999996</v>
      </c>
      <c r="H19" s="73">
        <v>32</v>
      </c>
      <c r="I19" s="56" t="s">
        <v>12</v>
      </c>
      <c r="J19" s="70">
        <f>VLOOKUP(I19,Log!$B$2:$C$8,2,)</f>
        <v>1</v>
      </c>
      <c r="K19" s="4">
        <v>9.7200000000000006</v>
      </c>
      <c r="L19" s="34">
        <f>IF(OR(AND(I19="Motorbike",K19-K18&lt;Log!$C$13),AND(I19&lt;&gt;"Motorbike",K19-K18&lt;Log!$C$12)),0,IF(L18&lt;&gt;0,K19-K18,IF(L17=0,K19-K16,K19-K17)))</f>
        <v>2.5200000000000005</v>
      </c>
      <c r="M19" s="109">
        <f t="shared" si="5"/>
        <v>2.5200000000000005</v>
      </c>
      <c r="N19" s="15"/>
      <c r="O19" s="60">
        <v>60</v>
      </c>
      <c r="P19" s="56" t="s">
        <v>12</v>
      </c>
      <c r="Q19" s="70">
        <f>VLOOKUP(P19,Log!$B$2:$C$8,2,)</f>
        <v>1</v>
      </c>
      <c r="R19" s="4">
        <v>10.8</v>
      </c>
      <c r="S19" s="34">
        <f>IF(OR(AND(P19="Motorbike",R19-R18&lt;Log!$C$13),AND(P19&lt;&gt;"Motorbike",R19-R18&lt;Log!$C$12)),0,IF(S18&lt;&gt;0,R19-R18,IF(S17=0,R19-R16,R19-R17)))</f>
        <v>1.8000000000000007</v>
      </c>
      <c r="T19" s="109">
        <f t="shared" si="6"/>
        <v>1.8000000000000007</v>
      </c>
    </row>
    <row r="20" spans="1:23" x14ac:dyDescent="0.25">
      <c r="A20" s="60">
        <v>34</v>
      </c>
      <c r="B20" s="56" t="s">
        <v>12</v>
      </c>
      <c r="C20" s="70">
        <f>VLOOKUP(B20,Log!$B$2:$C$8,2,)</f>
        <v>1</v>
      </c>
      <c r="D20" s="5">
        <v>10.039999999999999</v>
      </c>
      <c r="E20" s="34">
        <f>IF(OR(AND(B20="Motorbike",D20-D19&lt;Log!$C$13),AND(B20&lt;&gt;"Motorbike",D20-D19&lt;Log!$C$12)),0,IF(E19&lt;&gt;0,D20-D19,IF(E18=0,D20-D17,D20-D18)))</f>
        <v>2.0399999999999991</v>
      </c>
      <c r="F20" s="109">
        <f t="shared" si="4"/>
        <v>2.0399999999999991</v>
      </c>
      <c r="H20" s="73">
        <v>48</v>
      </c>
      <c r="I20" s="56" t="s">
        <v>12</v>
      </c>
      <c r="J20" s="70">
        <f>VLOOKUP(I20,Log!$B$2:$C$8,2,)</f>
        <v>1</v>
      </c>
      <c r="K20" s="4">
        <v>11.8</v>
      </c>
      <c r="L20" s="34">
        <f>IF(OR(AND(I20="Motorbike",K20-K19&lt;Log!$C$13),AND(I20&lt;&gt;"Motorbike",K20-K19&lt;Log!$C$12)),0,IF(L19&lt;&gt;0,K20-K19,IF(L18=0,K20-K17,K20-K18)))</f>
        <v>2.08</v>
      </c>
      <c r="M20" s="109">
        <f t="shared" si="5"/>
        <v>2.08</v>
      </c>
      <c r="N20" s="15"/>
      <c r="O20" s="60">
        <v>61</v>
      </c>
      <c r="P20" s="56" t="s">
        <v>12</v>
      </c>
      <c r="Q20" s="70">
        <f>VLOOKUP(P20,Log!$B$2:$C$8,2,)</f>
        <v>1</v>
      </c>
      <c r="R20" s="4">
        <v>12.84</v>
      </c>
      <c r="S20" s="34">
        <f>IF(OR(AND(P20="Motorbike",R20-R19&lt;Log!$C$13),AND(P20&lt;&gt;"Motorbike",R20-R19&lt;Log!$C$12)),0,IF(S19&lt;&gt;0,R20-R19,IF(S18=0,R20-R17,R20-R18)))</f>
        <v>2.0399999999999991</v>
      </c>
      <c r="T20" s="109">
        <f t="shared" si="6"/>
        <v>2.0399999999999991</v>
      </c>
    </row>
    <row r="21" spans="1:23" x14ac:dyDescent="0.25">
      <c r="A21" s="60">
        <v>56</v>
      </c>
      <c r="B21" s="56" t="s">
        <v>12</v>
      </c>
      <c r="C21" s="70">
        <f>VLOOKUP(B21,Log!$B$2:$C$8,2,)</f>
        <v>1</v>
      </c>
      <c r="D21" s="5">
        <v>11.92</v>
      </c>
      <c r="E21" s="34">
        <f>IF(OR(AND(B21="Motorbike",D21-D20&lt;Log!$C$13),AND(B21&lt;&gt;"Motorbike",D21-D20&lt;Log!$C$12)),0,IF(E20&lt;&gt;0,D21-D20,IF(E19=0,D21-D18,D21-D19)))</f>
        <v>1.8800000000000008</v>
      </c>
      <c r="F21" s="109">
        <f t="shared" si="4"/>
        <v>1.8800000000000008</v>
      </c>
      <c r="H21" s="73">
        <v>52</v>
      </c>
      <c r="I21" s="56" t="s">
        <v>28</v>
      </c>
      <c r="J21" s="70">
        <f>VLOOKUP(I21,Log!$B$2:$C$8,2,)</f>
        <v>1.02</v>
      </c>
      <c r="K21" s="4">
        <v>13.92</v>
      </c>
      <c r="L21" s="34">
        <f>IF(OR(AND(I21="Motorbike",K21-K20&lt;Log!$C$13),AND(I21&lt;&gt;"Motorbike",K21-K20&lt;Log!$C$12)),0,IF(L20&lt;&gt;0,K21-K20,IF(L19=0,K21-K18,K21-K19)))</f>
        <v>2.1199999999999992</v>
      </c>
      <c r="M21" s="109">
        <f t="shared" si="5"/>
        <v>2.1623999999999994</v>
      </c>
      <c r="N21" s="15"/>
      <c r="O21" s="60">
        <v>62</v>
      </c>
      <c r="P21" s="56" t="s">
        <v>12</v>
      </c>
      <c r="Q21" s="70">
        <f>VLOOKUP(P21,Log!$B$2:$C$8,2,)</f>
        <v>1</v>
      </c>
      <c r="R21" s="4">
        <v>15</v>
      </c>
      <c r="S21" s="34">
        <f>IF(OR(AND(P21="Motorbike",R21-R20&lt;Log!$C$13),AND(P21&lt;&gt;"Motorbike",R21-R20&lt;Log!$C$12)),0,IF(S20&lt;&gt;0,R21-R20,IF(S19=0,R21-R18,R21-R19)))</f>
        <v>2.16</v>
      </c>
      <c r="T21" s="109">
        <f t="shared" si="6"/>
        <v>2.16</v>
      </c>
    </row>
    <row r="22" spans="1:23" x14ac:dyDescent="0.25">
      <c r="A22" s="60">
        <v>70</v>
      </c>
      <c r="B22" s="56" t="s">
        <v>12</v>
      </c>
      <c r="C22" s="70">
        <f>VLOOKUP(B22,Log!$B$2:$C$8,2,)</f>
        <v>1</v>
      </c>
      <c r="D22" s="5">
        <v>15.4</v>
      </c>
      <c r="E22" s="34">
        <f>IF(OR(AND(B22="Motorbike",D22-D21&lt;Log!$C$13),AND(B22&lt;&gt;"Motorbike",D22-D21&lt;Log!$C$12)),0,IF(E21&lt;&gt;0,D22-D21,IF(E20=0,D22-D19,D22-D20)))</f>
        <v>3.4800000000000004</v>
      </c>
      <c r="F22" s="109">
        <f t="shared" si="4"/>
        <v>3.4800000000000004</v>
      </c>
      <c r="H22" s="73">
        <v>62</v>
      </c>
      <c r="I22" s="56" t="s">
        <v>12</v>
      </c>
      <c r="J22" s="70">
        <f>VLOOKUP(I22,Log!$B$2:$C$8,2,)</f>
        <v>1</v>
      </c>
      <c r="K22" s="4">
        <v>15</v>
      </c>
      <c r="L22" s="34">
        <f>IF(OR(AND(I22="Motorbike",K22-K21&lt;Log!$C$13),AND(I22&lt;&gt;"Motorbike",K22-K21&lt;Log!$C$12)),0,IF(L21&lt;&gt;0,K22-K21,IF(L20=0,K22-K19,K22-K20)))</f>
        <v>1.08</v>
      </c>
      <c r="M22" s="109">
        <f t="shared" si="5"/>
        <v>1.08</v>
      </c>
      <c r="N22" s="15"/>
      <c r="O22" s="60">
        <v>71</v>
      </c>
      <c r="P22" s="56" t="s">
        <v>12</v>
      </c>
      <c r="Q22" s="70">
        <f>VLOOKUP(P22,Log!$B$2:$C$8,2,)</f>
        <v>1</v>
      </c>
      <c r="R22" s="4">
        <v>16.52</v>
      </c>
      <c r="S22" s="34">
        <f>IF(OR(AND(P22="Motorbike",R22-R21&lt;Log!$C$13),AND(P22&lt;&gt;"Motorbike",R22-R21&lt;Log!$C$12)),0,IF(S21&lt;&gt;0,R22-R21,IF(S20=0,R22-R19,R22-R20)))</f>
        <v>1.5199999999999996</v>
      </c>
      <c r="T22" s="109">
        <f t="shared" si="6"/>
        <v>1.5199999999999996</v>
      </c>
    </row>
    <row r="23" spans="1:23" x14ac:dyDescent="0.25">
      <c r="A23" s="60">
        <v>93</v>
      </c>
      <c r="B23" s="56" t="s">
        <v>14</v>
      </c>
      <c r="C23" s="70">
        <f>VLOOKUP(B23,Log!$B$2:$C$8,2,)</f>
        <v>0.45</v>
      </c>
      <c r="D23" s="5">
        <v>16.32</v>
      </c>
      <c r="E23" s="34">
        <f>IF(OR(AND(OR(B23="Motorbike",B23="CNG",B23="Bicycle",B23="NMV"),D23-D22&lt;Log!$C$13),AND(NOT(OR(B23="Motorbike",B23="CNG",B23="Bicycle",B23="NMV")),D23-D22&lt;Log!$C$12)),0,IF(E22&lt;&gt;0,D23-D22,IF(E21=0,D23-D20,D23-D21)))</f>
        <v>0.91999999999999993</v>
      </c>
      <c r="F23" s="109">
        <f t="shared" si="4"/>
        <v>0.41399999999999998</v>
      </c>
      <c r="H23" s="73">
        <v>76</v>
      </c>
      <c r="I23" s="56" t="s">
        <v>12</v>
      </c>
      <c r="J23" s="70">
        <f>VLOOKUP(I23,Log!$B$2:$C$8,2,)</f>
        <v>1</v>
      </c>
      <c r="K23" s="4">
        <v>18.2</v>
      </c>
      <c r="L23" s="34">
        <f>IF(OR(AND(I23="Motorbike",K23-K22&lt;Log!$C$13),AND(I23&lt;&gt;"Motorbike",K23-K22&lt;Log!$C$12)),0,IF(L22&lt;&gt;0,K23-K22,IF(L21=0,K23-K20,K23-K21)))</f>
        <v>3.1999999999999993</v>
      </c>
      <c r="M23" s="109">
        <f t="shared" si="5"/>
        <v>3.1999999999999993</v>
      </c>
      <c r="N23" s="15"/>
      <c r="O23" s="60">
        <v>89</v>
      </c>
      <c r="P23" s="62" t="s">
        <v>14</v>
      </c>
      <c r="Q23" s="70">
        <f>VLOOKUP(P23,Log!$B$2:$C$8,2,)</f>
        <v>0.45</v>
      </c>
      <c r="R23" s="4">
        <v>18.2</v>
      </c>
      <c r="S23" s="34">
        <f>IF(OR(AND(P23="Motorbike",R23-R22&lt;Log!$C$13),AND(P23&lt;&gt;"Motorbike",R23-R22&lt;Log!$C$12)),0,IF(S22&lt;&gt;0,R23-R22,IF(S21=0,R23-R20,R23-R21)))</f>
        <v>1.6799999999999997</v>
      </c>
      <c r="T23" s="109">
        <f t="shared" si="6"/>
        <v>0.75599999999999989</v>
      </c>
    </row>
    <row r="24" spans="1:23" x14ac:dyDescent="0.25">
      <c r="A24" s="60">
        <v>111</v>
      </c>
      <c r="B24" s="56" t="s">
        <v>14</v>
      </c>
      <c r="C24" s="70">
        <f>VLOOKUP(B24,Log!$B$2:$C$8,2,)</f>
        <v>0.45</v>
      </c>
      <c r="D24" s="5">
        <v>17.2</v>
      </c>
      <c r="E24" s="34">
        <f>IF(OR(AND(OR(B24="Motorbike",B24="CNG",B24="Bicycle",B24="NMV"),D24-D23&lt;Log!$C$13),AND(NOT(OR(B24="Motorbike",B24="CNG",B24="Bicycle",B24="NMV")),D24-D23&lt;Log!$C$12)),0,IF(E23&lt;&gt;0,D24-D23,IF(E22=0,D24-D21,D24-D22)))</f>
        <v>0.87999999999999901</v>
      </c>
      <c r="F24" s="109">
        <f t="shared" si="4"/>
        <v>0.39599999999999957</v>
      </c>
      <c r="H24" s="73">
        <v>107</v>
      </c>
      <c r="I24" s="56" t="s">
        <v>12</v>
      </c>
      <c r="J24" s="70">
        <f>VLOOKUP(I24,Log!$B$2:$C$8,2,)</f>
        <v>1</v>
      </c>
      <c r="K24" s="4">
        <v>20.440000000000001</v>
      </c>
      <c r="L24" s="34">
        <f>IF(OR(AND(I24="Motorbike",K24-K23&lt;Log!$C$13),AND(I24&lt;&gt;"Motorbike",K24-K23&lt;Log!$C$12)),0,IF(L23&lt;&gt;0,K24-K23,IF(L22=0,K24-K21,K24-K22)))</f>
        <v>2.240000000000002</v>
      </c>
      <c r="M24" s="109">
        <f t="shared" si="5"/>
        <v>2.240000000000002</v>
      </c>
      <c r="N24" s="15"/>
      <c r="O24" s="60">
        <v>99</v>
      </c>
      <c r="P24" s="56" t="s">
        <v>12</v>
      </c>
      <c r="Q24" s="70">
        <f>VLOOKUP(P24,Log!$B$2:$C$8,2,)</f>
        <v>1</v>
      </c>
      <c r="R24" s="4">
        <v>20</v>
      </c>
      <c r="S24" s="34">
        <f>IF(OR(AND(P24="Motorbike",R24-R23&lt;Log!$C$13),AND(P24&lt;&gt;"Motorbike",R24-R23&lt;Log!$C$12)),0,IF(S23&lt;&gt;0,R24-R23,IF(S22=0,R24-R21,R24-R22)))</f>
        <v>1.8000000000000007</v>
      </c>
      <c r="T24" s="109">
        <f t="shared" si="6"/>
        <v>1.8000000000000007</v>
      </c>
    </row>
    <row r="25" spans="1:23" ht="15.75" thickBot="1" x14ac:dyDescent="0.3">
      <c r="A25" s="60">
        <v>82</v>
      </c>
      <c r="B25" s="56" t="s">
        <v>12</v>
      </c>
      <c r="C25" s="70">
        <f>VLOOKUP(B25,Log!$B$2:$C$8,2,)</f>
        <v>1</v>
      </c>
      <c r="D25" s="5">
        <v>19.84</v>
      </c>
      <c r="E25" s="34">
        <f>IF(OR(AND(OR(B25="Motorbike",B25="CNG",B25="Bicycle",B25="NMV"),D25-D24&lt;Log!$C$13),AND(NOT(OR(B25="Motorbike",B25="CNG",B25="Bicycle",B25="NMV")),D25-D24&lt;Log!$C$12)),0,IF(E24&lt;&gt;0,D25-D24,IF(E23=0,D25-D22,D25-D23)))</f>
        <v>2.6400000000000006</v>
      </c>
      <c r="F25" s="109">
        <f t="shared" si="4"/>
        <v>2.6400000000000006</v>
      </c>
      <c r="H25" s="73">
        <v>105</v>
      </c>
      <c r="I25" s="56" t="s">
        <v>12</v>
      </c>
      <c r="J25" s="70">
        <f>VLOOKUP(I25,Log!$B$2:$C$8,2,)</f>
        <v>1</v>
      </c>
      <c r="K25" s="4">
        <v>22.04</v>
      </c>
      <c r="L25" s="34">
        <f>IF(OR(AND(I25="Motorbike",K25-K24&lt;Log!$C$13),AND(I25&lt;&gt;"Motorbike",K25-K24&lt;Log!$C$12)),0,IF(L24&lt;&gt;0,K25-K24,IF(L23=0,K25-K22,K25-K23)))</f>
        <v>1.5999999999999979</v>
      </c>
      <c r="M25" s="109">
        <f t="shared" si="5"/>
        <v>1.5999999999999979</v>
      </c>
      <c r="N25" s="15"/>
      <c r="O25" s="61">
        <v>113</v>
      </c>
      <c r="P25" s="56" t="s">
        <v>12</v>
      </c>
      <c r="Q25" s="70">
        <f>VLOOKUP(P25,Log!$B$2:$C$8,2,)</f>
        <v>1</v>
      </c>
      <c r="R25" s="4">
        <v>22.12</v>
      </c>
      <c r="S25" s="34">
        <f>IF(OR(AND(P25="Motorbike",R25-R24&lt;Log!$C$13),AND(P25&lt;&gt;"Motorbike",R25-R24&lt;Log!$C$12)),0,IF(S24&lt;&gt;0,R25-R24,IF(S23=0,R25-R22,R25-R23)))</f>
        <v>2.120000000000001</v>
      </c>
      <c r="T25" s="109">
        <f t="shared" si="6"/>
        <v>2.120000000000001</v>
      </c>
    </row>
    <row r="26" spans="1:23" x14ac:dyDescent="0.25">
      <c r="A26" s="60">
        <v>114</v>
      </c>
      <c r="B26" s="56" t="s">
        <v>13</v>
      </c>
      <c r="C26" s="70">
        <f>VLOOKUP(B26,Log!$B$2:$C$8,2,)</f>
        <v>0.38</v>
      </c>
      <c r="D26" s="5">
        <v>21.2</v>
      </c>
      <c r="E26" s="34">
        <f>IF(OR(AND(OR(B26="Motorbike",B26="CNG",B26="Bicycle",B26="NMV"),D26-D25&lt;Log!$C$13),AND(NOT(OR(B26="Motorbike",B26="CNG",B26="Bicycle",B26="NMV")),D26-D25&lt;Log!$C$12)),0,IF(E25&lt;&gt;0,D26-D25,IF(E24=0,D26-D23,D26-D24)))</f>
        <v>1.3599999999999994</v>
      </c>
      <c r="F26" s="109">
        <f t="shared" si="4"/>
        <v>1.0335999999999996</v>
      </c>
      <c r="H26" s="73">
        <v>116</v>
      </c>
      <c r="I26" s="56" t="s">
        <v>12</v>
      </c>
      <c r="J26" s="70">
        <f>VLOOKUP(I26,Log!$B$2:$C$8,2,)</f>
        <v>1</v>
      </c>
      <c r="K26" s="4">
        <v>23.72</v>
      </c>
      <c r="L26" s="34">
        <f>IF(OR(AND(I26="Motorbike",K26-K25&lt;Log!$C$13),AND(I26&lt;&gt;"Motorbike",K26-K25&lt;Log!$C$12)),0,IF(L25&lt;&gt;0,K26-K25,IF(L24=0,K26-K23,K26-K24)))</f>
        <v>1.6799999999999997</v>
      </c>
      <c r="M26" s="109">
        <f t="shared" si="5"/>
        <v>1.6799999999999997</v>
      </c>
      <c r="N26" s="15"/>
      <c r="O26" s="97">
        <v>130</v>
      </c>
      <c r="P26" s="56" t="s">
        <v>12</v>
      </c>
      <c r="Q26" s="70">
        <f>VLOOKUP(P26,Log!$B$2:$C$8,2,)</f>
        <v>1</v>
      </c>
      <c r="R26" s="4">
        <v>24.52</v>
      </c>
      <c r="S26" s="34">
        <f>IF(OR(AND(P26="Motorbike",R26-R25&lt;Log!$C$13),AND(P26&lt;&gt;"Motorbike",R26-R25&lt;Log!$C$12)),0,IF(S25&lt;&gt;0,R26-R25,IF(S24=0,R26-R23,R26-R24)))</f>
        <v>2.3999999999999986</v>
      </c>
      <c r="T26" s="34">
        <f t="shared" si="6"/>
        <v>2.3999999999999986</v>
      </c>
    </row>
    <row r="27" spans="1:23" x14ac:dyDescent="0.25">
      <c r="A27" s="60">
        <v>127</v>
      </c>
      <c r="B27" s="56" t="s">
        <v>13</v>
      </c>
      <c r="C27" s="70">
        <f>VLOOKUP(B27,Log!$B$2:$C$8,2,)</f>
        <v>0.38</v>
      </c>
      <c r="D27" s="5">
        <v>21.6</v>
      </c>
      <c r="E27" s="34">
        <f>IF(OR(AND(OR(B27="Motorbike",B27="CNG",B27="Bicycle",B27="NMV"),D27-D26&lt;Log!$C$13),AND(NOT(OR(B27="Motorbike",B27="CNG",B27="Bicycle",B27="NMV")),D27-D26&lt;Log!$C$12)),0,IF(E26&lt;&gt;0,D27-D26,IF(E25=0,D27-D24,D27-D25)))</f>
        <v>0</v>
      </c>
      <c r="F27" s="109">
        <f t="shared" si="4"/>
        <v>0</v>
      </c>
      <c r="H27" s="73">
        <v>123</v>
      </c>
      <c r="I27" s="56" t="s">
        <v>12</v>
      </c>
      <c r="J27" s="70">
        <f>VLOOKUP(I27,Log!$B$2:$C$8,2,)</f>
        <v>1</v>
      </c>
      <c r="K27" s="4">
        <v>25.72</v>
      </c>
      <c r="L27" s="34">
        <f>IF(OR(AND(I27="Motorbike",K27-K26&lt;Log!$C$13),AND(I27&lt;&gt;"Motorbike",K27-K26&lt;Log!$C$12)),0,IF(L26&lt;&gt;0,K27-K26,IF(L25=0,K27-K24,K27-K25)))</f>
        <v>2</v>
      </c>
      <c r="M27" s="109">
        <f t="shared" si="5"/>
        <v>2</v>
      </c>
      <c r="N27" s="15"/>
      <c r="O27" s="60">
        <v>145</v>
      </c>
      <c r="P27" s="56" t="s">
        <v>14</v>
      </c>
      <c r="Q27" s="70">
        <f>VLOOKUP(P27,Log!$B$2:$C$8,2,)</f>
        <v>0.45</v>
      </c>
      <c r="R27" s="4">
        <v>26.4</v>
      </c>
      <c r="S27" s="34">
        <f>IF(OR(AND(P27="Motorbike",R27-R26&lt;Log!$C$13),AND(P27&lt;&gt;"Motorbike",R27-R26&lt;Log!$C$12)),0,IF(S26&lt;&gt;0,R27-R26,IF(S25=0,R27-R24,R27-R25)))</f>
        <v>1.879999999999999</v>
      </c>
      <c r="T27" s="34">
        <f t="shared" si="6"/>
        <v>0.84599999999999953</v>
      </c>
    </row>
    <row r="28" spans="1:23" x14ac:dyDescent="0.25">
      <c r="A28" s="60">
        <v>154</v>
      </c>
      <c r="B28" s="56" t="s">
        <v>13</v>
      </c>
      <c r="C28" s="70">
        <f>VLOOKUP(B28,Log!$B$2:$C$8,2,)</f>
        <v>0.38</v>
      </c>
      <c r="D28" s="5">
        <v>24.4</v>
      </c>
      <c r="E28" s="34">
        <f>IF(OR(AND(OR(B28="Motorbike",B28="CNG",B28="Bicycle",B28="NMV"),D28-D27&lt;Log!$C$13),AND(NOT(OR(B28="Motorbike",B28="CNG",B28="Bicycle",B28="NMV")),D28-D27&lt;Log!$C$12)),0,IF(E27&lt;&gt;0,D28-D27,IF(E26=0,D28-D25,D28-D26)))</f>
        <v>3.1999999999999993</v>
      </c>
      <c r="F28" s="109">
        <f t="shared" si="4"/>
        <v>1.2159999999999997</v>
      </c>
      <c r="H28" s="73">
        <v>152</v>
      </c>
      <c r="I28" s="56" t="s">
        <v>12</v>
      </c>
      <c r="J28" s="70">
        <f>VLOOKUP(I28,Log!$B$2:$C$8,2,)</f>
        <v>1</v>
      </c>
      <c r="K28" s="4">
        <v>27.6</v>
      </c>
      <c r="L28" s="34">
        <f>IF(OR(AND(I28="Motorbike",K28-K27&lt;Log!$C$13),AND(I28&lt;&gt;"Motorbike",K28-K27&lt;Log!$C$12)),0,IF(L27&lt;&gt;0,K28-K27,IF(L26=0,K28-K25,K28-K26)))</f>
        <v>1.8800000000000026</v>
      </c>
      <c r="M28" s="109">
        <f t="shared" si="5"/>
        <v>1.8800000000000026</v>
      </c>
      <c r="N28" s="15"/>
      <c r="O28" s="97">
        <v>156</v>
      </c>
      <c r="P28" s="56" t="s">
        <v>14</v>
      </c>
      <c r="Q28" s="70">
        <f>VLOOKUP(P28,Log!$B$2:$C$8,2,)</f>
        <v>0.45</v>
      </c>
      <c r="R28" s="4">
        <v>27.52</v>
      </c>
      <c r="S28" s="34">
        <f>IF(OR(AND(P28="Motorbike",R28-R27&lt;Log!$C$13),AND(P28&lt;&gt;"Motorbike",R28-R27&lt;Log!$C$12)),0,IF(S27&lt;&gt;0,R28-R27,IF(S26=0,R28-R25,R28-R26)))</f>
        <v>1.120000000000001</v>
      </c>
      <c r="T28" s="34">
        <f t="shared" si="6"/>
        <v>0.50400000000000045</v>
      </c>
    </row>
    <row r="29" spans="1:23" ht="15.75" thickBot="1" x14ac:dyDescent="0.3">
      <c r="A29" s="60">
        <v>151</v>
      </c>
      <c r="B29" s="56" t="s">
        <v>28</v>
      </c>
      <c r="C29" s="70">
        <f>VLOOKUP(B29,Log!$B$2:$C$8,2,)</f>
        <v>1.02</v>
      </c>
      <c r="D29" s="5">
        <v>27.4</v>
      </c>
      <c r="E29" s="34">
        <f>IF(OR(AND(OR(B29="Motorbike",B29="CNG",B29="Bicycle",B29="NMV"),D29-D28&lt;Log!$C$13),AND(NOT(OR(B29="Motorbike",B29="CNG",B29="Bicycle",B29="NMV")),D29-D28&lt;Log!$C$12)),0,IF(E28&lt;&gt;0,D29-D28,IF(E27=0,D29-D26,D29-D27)))</f>
        <v>3</v>
      </c>
      <c r="F29" s="109">
        <f t="shared" si="4"/>
        <v>3.06</v>
      </c>
      <c r="H29" s="66">
        <v>170</v>
      </c>
      <c r="I29" s="56" t="s">
        <v>14</v>
      </c>
      <c r="J29" s="70">
        <f>VLOOKUP(I29,Log!$B$2:$C$8,2,)</f>
        <v>0.45</v>
      </c>
      <c r="K29" s="4">
        <v>29.8</v>
      </c>
      <c r="L29" s="34">
        <f>IF(OR(AND(I29="Motorbike",K29-K28&lt;Log!$C$13),AND(I29&lt;&gt;"Motorbike",K29-K28&lt;Log!$C$12)),0,IF(L28&lt;&gt;0,K29-K28,IF(L27=0,K29-K26,K29-K27)))</f>
        <v>2.1999999999999993</v>
      </c>
      <c r="M29" s="109">
        <f t="shared" si="5"/>
        <v>0.98999999999999966</v>
      </c>
      <c r="N29" s="15"/>
      <c r="O29" s="61">
        <v>157</v>
      </c>
      <c r="P29" s="56" t="s">
        <v>12</v>
      </c>
      <c r="Q29" s="70">
        <f>VLOOKUP(P29,Log!$B$2:$C$8,2,)</f>
        <v>1</v>
      </c>
      <c r="R29" s="4">
        <v>34.64</v>
      </c>
      <c r="S29" s="34">
        <f>IF(OR(AND(P29="Motorbike",R29-R28&lt;Log!$C$13),AND(P29&lt;&gt;"Motorbike",R29-R28&lt;Log!$C$12)),0,IF(S28&lt;&gt;0,R29-R28,IF(S27=0,R29-R26,R29-R27)))</f>
        <v>7.120000000000001</v>
      </c>
      <c r="T29" s="34">
        <f t="shared" si="6"/>
        <v>7.120000000000001</v>
      </c>
      <c r="W29" s="11"/>
    </row>
    <row r="30" spans="1:23" x14ac:dyDescent="0.25">
      <c r="A30" s="60">
        <v>177</v>
      </c>
      <c r="B30" s="56" t="s">
        <v>13</v>
      </c>
      <c r="C30" s="70">
        <f>VLOOKUP(B30,Log!$B$2:$C$8,2,)</f>
        <v>0.38</v>
      </c>
      <c r="D30" s="5">
        <v>31.24</v>
      </c>
      <c r="E30" s="34">
        <f>IF(OR(AND(OR(B30="Motorbike",B30="CNG",B30="Bicycle",B30="NMV"),D30-D29&lt;Log!$C$13),AND(NOT(OR(B30="Motorbike",B30="CNG",B30="Bicycle",B30="NMV")),D30-D29&lt;Log!$C$12)),0,IF(E29&lt;&gt;0,D30-D29,IF(E28=0,D30-D27,D30-D28)))</f>
        <v>3.84</v>
      </c>
      <c r="F30" s="109">
        <f t="shared" si="4"/>
        <v>1.4592000000000001</v>
      </c>
      <c r="N30" s="15"/>
      <c r="W30" s="11"/>
    </row>
    <row r="31" spans="1:23" ht="15.75" thickBot="1" x14ac:dyDescent="0.3">
      <c r="A31" s="61">
        <v>180</v>
      </c>
      <c r="B31" s="56" t="s">
        <v>14</v>
      </c>
      <c r="C31" s="70">
        <f>VLOOKUP(B31,Log!$B$2:$C$8,2,)</f>
        <v>0.45</v>
      </c>
      <c r="D31" s="5">
        <v>32.119999999999997</v>
      </c>
      <c r="E31" s="34">
        <f>IF(OR(AND(OR(B31="Motorbike",B31="CNG",B31="Bicycle",B31="NMV"),D31-D30&lt;Log!$C$13),AND(NOT(OR(B31="Motorbike",B31="CNG",B31="Bicycle",B31="NMV")),D31-D30&lt;Log!$C$12)),0,IF(E30&lt;&gt;0,D31-D30,IF(E29=0,D31-D28,D31-D29)))</f>
        <v>0.87999999999999901</v>
      </c>
      <c r="F31" s="109">
        <f t="shared" si="4"/>
        <v>0.39599999999999957</v>
      </c>
      <c r="N31" s="15"/>
      <c r="W31" s="11"/>
    </row>
    <row r="32" spans="1:23" x14ac:dyDescent="0.25">
      <c r="N32" s="15"/>
      <c r="W32" s="11"/>
    </row>
    <row r="33" spans="8:23" x14ac:dyDescent="0.25">
      <c r="N33" s="15"/>
      <c r="W33" s="11"/>
    </row>
    <row r="34" spans="8:23" x14ac:dyDescent="0.25">
      <c r="H34" s="52"/>
      <c r="I34" s="53"/>
      <c r="J34" s="15"/>
      <c r="L34" s="54"/>
      <c r="M34" s="54"/>
      <c r="N34" s="15"/>
      <c r="W34" s="11"/>
    </row>
    <row r="35" spans="8:23" x14ac:dyDescent="0.25">
      <c r="H35" s="55"/>
      <c r="J35" s="15"/>
      <c r="L35" s="54"/>
      <c r="M35" s="54"/>
      <c r="W35" s="11"/>
    </row>
    <row r="36" spans="8:23" x14ac:dyDescent="0.25">
      <c r="H36" s="55"/>
      <c r="J36" s="15"/>
      <c r="L36" s="54"/>
      <c r="M36" s="54"/>
      <c r="W36" s="11"/>
    </row>
    <row r="37" spans="8:23" x14ac:dyDescent="0.25">
      <c r="H37" s="55"/>
      <c r="J37" s="15"/>
      <c r="L37" s="54"/>
      <c r="M37" s="54"/>
      <c r="W37" s="11"/>
    </row>
    <row r="38" spans="8:23" x14ac:dyDescent="0.25">
      <c r="W38" s="11"/>
    </row>
    <row r="39" spans="8:23" x14ac:dyDescent="0.25">
      <c r="W39" s="11"/>
    </row>
    <row r="40" spans="8:23" x14ac:dyDescent="0.25">
      <c r="W40" s="11"/>
    </row>
    <row r="41" spans="8:23" x14ac:dyDescent="0.25">
      <c r="W41" s="11"/>
    </row>
    <row r="42" spans="8:23" x14ac:dyDescent="0.25">
      <c r="W42" s="11"/>
    </row>
    <row r="43" spans="8:23" x14ac:dyDescent="0.25">
      <c r="W43" s="11"/>
    </row>
    <row r="44" spans="8:23" x14ac:dyDescent="0.25">
      <c r="W44" s="11"/>
    </row>
    <row r="52" spans="19:20" x14ac:dyDescent="0.25">
      <c r="S52" s="9">
        <f>AVERAGE(S29:S34)</f>
        <v>7.120000000000001</v>
      </c>
      <c r="T52" s="9">
        <f>AVERAGE(T29:T34)</f>
        <v>7.120000000000001</v>
      </c>
    </row>
    <row r="53" spans="19:20" x14ac:dyDescent="0.25">
      <c r="S53" s="10">
        <f>3600/S52</f>
        <v>505.6179775280898</v>
      </c>
      <c r="T53" s="10">
        <f>3600/T52</f>
        <v>505.6179775280898</v>
      </c>
    </row>
  </sheetData>
  <mergeCells count="4">
    <mergeCell ref="C1:D1"/>
    <mergeCell ref="A11:F11"/>
    <mergeCell ref="H11:M11"/>
    <mergeCell ref="O11:T11"/>
  </mergeCells>
  <conditionalFormatting sqref="E13:F13 T14:T29">
    <cfRule type="cellIs" dxfId="111" priority="39" operator="greaterThan">
      <formula>4</formula>
    </cfRule>
  </conditionalFormatting>
  <conditionalFormatting sqref="F14:F31">
    <cfRule type="cellIs" dxfId="110" priority="18" operator="greaterThan">
      <formula>4</formula>
    </cfRule>
  </conditionalFormatting>
  <conditionalFormatting sqref="L14:L29">
    <cfRule type="cellIs" dxfId="109" priority="9" operator="greaterThanOrEqual">
      <formula>4</formula>
    </cfRule>
  </conditionalFormatting>
  <conditionalFormatting sqref="L13:M13">
    <cfRule type="cellIs" dxfId="108" priority="35" operator="greaterThan">
      <formula>4</formula>
    </cfRule>
  </conditionalFormatting>
  <conditionalFormatting sqref="L34:M37">
    <cfRule type="cellIs" dxfId="107" priority="44" operator="greaterThan">
      <formula>4</formula>
    </cfRule>
  </conditionalFormatting>
  <conditionalFormatting sqref="M14:M29">
    <cfRule type="cellIs" dxfId="106" priority="11" operator="greaterThan">
      <formula>4</formula>
    </cfRule>
  </conditionalFormatting>
  <conditionalFormatting sqref="S14:S29 E14:E31">
    <cfRule type="cellIs" dxfId="105" priority="16" operator="greaterThanOrEqual">
      <formula>4</formula>
    </cfRule>
  </conditionalFormatting>
  <conditionalFormatting sqref="S13:T13">
    <cfRule type="cellIs" dxfId="104" priority="32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5EC935DD-886E-4717-A82E-5BD091C30580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L14:L29</xm:sqref>
        </x14:conditionalFormatting>
        <x14:conditionalFormatting xmlns:xm="http://schemas.microsoft.com/office/excel/2006/main">
          <x14:cfRule type="expression" priority="8" id="{DE3B65C9-6A7F-4CAA-987C-7D95ABE1730B}">
            <xm:f>AND(OFFSET(L16,0,-3)="Motorbike", L16&lt;Log!$C$13)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L16:L29</xm:sqref>
        </x14:conditionalFormatting>
        <x14:conditionalFormatting xmlns:xm="http://schemas.microsoft.com/office/excel/2006/main">
          <x14:cfRule type="expression" priority="17" id="{B2561AAE-D71D-4243-A4A8-BF2AC536494F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S14:S29 E14:E31</xm:sqref>
        </x14:conditionalFormatting>
        <x14:conditionalFormatting xmlns:xm="http://schemas.microsoft.com/office/excel/2006/main">
          <x14:cfRule type="expression" priority="15" id="{3FBF2A39-1C80-4BA2-8AEB-214FC0214DB4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S15:S29 E15:E31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F50B2-FE70-4020-A996-2EE940247BD3}">
  <sheetPr codeName="Sheet10"/>
  <dimension ref="A1:W44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59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21.04</v>
      </c>
      <c r="M2" s="19">
        <f>SUM(M20:M28)</f>
        <v>23.485599999999998</v>
      </c>
      <c r="R2" s="4" t="s">
        <v>20</v>
      </c>
      <c r="S2" s="8">
        <f>SUM(S24:S25)</f>
        <v>7.16</v>
      </c>
      <c r="T2" s="8">
        <f>SUM(T24:T25)</f>
        <v>6.8879999999999999</v>
      </c>
    </row>
    <row r="3" spans="1:20" x14ac:dyDescent="0.25">
      <c r="K3" s="4" t="s">
        <v>21</v>
      </c>
      <c r="L3" s="20">
        <f>AVERAGE(L24:L26)</f>
        <v>0.43999999999999889</v>
      </c>
      <c r="M3" s="21">
        <f>AVERAGE(M24:M27)</f>
        <v>1.1453999999999993</v>
      </c>
      <c r="R3" s="4" t="s">
        <v>21</v>
      </c>
      <c r="S3" s="9">
        <f>AVERAGE(S24:S25)</f>
        <v>3.58</v>
      </c>
      <c r="T3" s="9">
        <f>AVERAGE(T25:T28)</f>
        <v>0.92580000000000062</v>
      </c>
    </row>
    <row r="4" spans="1:20" x14ac:dyDescent="0.25">
      <c r="A4" s="4" t="s">
        <v>12</v>
      </c>
      <c r="B4" s="144">
        <f>100*COUNTIF($B$13:$B$43,A4)/COUNTA($B$13:$B$43)</f>
        <v>48.387096774193552</v>
      </c>
      <c r="H4" s="4" t="s">
        <v>12</v>
      </c>
      <c r="I4" s="144">
        <f>100*COUNTIF($I$13:$I$33,H4)/COUNTA($I$13:$I$33)</f>
        <v>78.94736842105263</v>
      </c>
      <c r="K4" s="4" t="s">
        <v>7</v>
      </c>
      <c r="L4" s="22">
        <f>3600/L3</f>
        <v>8181.818181818202</v>
      </c>
      <c r="M4" s="23">
        <f>3600/M3</f>
        <v>3143.0068098480897</v>
      </c>
      <c r="O4" s="4" t="s">
        <v>12</v>
      </c>
      <c r="P4" s="144">
        <f>100*COUNTIF($P$13:$P$38,O4)/COUNTA($P$13:$P$38)</f>
        <v>45</v>
      </c>
      <c r="R4" s="4" t="s">
        <v>7</v>
      </c>
      <c r="S4" s="10">
        <f>3600/S3</f>
        <v>1005.586592178771</v>
      </c>
      <c r="T4" s="10">
        <f>3600/T3</f>
        <v>3888.5288399222268</v>
      </c>
    </row>
    <row r="5" spans="1:20" x14ac:dyDescent="0.25">
      <c r="A5" s="4" t="s">
        <v>14</v>
      </c>
      <c r="B5" s="144">
        <f t="shared" ref="B5:B7" si="0">100*COUNTIF($B$13:$B$43,A5)/COUNTA($B$13:$B$43)</f>
        <v>9.67741935483871</v>
      </c>
      <c r="H5" s="4" t="s">
        <v>14</v>
      </c>
      <c r="I5" s="144">
        <f t="shared" ref="I5:I7" si="1">100*COUNTIF($I$13:$I$33,H5)/COUNTA($I$13:$I$33)</f>
        <v>5.2631578947368425</v>
      </c>
      <c r="O5" s="4" t="s">
        <v>14</v>
      </c>
      <c r="P5" s="144">
        <f t="shared" ref="P5:P7" si="2">100*COUNTIF($P$13:$P$38,O5)/COUNTA($P$13:$P$38)</f>
        <v>25</v>
      </c>
    </row>
    <row r="6" spans="1:20" x14ac:dyDescent="0.25">
      <c r="A6" s="4" t="s">
        <v>13</v>
      </c>
      <c r="B6" s="144">
        <f t="shared" si="0"/>
        <v>29.032258064516128</v>
      </c>
      <c r="E6" s="29" t="s">
        <v>32</v>
      </c>
      <c r="F6" s="29" t="s">
        <v>31</v>
      </c>
      <c r="H6" s="4" t="s">
        <v>13</v>
      </c>
      <c r="I6" s="144">
        <f t="shared" si="1"/>
        <v>10.526315789473685</v>
      </c>
      <c r="L6" s="29" t="s">
        <v>32</v>
      </c>
      <c r="M6" s="29" t="s">
        <v>31</v>
      </c>
      <c r="O6" s="4" t="s">
        <v>13</v>
      </c>
      <c r="P6" s="144">
        <f t="shared" si="2"/>
        <v>25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9.67741935483871</v>
      </c>
      <c r="D7" s="30" t="s">
        <v>30</v>
      </c>
      <c r="E7" s="25">
        <f>SUM(E16:E36)</f>
        <v>25.080000000000002</v>
      </c>
      <c r="F7" s="25">
        <f>SUM(F17:F27)</f>
        <v>17.738</v>
      </c>
      <c r="H7" s="4" t="s">
        <v>28</v>
      </c>
      <c r="I7" s="144">
        <f t="shared" si="1"/>
        <v>5.2631578947368425</v>
      </c>
      <c r="K7" s="30" t="s">
        <v>30</v>
      </c>
      <c r="L7" s="25">
        <f>SUM(L16:L22)</f>
        <v>11.160000000000002</v>
      </c>
      <c r="M7" s="25">
        <f>SUM(M15:M22)</f>
        <v>14.880000000000003</v>
      </c>
      <c r="O7" s="4" t="s">
        <v>28</v>
      </c>
      <c r="P7" s="144">
        <f t="shared" si="2"/>
        <v>5</v>
      </c>
      <c r="R7" s="30" t="s">
        <v>64</v>
      </c>
      <c r="S7" s="25">
        <f>SUM(S14:S23)</f>
        <v>12.120000000000001</v>
      </c>
      <c r="T7" s="25">
        <f>SUM(Q14:Q23)</f>
        <v>7.1300000000000008</v>
      </c>
    </row>
    <row r="8" spans="1:20" ht="15.75" thickBot="1" x14ac:dyDescent="0.3">
      <c r="D8" s="30" t="s">
        <v>21</v>
      </c>
      <c r="E8" s="28">
        <f>AVERAGEIF(E16:E36,"&lt;&gt;0")</f>
        <v>1.7914285714285716</v>
      </c>
      <c r="F8" s="28">
        <f>AVERAGEIF(F16:F36,"&lt;&gt;0")</f>
        <v>2.1118857142857141</v>
      </c>
      <c r="K8" s="30" t="s">
        <v>21</v>
      </c>
      <c r="L8" s="28">
        <f>AVERAGEIF(L15:L22,"&lt;&gt;0")</f>
        <v>1.8971428571428572</v>
      </c>
      <c r="M8" s="28">
        <f>AVERAGEIF(M16:M22,"&lt;&gt;0")</f>
        <v>2.1266666666666674</v>
      </c>
      <c r="O8" s="4" t="s">
        <v>15</v>
      </c>
      <c r="P8" s="144">
        <f t="shared" ref="P8:P9" si="3">100*COUNTIF($P$13:$P$39,O8)/COUNTA($P$13:$P$39)</f>
        <v>0</v>
      </c>
      <c r="R8" s="30" t="s">
        <v>21</v>
      </c>
      <c r="S8" s="28">
        <f>AVERAGEIF(S14:S23,"&lt;&gt;0")</f>
        <v>1.5150000000000001</v>
      </c>
      <c r="T8" s="28">
        <f>AVERAGEIF(T14:T23,"&lt;&gt;0")</f>
        <v>1.3931499999999999</v>
      </c>
    </row>
    <row r="9" spans="1:20" ht="15.75" thickBot="1" x14ac:dyDescent="0.3">
      <c r="D9" s="30" t="s">
        <v>7</v>
      </c>
      <c r="E9" s="27">
        <f>3600/E8</f>
        <v>2009.5693779904304</v>
      </c>
      <c r="F9" s="31">
        <f>3600/F8</f>
        <v>1704.6376968450675</v>
      </c>
      <c r="K9" s="30" t="s">
        <v>7</v>
      </c>
      <c r="L9" s="27">
        <f>3600/L8</f>
        <v>1897.5903614457829</v>
      </c>
      <c r="M9" s="31">
        <f>3600/M8</f>
        <v>1692.789968652037</v>
      </c>
      <c r="O9" s="4" t="s">
        <v>33</v>
      </c>
      <c r="P9" s="144">
        <f t="shared" si="3"/>
        <v>0</v>
      </c>
      <c r="R9" s="30" t="s">
        <v>7</v>
      </c>
      <c r="S9" s="27">
        <f>3600/S8</f>
        <v>2376.2376237623762</v>
      </c>
      <c r="T9" s="31">
        <f>3600/T8</f>
        <v>2584.0720668987547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3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3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3" t="s">
        <v>17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16">
        <v>5</v>
      </c>
      <c r="B13" s="4" t="s">
        <v>12</v>
      </c>
      <c r="C13" s="5">
        <f>VLOOKUP(B13,Log!$B$2:$C$8,2,)</f>
        <v>1</v>
      </c>
      <c r="D13" s="5">
        <v>5.32</v>
      </c>
      <c r="E13" s="34">
        <v>0</v>
      </c>
      <c r="F13" s="5">
        <v>0</v>
      </c>
      <c r="H13" s="65">
        <v>35</v>
      </c>
      <c r="I13" s="56" t="s">
        <v>13</v>
      </c>
      <c r="J13" s="5">
        <f>VLOOKUP(I13,Log!$B$2:$C$8,2,)</f>
        <v>0.38</v>
      </c>
      <c r="K13" s="5">
        <v>8.32</v>
      </c>
      <c r="L13" s="34">
        <v>0</v>
      </c>
      <c r="M13" s="5">
        <v>0</v>
      </c>
      <c r="N13" s="15"/>
      <c r="O13" s="65">
        <v>22</v>
      </c>
      <c r="P13" s="56" t="s">
        <v>14</v>
      </c>
      <c r="Q13" s="5">
        <f>VLOOKUP(P13,Log!$B$2:$C$8,2,)</f>
        <v>0.45</v>
      </c>
      <c r="R13" s="5">
        <v>7.72</v>
      </c>
      <c r="S13" s="34">
        <v>0</v>
      </c>
      <c r="T13" s="5">
        <v>0</v>
      </c>
    </row>
    <row r="14" spans="1:20" x14ac:dyDescent="0.25">
      <c r="A14" s="16">
        <v>2</v>
      </c>
      <c r="B14" s="4" t="s">
        <v>12</v>
      </c>
      <c r="C14" s="5">
        <f>VLOOKUP(B14,Log!$B$2:$C$8,2,)</f>
        <v>1</v>
      </c>
      <c r="D14" s="5">
        <v>7.64</v>
      </c>
      <c r="E14" s="34">
        <f>IF(OR(AND(B14="Motorbike",D14-D13&lt;Log!$C$13),AND(B14&lt;&gt;"Motorbike",D14-D13&lt;Log!$C$12)),0,D14-D13)</f>
        <v>2.3199999999999994</v>
      </c>
      <c r="F14" s="34">
        <f>IF(E15&lt;&gt;0,C14*E14,IF(E16=0,(C14+C15+C16)*E14,(C14+C15)*E14))</f>
        <v>4.6399999999999988</v>
      </c>
      <c r="H14" s="73">
        <v>14</v>
      </c>
      <c r="I14" s="56" t="s">
        <v>28</v>
      </c>
      <c r="J14" s="5">
        <f>VLOOKUP(I14,Log!$B$2:$C$8,2,)</f>
        <v>1.02</v>
      </c>
      <c r="K14" s="5">
        <v>8.32</v>
      </c>
      <c r="L14" s="34">
        <f>IF(OR(AND(I14="Motorbike",K14-K13&lt;Log!$C$13),AND(I14&lt;&gt;"Motorbike",K14-K13&lt;Log!$C$12)),0,K14-K13)</f>
        <v>0</v>
      </c>
      <c r="M14" s="5">
        <f>IF(L15&lt;&gt;0,J14*L14,IF(L16=0,(J14+J15+J16)*L14,(J14+J15)*L14))</f>
        <v>0</v>
      </c>
      <c r="N14" s="15"/>
      <c r="O14" s="73">
        <v>9</v>
      </c>
      <c r="P14" s="62" t="s">
        <v>14</v>
      </c>
      <c r="Q14" s="5">
        <f>VLOOKUP(P14,Log!$B$2:$C$8,2,)</f>
        <v>0.45</v>
      </c>
      <c r="R14" s="5">
        <v>9.84</v>
      </c>
      <c r="S14" s="34">
        <f>IF(OR(AND(P14="Motorbike",R14-R13&lt;Log!$C$13),AND(P14&lt;&gt;"Motorbike",R14-R13&lt;Log!$C$12)),0,R14-R13)</f>
        <v>2.12</v>
      </c>
      <c r="T14" s="109">
        <f>IF(S15&lt;&gt;0,Q14*S14,IF(S16=0,(Q14+Q15+Q16)*S14,(Q14+Q15)*S14))</f>
        <v>0.95400000000000007</v>
      </c>
    </row>
    <row r="15" spans="1:20" ht="15.75" thickBot="1" x14ac:dyDescent="0.3">
      <c r="A15" s="51">
        <v>3</v>
      </c>
      <c r="B15" s="4" t="s">
        <v>12</v>
      </c>
      <c r="C15" s="5">
        <f>VLOOKUP(B15,Log!$B$2:$C$8,2,)</f>
        <v>1</v>
      </c>
      <c r="D15" s="5">
        <v>8</v>
      </c>
      <c r="E15" s="34">
        <f>IF(OR(AND(B15="Motorbike",D15-D14&lt;Log!$C$13),AND(B15&lt;&gt;"Motorbike",D15-D14&lt;Log!$C$12)),0,D15-D14)</f>
        <v>0</v>
      </c>
      <c r="F15" s="34">
        <f t="shared" ref="F15:F43" si="4">IF(E16&lt;&gt;0,C15*E15,IF(E17=0,(C15+C16+C17)*E15,(C15+C16)*E15))</f>
        <v>0</v>
      </c>
      <c r="H15" s="73">
        <v>8</v>
      </c>
      <c r="I15" s="62" t="s">
        <v>12</v>
      </c>
      <c r="J15" s="5">
        <f>VLOOKUP(I15,Log!$B$2:$C$8,2,)</f>
        <v>1</v>
      </c>
      <c r="K15" s="5">
        <v>10.44</v>
      </c>
      <c r="L15" s="34">
        <f>IF(OR(AND(I15="Motorbike",K15-K14&lt;Log!$C$13),AND(I15&lt;&gt;"Motorbike",K15-K14&lt;Log!$C$12)),0,K15-K14)</f>
        <v>2.1199999999999992</v>
      </c>
      <c r="M15" s="109">
        <f t="shared" ref="M15:M31" si="5">IF(L16&lt;&gt;0,J15*L15,IF(L17=0,(J15+J16+J17)*L15,(J15+J16)*L15))</f>
        <v>2.1199999999999992</v>
      </c>
      <c r="N15" s="15"/>
      <c r="O15" s="73">
        <v>46</v>
      </c>
      <c r="P15" s="56" t="s">
        <v>12</v>
      </c>
      <c r="Q15" s="5">
        <f>VLOOKUP(P15,Log!$B$2:$C$8,2,)</f>
        <v>1</v>
      </c>
      <c r="R15" s="5">
        <v>11.04</v>
      </c>
      <c r="S15" s="34">
        <f>IF(OR(AND(P15="Motorbike",R15-R14&lt;Log!$C$13),AND(P15&lt;&gt;"Motorbike",R15-R14&lt;Log!$C$12)),0,R15-R14)</f>
        <v>1.1999999999999993</v>
      </c>
      <c r="T15" s="109">
        <f t="shared" ref="T15:T32" si="6">IF(S16&lt;&gt;0,Q15*S15,IF(S17=0,(Q15+Q16+Q17)*S15,(Q15+Q16)*S15))</f>
        <v>1.1999999999999993</v>
      </c>
    </row>
    <row r="16" spans="1:20" x14ac:dyDescent="0.25">
      <c r="A16" s="59">
        <v>14</v>
      </c>
      <c r="B16" s="56" t="s">
        <v>28</v>
      </c>
      <c r="C16" s="5">
        <f>VLOOKUP(B16,Log!$B$2:$C$8,2,)</f>
        <v>1.02</v>
      </c>
      <c r="D16" s="42">
        <v>10.199999999999999</v>
      </c>
      <c r="E16" s="34">
        <f>IF(OR(AND(B16="Motorbike",D16-D15&lt;Log!$C$13),AND(B16&lt;&gt;"Motorbike",D16-D15&lt;Log!$C$12)),0,IF(E15&lt;&gt;0,D16-D15,IF(E14=0,D16-D13,D16-D14)))</f>
        <v>2.5599999999999996</v>
      </c>
      <c r="F16" s="109">
        <f t="shared" si="4"/>
        <v>2.6111999999999997</v>
      </c>
      <c r="H16" s="73">
        <v>71</v>
      </c>
      <c r="I16" s="56" t="s">
        <v>12</v>
      </c>
      <c r="J16" s="5">
        <f>VLOOKUP(I16,Log!$B$2:$C$8,2,)</f>
        <v>1</v>
      </c>
      <c r="K16" s="5">
        <v>12.4</v>
      </c>
      <c r="L16" s="34">
        <f>IF(OR(AND(I16="Motorbike",K16-K15&lt;Log!$C$13),AND(I16&lt;&gt;"Motorbike",K16-K15&lt;Log!$C$12)),0,IF(L15&lt;&gt;0,K16-K15,IF(L14=0,K16-K13,K16-K14)))</f>
        <v>1.9600000000000009</v>
      </c>
      <c r="M16" s="109">
        <f t="shared" si="5"/>
        <v>1.9600000000000009</v>
      </c>
      <c r="N16" s="15"/>
      <c r="O16" s="60">
        <v>56</v>
      </c>
      <c r="P16" s="56" t="s">
        <v>14</v>
      </c>
      <c r="Q16" s="5">
        <f>VLOOKUP(P16,Log!$B$2:$C$8,2,)</f>
        <v>0.45</v>
      </c>
      <c r="R16" s="5">
        <v>12.72</v>
      </c>
      <c r="S16" s="34">
        <f>IF(OR(AND(P16="Motorbike",R16-R15&lt;Log!$C$13),AND(P16&lt;&gt;"Motorbike",R16-R15&lt;Log!$C$12)),0,IF(S15&lt;&gt;0,R16-R15,IF(S14=0,R16-R13,R16-R14)))</f>
        <v>1.6800000000000015</v>
      </c>
      <c r="T16" s="109">
        <f t="shared" si="6"/>
        <v>0.75600000000000067</v>
      </c>
    </row>
    <row r="17" spans="1:23" x14ac:dyDescent="0.25">
      <c r="A17" s="60">
        <v>64</v>
      </c>
      <c r="B17" s="56" t="s">
        <v>12</v>
      </c>
      <c r="C17" s="5">
        <f>VLOOKUP(B17,Log!$B$2:$C$8,2,)</f>
        <v>1</v>
      </c>
      <c r="D17" s="42">
        <v>11.2</v>
      </c>
      <c r="E17" s="34">
        <f>IF(OR(AND(B17="Motorbike",D17-D16&lt;Log!$C$13),AND(B17&lt;&gt;"Motorbike",D17-D16&lt;Log!$C$12)),0,IF(E16&lt;&gt;0,D17-D16,IF(E15=0,D17-D14,D17-D15)))</f>
        <v>1</v>
      </c>
      <c r="F17" s="109">
        <f t="shared" si="4"/>
        <v>1</v>
      </c>
      <c r="H17" s="73">
        <v>62</v>
      </c>
      <c r="I17" s="56" t="s">
        <v>12</v>
      </c>
      <c r="J17" s="5">
        <f>VLOOKUP(I17,Log!$B$2:$C$8,2,)</f>
        <v>1</v>
      </c>
      <c r="K17" s="5">
        <v>13.64</v>
      </c>
      <c r="L17" s="34">
        <f>IF(OR(AND(I17="Motorbike",K17-K16&lt;Log!$C$13),AND(I17&lt;&gt;"Motorbike",K17-K16&lt;Log!$C$12)),0,IF(L16&lt;&gt;0,K17-K16,IF(L15=0,K17-K14,K17-K15)))</f>
        <v>1.2400000000000002</v>
      </c>
      <c r="M17" s="109">
        <f t="shared" si="5"/>
        <v>1.2400000000000002</v>
      </c>
      <c r="N17" s="15"/>
      <c r="O17" s="60">
        <v>73</v>
      </c>
      <c r="P17" s="56" t="s">
        <v>13</v>
      </c>
      <c r="Q17" s="5">
        <f>VLOOKUP(P17,Log!$B$2:$C$8,2,)</f>
        <v>0.38</v>
      </c>
      <c r="R17" s="5">
        <v>13.4</v>
      </c>
      <c r="S17" s="34">
        <f>IF(OR(AND(P17="Motorbike",R17-R16&lt;Log!$C$13),AND(P17&lt;&gt;"Motorbike",R17-R16&lt;Log!$C$12)),0,IF(S16&lt;&gt;0,R17-R16,IF(S15=0,R17-R14,R17-R15)))</f>
        <v>0.67999999999999972</v>
      </c>
      <c r="T17" s="109">
        <f t="shared" si="6"/>
        <v>0.25839999999999991</v>
      </c>
    </row>
    <row r="18" spans="1:23" x14ac:dyDescent="0.25">
      <c r="A18" s="60">
        <v>69</v>
      </c>
      <c r="B18" s="56" t="s">
        <v>12</v>
      </c>
      <c r="C18" s="5">
        <f>VLOOKUP(B18,Log!$B$2:$C$8,2,)</f>
        <v>1</v>
      </c>
      <c r="D18" s="42">
        <v>15</v>
      </c>
      <c r="E18" s="34">
        <f>IF(OR(AND(B18="Motorbike",D18-D17&lt;Log!$C$13),AND(B18&lt;&gt;"Motorbike",D18-D17&lt;Log!$C$12)),0,IF(E17&lt;&gt;0,D18-D17,IF(E16=0,D18-D15,D18-D16)))</f>
        <v>3.8000000000000007</v>
      </c>
      <c r="F18" s="109">
        <f t="shared" si="4"/>
        <v>3.8000000000000007</v>
      </c>
      <c r="H18" s="73">
        <v>10</v>
      </c>
      <c r="I18" s="56" t="s">
        <v>12</v>
      </c>
      <c r="J18" s="5">
        <f>VLOOKUP(I18,Log!$B$2:$C$8,2,)</f>
        <v>1</v>
      </c>
      <c r="K18" s="5">
        <v>15</v>
      </c>
      <c r="L18" s="34">
        <f>IF(OR(AND(I18="Motorbike",K18-K17&lt;Log!$C$13),AND(I18&lt;&gt;"Motorbike",K18-K17&lt;Log!$C$12)),0,IF(L17&lt;&gt;0,K18-K17,IF(L16=0,K18-K15,K18-K16)))</f>
        <v>1.3599999999999994</v>
      </c>
      <c r="M18" s="109">
        <f t="shared" si="5"/>
        <v>1.3599999999999994</v>
      </c>
      <c r="N18" s="15"/>
      <c r="O18" s="60">
        <v>10</v>
      </c>
      <c r="P18" s="56" t="s">
        <v>12</v>
      </c>
      <c r="Q18" s="5">
        <f>VLOOKUP(P18,Log!$B$2:$C$8,2,)</f>
        <v>1</v>
      </c>
      <c r="R18" s="5">
        <v>15.24</v>
      </c>
      <c r="S18" s="34">
        <f>IF(OR(AND(P18="Motorbike",R18-R17&lt;Log!$C$13),AND(P18&lt;&gt;"Motorbike",R18-R17&lt;Log!$C$12)),0,IF(S17&lt;&gt;0,R18-R17,IF(S16=0,R18-R15,R18-R16)))</f>
        <v>1.8399999999999999</v>
      </c>
      <c r="T18" s="109">
        <f t="shared" si="6"/>
        <v>2.6679999999999997</v>
      </c>
    </row>
    <row r="19" spans="1:23" x14ac:dyDescent="0.25">
      <c r="A19" s="60">
        <v>91</v>
      </c>
      <c r="B19" s="56" t="s">
        <v>13</v>
      </c>
      <c r="C19" s="5">
        <f>VLOOKUP(B19,Log!$B$2:$C$8,2,)</f>
        <v>0.38</v>
      </c>
      <c r="D19" s="5">
        <v>15.92</v>
      </c>
      <c r="E19" s="34">
        <f>IF(OR(AND(B19="Motorbike",D19-D18&lt;Log!$C$13),AND(B19&lt;&gt;"Motorbike",D19-D18&lt;Log!$C$12)),0,IF(E18&lt;&gt;0,D19-D18,IF(E17=0,D19-D16,D19-D17)))</f>
        <v>0.91999999999999993</v>
      </c>
      <c r="F19" s="109">
        <f t="shared" si="4"/>
        <v>1.2695999999999998</v>
      </c>
      <c r="H19" s="73">
        <v>61</v>
      </c>
      <c r="I19" s="56" t="s">
        <v>12</v>
      </c>
      <c r="J19" s="5">
        <f>VLOOKUP(I19,Log!$B$2:$C$8,2,)</f>
        <v>1</v>
      </c>
      <c r="K19" s="5">
        <v>16.600000000000001</v>
      </c>
      <c r="L19" s="34">
        <f>IF(OR(AND(I19="Motorbike",K19-K18&lt;Log!$C$13),AND(I19&lt;&gt;"Motorbike",K19-K18&lt;Log!$C$12)),0,IF(L18&lt;&gt;0,K19-K18,IF(L17=0,K19-K16,K19-K17)))</f>
        <v>1.6000000000000014</v>
      </c>
      <c r="M19" s="109">
        <f t="shared" si="5"/>
        <v>3.2000000000000028</v>
      </c>
      <c r="N19" s="15"/>
      <c r="O19" s="60">
        <v>84</v>
      </c>
      <c r="P19" s="56" t="s">
        <v>14</v>
      </c>
      <c r="Q19" s="5">
        <f>VLOOKUP(P19,Log!$B$2:$C$8,2,)</f>
        <v>0.45</v>
      </c>
      <c r="R19" s="5">
        <v>16</v>
      </c>
      <c r="S19" s="34">
        <f>IF(OR(AND(P19="Motorbike",R19-R18&lt;Log!$C$13),AND(P19&lt;&gt;"Motorbike",R19-R18&lt;Log!$C$12)),0,IF(S18&lt;&gt;0,R19-R18,IF(S17=0,R19-R16,R19-R17)))</f>
        <v>0</v>
      </c>
      <c r="T19" s="109">
        <f t="shared" si="6"/>
        <v>0</v>
      </c>
    </row>
    <row r="20" spans="1:23" x14ac:dyDescent="0.25">
      <c r="A20" s="60">
        <v>90</v>
      </c>
      <c r="B20" s="56" t="s">
        <v>12</v>
      </c>
      <c r="C20" s="5">
        <f>VLOOKUP(B20,Log!$B$2:$C$8,2,)</f>
        <v>1</v>
      </c>
      <c r="D20" s="5">
        <v>16.52</v>
      </c>
      <c r="E20" s="34">
        <f>IF(OR(AND(B20="Motorbike",D20-D19&lt;Log!$C$13),AND(B20&lt;&gt;"Motorbike",D20-D19&lt;Log!$C$12)),0,IF(E19&lt;&gt;0,D20-D19,IF(E18=0,D20-D17,D20-D18)))</f>
        <v>0</v>
      </c>
      <c r="F20" s="109">
        <f t="shared" si="4"/>
        <v>0</v>
      </c>
      <c r="H20" s="73">
        <v>82</v>
      </c>
      <c r="I20" s="56" t="s">
        <v>12</v>
      </c>
      <c r="J20" s="5">
        <f>VLOOKUP(I20,Log!$B$2:$C$8,2,)</f>
        <v>1</v>
      </c>
      <c r="K20" s="5">
        <v>16.64</v>
      </c>
      <c r="L20" s="34">
        <f>IF(OR(AND(I20="Motorbike",K20-K19&lt;Log!$C$13),AND(I20&lt;&gt;"Motorbike",K20-K19&lt;Log!$C$12)),0,IF(L19&lt;&gt;0,K20-K19,IF(L18=0,K20-K17,K20-K18)))</f>
        <v>0</v>
      </c>
      <c r="M20" s="109">
        <f t="shared" si="5"/>
        <v>0</v>
      </c>
      <c r="N20" s="15"/>
      <c r="O20" s="60">
        <v>82</v>
      </c>
      <c r="P20" s="56" t="s">
        <v>12</v>
      </c>
      <c r="Q20" s="5">
        <f>VLOOKUP(P20,Log!$B$2:$C$8,2,)</f>
        <v>1</v>
      </c>
      <c r="R20" s="5">
        <v>17.04</v>
      </c>
      <c r="S20" s="34">
        <f>IF(OR(AND(P20="Motorbike",R20-R19&lt;Log!$C$13),AND(P20&lt;&gt;"Motorbike",R20-R19&lt;Log!$C$12)),0,IF(S19&lt;&gt;0,R20-R19,IF(S18=0,R20-R17,R20-R18)))</f>
        <v>1.7999999999999989</v>
      </c>
      <c r="T20" s="109">
        <f t="shared" si="6"/>
        <v>2.4839999999999982</v>
      </c>
    </row>
    <row r="21" spans="1:23" x14ac:dyDescent="0.25">
      <c r="A21" s="60">
        <v>94</v>
      </c>
      <c r="B21" s="56" t="s">
        <v>12</v>
      </c>
      <c r="C21" s="5">
        <f>VLOOKUP(B21,Log!$B$2:$C$8,2,)</f>
        <v>1</v>
      </c>
      <c r="D21" s="5">
        <v>18.52</v>
      </c>
      <c r="E21" s="34">
        <f>IF(OR(AND(B21="Motorbike",D21-D20&lt;Log!$C$13),AND(B21&lt;&gt;"Motorbike",D21-D20&lt;Log!$C$12)),0,IF(E20&lt;&gt;0,D21-D20,IF(E19=0,D21-D18,D21-D19)))</f>
        <v>2.5999999999999996</v>
      </c>
      <c r="F21" s="109">
        <f t="shared" si="4"/>
        <v>2.5999999999999996</v>
      </c>
      <c r="H21" s="73">
        <v>92</v>
      </c>
      <c r="I21" s="56" t="s">
        <v>12</v>
      </c>
      <c r="J21" s="5">
        <f>VLOOKUP(I21,Log!$B$2:$C$8,2,)</f>
        <v>1</v>
      </c>
      <c r="K21" s="5">
        <v>18.72</v>
      </c>
      <c r="L21" s="34">
        <f>IF(OR(AND(I21="Motorbike",K21-K20&lt;Log!$C$13),AND(I21&lt;&gt;"Motorbike",K21-K20&lt;Log!$C$12)),0,IF(L20&lt;&gt;0,K21-K20,IF(L19=0,K21-K18,K21-K19)))</f>
        <v>2.1199999999999974</v>
      </c>
      <c r="M21" s="109">
        <f t="shared" si="5"/>
        <v>2.1199999999999974</v>
      </c>
      <c r="N21" s="15"/>
      <c r="O21" s="60">
        <v>108</v>
      </c>
      <c r="P21" s="56" t="s">
        <v>13</v>
      </c>
      <c r="Q21" s="5">
        <f>VLOOKUP(P21,Log!$B$2:$C$8,2,)</f>
        <v>0.38</v>
      </c>
      <c r="R21" s="5">
        <v>17.12</v>
      </c>
      <c r="S21" s="34">
        <f>IF(OR(AND(P21="Motorbike",R21-R20&lt;Log!$C$13),AND(P21&lt;&gt;"Motorbike",R21-R20&lt;Log!$C$12)),0,IF(S20&lt;&gt;0,R21-R20,IF(S19=0,R21-R18,R21-R19)))</f>
        <v>0</v>
      </c>
      <c r="T21" s="109">
        <f t="shared" si="6"/>
        <v>0</v>
      </c>
    </row>
    <row r="22" spans="1:23" ht="15.75" thickBot="1" x14ac:dyDescent="0.3">
      <c r="A22" s="60">
        <v>99</v>
      </c>
      <c r="B22" s="56" t="s">
        <v>12</v>
      </c>
      <c r="C22" s="5">
        <f>VLOOKUP(B22,Log!$B$2:$C$8,2,)</f>
        <v>1</v>
      </c>
      <c r="D22" s="5">
        <v>20.440000000000001</v>
      </c>
      <c r="E22" s="34">
        <f>IF(OR(AND(B22="Motorbike",D22-D21&lt;Log!$C$13),AND(B22&lt;&gt;"Motorbike",D22-D21&lt;Log!$C$12)),0,IF(E21&lt;&gt;0,D22-D21,IF(E20=0,D22-D19,D22-D20)))</f>
        <v>1.9200000000000017</v>
      </c>
      <c r="F22" s="109">
        <f t="shared" si="4"/>
        <v>1.9200000000000017</v>
      </c>
      <c r="H22" s="66">
        <v>109</v>
      </c>
      <c r="I22" s="56" t="s">
        <v>12</v>
      </c>
      <c r="J22" s="5">
        <f>VLOOKUP(I22,Log!$B$2:$C$8,2,)</f>
        <v>1</v>
      </c>
      <c r="K22" s="5">
        <v>21.6</v>
      </c>
      <c r="L22" s="34">
        <f>IF(OR(AND(I22="Motorbike",K22-K21&lt;Log!$C$13),AND(I22&lt;&gt;"Motorbike",K22-K21&lt;Log!$C$12)),0,IF(L21&lt;&gt;0,K22-K21,IF(L20=0,K22-K19,K22-K20)))</f>
        <v>2.8800000000000026</v>
      </c>
      <c r="M22" s="109">
        <f t="shared" si="5"/>
        <v>2.8800000000000026</v>
      </c>
      <c r="N22" s="15"/>
      <c r="O22" s="60">
        <v>104</v>
      </c>
      <c r="P22" s="62" t="s">
        <v>12</v>
      </c>
      <c r="Q22" s="5">
        <f>VLOOKUP(P22,Log!$B$2:$C$8,2,)</f>
        <v>1</v>
      </c>
      <c r="R22" s="5">
        <v>18.600000000000001</v>
      </c>
      <c r="S22" s="34">
        <f>IF(OR(AND(P22="Motorbike",R22-R21&lt;Log!$C$13),AND(P22&lt;&gt;"Motorbike",R22-R21&lt;Log!$C$12)),0,IF(S21&lt;&gt;0,R22-R21,IF(S20=0,R22-R19,R22-R20)))</f>
        <v>1.5600000000000023</v>
      </c>
      <c r="T22" s="109">
        <f t="shared" si="6"/>
        <v>1.5600000000000023</v>
      </c>
    </row>
    <row r="23" spans="1:23" ht="15.75" thickBot="1" x14ac:dyDescent="0.3">
      <c r="A23" s="60">
        <v>134</v>
      </c>
      <c r="B23" s="56" t="s">
        <v>14</v>
      </c>
      <c r="C23" s="5">
        <f>VLOOKUP(B23,Log!$B$2:$C$8,2,)</f>
        <v>0.45</v>
      </c>
      <c r="D23" s="5">
        <v>21.84</v>
      </c>
      <c r="E23" s="34">
        <f>IF(OR(AND(B23="Motorbike",D23-D22&lt;Log!$C$13),AND(B23&lt;&gt;"Motorbike",D23-D22&lt;Log!$C$12)),0,IF(E22&lt;&gt;0,D23-D22,IF(E21=0,D23-D20,D23-D21)))</f>
        <v>1.3999999999999986</v>
      </c>
      <c r="F23" s="109">
        <f t="shared" si="4"/>
        <v>2.029999999999998</v>
      </c>
      <c r="H23" s="65">
        <v>136</v>
      </c>
      <c r="I23" s="56" t="s">
        <v>12</v>
      </c>
      <c r="J23" s="5">
        <f>VLOOKUP(I23,Log!$B$2:$C$8,2,)</f>
        <v>1</v>
      </c>
      <c r="K23" s="5">
        <v>25.92</v>
      </c>
      <c r="L23" s="34">
        <f>IF(OR(AND(I23="Motorbike",K23-K22&lt;Log!$C$13),AND(I23&lt;&gt;"Motorbike",K23-K22&lt;Log!$C$12)),0,IF(L22&lt;&gt;0,K23-K22,IF(L21=0,K23-K20,K23-K21)))</f>
        <v>4.32</v>
      </c>
      <c r="M23" s="34">
        <f t="shared" si="5"/>
        <v>6.2640000000000002</v>
      </c>
      <c r="N23" s="15"/>
      <c r="O23" s="61">
        <v>120</v>
      </c>
      <c r="P23" s="56" t="s">
        <v>28</v>
      </c>
      <c r="Q23" s="5">
        <f>VLOOKUP(P23,Log!$B$2:$C$8,2,)</f>
        <v>1.02</v>
      </c>
      <c r="R23" s="5">
        <v>19.84</v>
      </c>
      <c r="S23" s="34">
        <f>IF(OR(AND(P23="Motorbike",R23-R22&lt;Log!$C$13),AND(P23&lt;&gt;"Motorbike",R23-R22&lt;Log!$C$12)),0,IF(S22&lt;&gt;0,R23-R22,IF(S21=0,R23-R20,R23-R21)))</f>
        <v>1.2399999999999984</v>
      </c>
      <c r="T23" s="109">
        <f t="shared" si="6"/>
        <v>1.2647999999999984</v>
      </c>
    </row>
    <row r="24" spans="1:23" x14ac:dyDescent="0.25">
      <c r="A24" s="60">
        <v>112</v>
      </c>
      <c r="B24" s="56" t="s">
        <v>12</v>
      </c>
      <c r="C24" s="5">
        <f>VLOOKUP(B24,Log!$B$2:$C$8,2,)</f>
        <v>1</v>
      </c>
      <c r="D24" s="5">
        <v>22.32</v>
      </c>
      <c r="E24" s="34">
        <f>IF(OR(AND(B24="Motorbike",D24-D23&lt;Log!$C$13),AND(B24&lt;&gt;"Motorbike",D24-D23&lt;Log!$C$12)),0,IF(E23&lt;&gt;0,D24-D23,IF(E22=0,D24-D21,D24-D22)))</f>
        <v>0</v>
      </c>
      <c r="F24" s="109">
        <f t="shared" si="4"/>
        <v>0</v>
      </c>
      <c r="H24" s="73">
        <v>150</v>
      </c>
      <c r="I24" s="56" t="s">
        <v>14</v>
      </c>
      <c r="J24" s="5">
        <f>VLOOKUP(I24,Log!$B$2:$C$8,2,)</f>
        <v>0.45</v>
      </c>
      <c r="K24" s="5">
        <v>26</v>
      </c>
      <c r="L24" s="34">
        <f>IF(OR(AND(I24="Motorbike",K24-K23&lt;Log!$C$13),AND(I24&lt;&gt;"Motorbike",K24-K23&lt;Log!$C$12)),0,IF(L23&lt;&gt;0,K24-K23,IF(L22=0,K24-K21,K24-K22)))</f>
        <v>0</v>
      </c>
      <c r="M24" s="34">
        <f t="shared" si="5"/>
        <v>0</v>
      </c>
      <c r="N24" s="15"/>
      <c r="O24" s="58">
        <v>113</v>
      </c>
      <c r="P24" s="4" t="s">
        <v>12</v>
      </c>
      <c r="Q24" s="5">
        <f>VLOOKUP(P24,Log!$B$2:$C$8,2,)</f>
        <v>1</v>
      </c>
      <c r="R24" s="5">
        <v>25.4</v>
      </c>
      <c r="S24" s="34">
        <f>IF(OR(AND(P24="Motorbike",R24-R23&lt;Log!$C$13),AND(P24&lt;&gt;"Motorbike",R24-R23&lt;Log!$C$12)),0,IF(S23&lt;&gt;0,R24-R23,IF(S22=0,R24-R21,R24-R22)))</f>
        <v>5.5599999999999987</v>
      </c>
      <c r="T24" s="34">
        <f t="shared" si="6"/>
        <v>5.5599999999999987</v>
      </c>
    </row>
    <row r="25" spans="1:23" x14ac:dyDescent="0.25">
      <c r="A25" s="60">
        <v>143</v>
      </c>
      <c r="B25" s="56" t="s">
        <v>13</v>
      </c>
      <c r="C25" s="5">
        <f>VLOOKUP(B25,Log!$B$2:$C$8,2,)</f>
        <v>0.38</v>
      </c>
      <c r="D25" s="5">
        <v>23.52</v>
      </c>
      <c r="E25" s="34">
        <f>IF(OR(AND(B25="Motorbike",D25-D24&lt;Log!$C$13),AND(B25&lt;&gt;"Motorbike",D25-D24&lt;Log!$C$12)),0,IF(E24&lt;&gt;0,D25-D24,IF(E23=0,D25-D22,D25-D23)))</f>
        <v>1.6799999999999997</v>
      </c>
      <c r="F25" s="109">
        <f t="shared" si="4"/>
        <v>2.3183999999999996</v>
      </c>
      <c r="H25" s="73">
        <v>177</v>
      </c>
      <c r="I25" s="56" t="s">
        <v>13</v>
      </c>
      <c r="J25" s="5">
        <f>VLOOKUP(I25,Log!$B$2:$C$8,2,)</f>
        <v>0.38</v>
      </c>
      <c r="K25" s="5">
        <v>27.24</v>
      </c>
      <c r="L25" s="34">
        <f>IF(OR(AND(I25="Motorbike",K25-K24&lt;Log!$C$13),AND(I25&lt;&gt;"Motorbike",K25-K24&lt;Log!$C$12)),0,IF(L24&lt;&gt;0,K25-K24,IF(L23=0,K25-K22,K25-K23)))</f>
        <v>1.3199999999999967</v>
      </c>
      <c r="M25" s="34">
        <f t="shared" si="5"/>
        <v>1.8215999999999954</v>
      </c>
      <c r="N25" s="15"/>
      <c r="O25" s="4">
        <v>166</v>
      </c>
      <c r="P25" s="4" t="s">
        <v>14</v>
      </c>
      <c r="Q25" s="5">
        <f>VLOOKUP(P25,Log!$B$2:$C$8,2,)</f>
        <v>0.45</v>
      </c>
      <c r="R25" s="5">
        <v>27</v>
      </c>
      <c r="S25" s="34">
        <f>IF(OR(AND(P25="Motorbike",R25-R24&lt;Log!$C$13),AND(P25&lt;&gt;"Motorbike",R25-R24&lt;Log!$C$12)),0,IF(S24&lt;&gt;0,R25-R24,IF(S23=0,R25-R22,R25-R23)))</f>
        <v>1.6000000000000014</v>
      </c>
      <c r="T25" s="34">
        <f t="shared" si="6"/>
        <v>1.3280000000000014</v>
      </c>
    </row>
    <row r="26" spans="1:23" x14ac:dyDescent="0.25">
      <c r="A26" s="60">
        <v>130</v>
      </c>
      <c r="B26" s="56" t="s">
        <v>12</v>
      </c>
      <c r="C26" s="5">
        <f>VLOOKUP(B26,Log!$B$2:$C$8,2,)</f>
        <v>1</v>
      </c>
      <c r="D26" s="5">
        <v>24.12</v>
      </c>
      <c r="E26" s="34">
        <f>IF(OR(AND(B26="Motorbike",D26-D25&lt;Log!$C$13),AND(B26&lt;&gt;"Motorbike",D26-D25&lt;Log!$C$12)),0,IF(E25&lt;&gt;0,D26-D25,IF(E24=0,D26-D23,D26-D24)))</f>
        <v>0</v>
      </c>
      <c r="F26" s="109">
        <f t="shared" si="4"/>
        <v>0</v>
      </c>
      <c r="H26" s="73">
        <v>148</v>
      </c>
      <c r="I26" s="56" t="s">
        <v>12</v>
      </c>
      <c r="J26" s="5">
        <f>VLOOKUP(I26,Log!$B$2:$C$8,2,)</f>
        <v>1</v>
      </c>
      <c r="K26" s="5">
        <v>28.2</v>
      </c>
      <c r="L26" s="34">
        <f>IF(OR(AND(I26="Motorbike",K26-K25&lt;Log!$C$13),AND(I26&lt;&gt;"Motorbike",K26-K25&lt;Log!$C$12)),0,IF(L25&lt;&gt;0,K26-K25,IF(L24=0,K26-K23,K26-K24)))</f>
        <v>0</v>
      </c>
      <c r="M26" s="34">
        <f t="shared" si="5"/>
        <v>0</v>
      </c>
      <c r="N26" s="15"/>
      <c r="O26" s="4">
        <v>177</v>
      </c>
      <c r="P26" s="4" t="s">
        <v>13</v>
      </c>
      <c r="Q26" s="5">
        <f>VLOOKUP(P26,Log!$B$2:$C$8,2,)</f>
        <v>0.38</v>
      </c>
      <c r="R26" s="5">
        <v>27.44</v>
      </c>
      <c r="S26" s="34">
        <f>IF(OR(AND(P26="Motorbike",R26-R25&lt;Log!$C$13),AND(P26&lt;&gt;"Motorbike",R26-R25&lt;Log!$C$12)),0,IF(S25&lt;&gt;0,R26-R25,IF(S24=0,R26-R23,R26-R24)))</f>
        <v>0</v>
      </c>
      <c r="T26" s="34">
        <f t="shared" si="6"/>
        <v>0</v>
      </c>
    </row>
    <row r="27" spans="1:23" ht="15.75" thickBot="1" x14ac:dyDescent="0.3">
      <c r="A27" s="60">
        <v>138</v>
      </c>
      <c r="B27" s="56" t="s">
        <v>28</v>
      </c>
      <c r="C27" s="5">
        <f>VLOOKUP(B27,Log!$B$2:$C$8,2,)</f>
        <v>1.02</v>
      </c>
      <c r="D27" s="41">
        <v>25.52</v>
      </c>
      <c r="E27" s="34">
        <f>IF(OR(AND(B27="Motorbike",D27-D26&lt;Log!$C$13),AND(B27&lt;&gt;"Motorbike",D27-D26&lt;Log!$C$12)),0,IF(E26&lt;&gt;0,D27-D26,IF(E25=0,D27-D24,D27-D25)))</f>
        <v>2</v>
      </c>
      <c r="F27" s="109">
        <f t="shared" si="4"/>
        <v>2.8</v>
      </c>
      <c r="H27" s="66">
        <v>161</v>
      </c>
      <c r="I27" s="56" t="s">
        <v>12</v>
      </c>
      <c r="J27" s="5">
        <f>VLOOKUP(I27,Log!$B$2:$C$8,2,)</f>
        <v>1</v>
      </c>
      <c r="K27" s="5">
        <v>30</v>
      </c>
      <c r="L27" s="34">
        <f>IF(OR(AND(I27="Motorbike",K27-K26&lt;Log!$C$13),AND(I27&lt;&gt;"Motorbike",K27-K26&lt;Log!$C$12)),0,IF(L26&lt;&gt;0,K27-K26,IF(L25=0,K27-K24,K27-K25)))</f>
        <v>2.7600000000000016</v>
      </c>
      <c r="M27" s="34">
        <f t="shared" si="5"/>
        <v>2.7600000000000016</v>
      </c>
      <c r="N27" s="15"/>
      <c r="O27" s="4">
        <v>133</v>
      </c>
      <c r="P27" s="4" t="s">
        <v>12</v>
      </c>
      <c r="Q27" s="5">
        <f>VLOOKUP(P27,Log!$B$2:$C$8,2,)</f>
        <v>1</v>
      </c>
      <c r="R27" s="5">
        <v>28.6</v>
      </c>
      <c r="S27" s="34">
        <f>IF(OR(AND(P27="Motorbike",R27-R26&lt;Log!$C$13),AND(P27&lt;&gt;"Motorbike",R27-R26&lt;Log!$C$12)),0,IF(S26&lt;&gt;0,R27-R26,IF(S25=0,R27-R24,R27-R25)))</f>
        <v>1.6000000000000014</v>
      </c>
      <c r="T27" s="34">
        <f t="shared" si="6"/>
        <v>1.6000000000000014</v>
      </c>
    </row>
    <row r="28" spans="1:23" x14ac:dyDescent="0.25">
      <c r="A28" s="60">
        <v>147</v>
      </c>
      <c r="B28" s="62" t="s">
        <v>13</v>
      </c>
      <c r="C28" s="5">
        <f>VLOOKUP(B28,Log!$B$2:$C$8,2,)</f>
        <v>0.38</v>
      </c>
      <c r="D28" s="41">
        <v>25.72</v>
      </c>
      <c r="E28" s="34">
        <f>IF(OR(AND(B28="Motorbike",D28-D27&lt;Log!$C$13),AND(B28&lt;&gt;"Motorbike",D28-D27&lt;Log!$C$12)),0,IF(E27&lt;&gt;0,D28-D27,IF(E26=0,D28-D25,D28-D26)))</f>
        <v>0</v>
      </c>
      <c r="F28" s="109">
        <f t="shared" si="4"/>
        <v>0</v>
      </c>
      <c r="H28" s="64">
        <v>214</v>
      </c>
      <c r="I28" s="4" t="s">
        <v>12</v>
      </c>
      <c r="J28" s="5">
        <f>VLOOKUP(I28,Log!$B$2:$C$8,2,)</f>
        <v>1</v>
      </c>
      <c r="K28" s="5">
        <v>37.64</v>
      </c>
      <c r="L28" s="34">
        <f>IF(OR(AND(I28="Motorbike",K28-K27&lt;Log!$C$13),AND(I28&lt;&gt;"Motorbike",K28-K27&lt;Log!$C$12)),0,IF(L27&lt;&gt;0,K28-K27,IF(L26=0,K28-K25,K28-K26)))</f>
        <v>7.6400000000000006</v>
      </c>
      <c r="M28" s="34">
        <f t="shared" si="5"/>
        <v>7.6400000000000006</v>
      </c>
      <c r="N28" s="15"/>
      <c r="O28" s="4">
        <v>198</v>
      </c>
      <c r="P28" s="4" t="s">
        <v>13</v>
      </c>
      <c r="Q28" s="5">
        <f>VLOOKUP(P28,Log!$B$2:$C$8,2,)</f>
        <v>0.38</v>
      </c>
      <c r="R28" s="5">
        <v>30.64</v>
      </c>
      <c r="S28" s="34">
        <f>IF(OR(AND(P28="Motorbike",R28-R27&lt;Log!$C$13),AND(P28&lt;&gt;"Motorbike",R28-R27&lt;Log!$C$12)),0,IF(S27&lt;&gt;0,R28-R27,IF(S26=0,R28-R25,R28-R26)))</f>
        <v>2.0399999999999991</v>
      </c>
      <c r="T28" s="34">
        <f t="shared" si="6"/>
        <v>0.77519999999999967</v>
      </c>
    </row>
    <row r="29" spans="1:23" x14ac:dyDescent="0.25">
      <c r="A29" s="60">
        <v>180</v>
      </c>
      <c r="B29" s="56" t="s">
        <v>14</v>
      </c>
      <c r="C29" s="5">
        <f>VLOOKUP(B29,Log!$B$2:$C$8,2,)</f>
        <v>0.45</v>
      </c>
      <c r="D29" s="41">
        <v>27.2</v>
      </c>
      <c r="E29" s="34">
        <f>IF(OR(AND(B29="Motorbike",D29-D28&lt;Log!$C$13),AND(B29&lt;&gt;"Motorbike",D29-D28&lt;Log!$C$12)),0,IF(E28&lt;&gt;0,D29-D28,IF(E27=0,D29-D26,D29-D27)))</f>
        <v>1.6799999999999997</v>
      </c>
      <c r="F29" s="109">
        <f t="shared" si="4"/>
        <v>0.75599999999999989</v>
      </c>
      <c r="H29" s="16">
        <v>216</v>
      </c>
      <c r="I29" s="4" t="s">
        <v>12</v>
      </c>
      <c r="J29" s="5">
        <f>VLOOKUP(I29,Log!$B$2:$C$8,2,)</f>
        <v>1</v>
      </c>
      <c r="K29" s="5">
        <v>41.84</v>
      </c>
      <c r="L29" s="34">
        <f>IF(OR(AND(I29="Motorbike",K29-K28&lt;Log!$C$13),AND(I29&lt;&gt;"Motorbike",K29-K28&lt;Log!$C$12)),0,IF(L28&lt;&gt;0,K29-K28,IF(L27=0,K29-K26,K29-K27)))</f>
        <v>4.2000000000000028</v>
      </c>
      <c r="M29" s="34">
        <f t="shared" si="5"/>
        <v>4.2000000000000028</v>
      </c>
      <c r="N29" s="15"/>
      <c r="O29" s="4">
        <v>244</v>
      </c>
      <c r="P29" s="4" t="s">
        <v>12</v>
      </c>
      <c r="Q29" s="5">
        <f>VLOOKUP(P29,Log!$B$2:$C$8,2,)</f>
        <v>1</v>
      </c>
      <c r="R29" s="5">
        <v>35.24</v>
      </c>
      <c r="S29" s="34">
        <f>IF(OR(AND(P29="Motorbike",R29-R28&lt;Log!$C$13),AND(P29&lt;&gt;"Motorbike",R29-R28&lt;Log!$C$12)),0,IF(S28&lt;&gt;0,R29-R28,IF(S27=0,R29-R26,R29-R27)))</f>
        <v>4.6000000000000014</v>
      </c>
      <c r="T29" s="34">
        <f t="shared" si="6"/>
        <v>4.6000000000000014</v>
      </c>
      <c r="W29" s="11"/>
    </row>
    <row r="30" spans="1:23" x14ac:dyDescent="0.25">
      <c r="A30" s="60">
        <v>156</v>
      </c>
      <c r="B30" s="56" t="s">
        <v>14</v>
      </c>
      <c r="C30" s="5">
        <f>VLOOKUP(B30,Log!$B$2:$C$8,2,)</f>
        <v>0.45</v>
      </c>
      <c r="D30" s="41">
        <v>28.44</v>
      </c>
      <c r="E30" s="34">
        <f>IF(OR(AND(B30="Motorbike",D30-D29&lt;Log!$C$13),AND(B30&lt;&gt;"Motorbike",D30-D29&lt;Log!$C$12)),0,IF(E29&lt;&gt;0,D30-D29,IF(E28=0,D30-D27,D30-D28)))</f>
        <v>1.240000000000002</v>
      </c>
      <c r="F30" s="109">
        <f t="shared" si="4"/>
        <v>1.0292000000000017</v>
      </c>
      <c r="H30" s="16">
        <v>258</v>
      </c>
      <c r="I30" s="4" t="s">
        <v>12</v>
      </c>
      <c r="J30" s="5">
        <f>VLOOKUP(I30,Log!$B$2:$C$8,2,)</f>
        <v>1</v>
      </c>
      <c r="K30" s="5">
        <v>43.12</v>
      </c>
      <c r="L30" s="34">
        <f>IF(OR(AND(I30="Motorbike",K30-K29&lt;Log!$C$13),AND(I30&lt;&gt;"Motorbike",K30-K29&lt;Log!$C$12)),0,IF(L29&lt;&gt;0,K30-K29,IF(L28=0,K30-K27,K30-K28)))</f>
        <v>1.279999999999994</v>
      </c>
      <c r="M30" s="34">
        <f t="shared" si="5"/>
        <v>1.279999999999994</v>
      </c>
      <c r="N30" s="15"/>
      <c r="O30" s="4">
        <v>261</v>
      </c>
      <c r="P30" s="4" t="s">
        <v>12</v>
      </c>
      <c r="Q30" s="5">
        <f>VLOOKUP(P30,Log!$B$2:$C$8,2,)</f>
        <v>1</v>
      </c>
      <c r="R30" s="5">
        <v>39.92</v>
      </c>
      <c r="S30" s="34">
        <f>IF(OR(AND(P30="Motorbike",R30-R29&lt;Log!$C$13),AND(P30&lt;&gt;"Motorbike",R30-R29&lt;Log!$C$12)),0,IF(S29&lt;&gt;0,R30-R29,IF(S28=0,R30-R27,R30-R28)))</f>
        <v>4.68</v>
      </c>
      <c r="T30" s="34">
        <f t="shared" si="6"/>
        <v>4.68</v>
      </c>
      <c r="W30" s="11"/>
    </row>
    <row r="31" spans="1:23" x14ac:dyDescent="0.25">
      <c r="A31" s="60">
        <v>196</v>
      </c>
      <c r="B31" s="56" t="s">
        <v>13</v>
      </c>
      <c r="C31" s="5">
        <f>VLOOKUP(B31,Log!$B$2:$C$8,2,)</f>
        <v>0.38</v>
      </c>
      <c r="D31" s="41">
        <v>28.44</v>
      </c>
      <c r="E31" s="34">
        <f>IF(OR(AND(B31="Motorbike",D31-D30&lt;Log!$C$13),AND(B31&lt;&gt;"Motorbike",D31-D30&lt;Log!$C$12)),0,IF(E30&lt;&gt;0,D31-D30,IF(E29=0,D31-D28,D31-D29)))</f>
        <v>0</v>
      </c>
      <c r="F31" s="109">
        <f t="shared" si="4"/>
        <v>0</v>
      </c>
      <c r="H31" s="4">
        <v>260</v>
      </c>
      <c r="I31" s="4" t="s">
        <v>12</v>
      </c>
      <c r="J31" s="5">
        <f>VLOOKUP(I31,Log!$B$2:$C$8,2,)</f>
        <v>1</v>
      </c>
      <c r="K31" s="5">
        <v>45.12</v>
      </c>
      <c r="L31" s="34">
        <f>IF(OR(AND(I31="Motorbike",K31-K30&lt;Log!$C$13),AND(I31&lt;&gt;"Motorbike",K31-K30&lt;Log!$C$12)),0,IF(L30&lt;&gt;0,K31-K30,IF(L29=0,K31-K28,K31-K29)))</f>
        <v>2</v>
      </c>
      <c r="M31" s="34">
        <f t="shared" si="5"/>
        <v>2</v>
      </c>
      <c r="N31" s="15"/>
      <c r="O31" s="4">
        <v>216</v>
      </c>
      <c r="P31" s="4" t="s">
        <v>12</v>
      </c>
      <c r="Q31" s="5">
        <f>VLOOKUP(P31,Log!$B$2:$C$8,2,)</f>
        <v>1</v>
      </c>
      <c r="R31" s="5">
        <v>42.04</v>
      </c>
      <c r="S31" s="34">
        <f>IF(OR(AND(P31="Motorbike",R31-R30&lt;Log!$C$13),AND(P31&lt;&gt;"Motorbike",R31-R30&lt;Log!$C$12)),0,IF(S30&lt;&gt;0,R31-R30,IF(S29=0,R31-R28,R31-R29)))</f>
        <v>2.1199999999999974</v>
      </c>
      <c r="T31" s="34">
        <f t="shared" si="6"/>
        <v>2.1199999999999974</v>
      </c>
      <c r="W31" s="11"/>
    </row>
    <row r="32" spans="1:23" ht="15.75" thickBot="1" x14ac:dyDescent="0.3">
      <c r="A32" s="60">
        <v>169</v>
      </c>
      <c r="B32" s="56" t="s">
        <v>27</v>
      </c>
      <c r="C32" s="5">
        <f>VLOOKUP(B32,Log!$B$2:$C$8,2,)</f>
        <v>1.56</v>
      </c>
      <c r="D32" s="41">
        <v>30.64</v>
      </c>
      <c r="E32" s="110">
        <f>IF(OR(AND(B32="Motorbike",D32-D31&lt;Log!$C$13),AND(B32&lt;&gt;"Motorbike",D32-D31&lt;Log!$C$12)),0,IF(E31&lt;&gt;0,D32-D31,IF(E30=0,D32-D29,D32-D30)))</f>
        <v>2.1999999999999993</v>
      </c>
      <c r="F32" s="109">
        <f t="shared" si="4"/>
        <v>3.4319999999999991</v>
      </c>
      <c r="H32" s="15"/>
      <c r="I32" s="15"/>
      <c r="J32" s="15"/>
      <c r="K32" s="15"/>
      <c r="L32" s="15"/>
      <c r="M32" s="15"/>
      <c r="N32" s="15"/>
      <c r="O32" s="4">
        <v>292</v>
      </c>
      <c r="P32" s="4" t="s">
        <v>13</v>
      </c>
      <c r="Q32" s="5">
        <f>VLOOKUP(P32,Log!$B$2:$C$8,2,)</f>
        <v>0.38</v>
      </c>
      <c r="R32" s="5">
        <v>44.8</v>
      </c>
      <c r="S32" s="34">
        <f>IF(OR(AND(P32="Motorbike",R32-R31&lt;Log!$C$13),AND(P32&lt;&gt;"Motorbike",R32-R31&lt;Log!$C$12)),0,IF(S31&lt;&gt;0,R32-R31,IF(S30=0,R32-R29,R32-R30)))</f>
        <v>2.759999999999998</v>
      </c>
      <c r="T32" s="34">
        <f t="shared" si="6"/>
        <v>1.0487999999999993</v>
      </c>
      <c r="W32" s="11"/>
    </row>
    <row r="33" spans="1:23" ht="15.75" thickBot="1" x14ac:dyDescent="0.3">
      <c r="A33" s="60">
        <v>204</v>
      </c>
      <c r="B33" s="56" t="s">
        <v>13</v>
      </c>
      <c r="C33" s="5">
        <f>VLOOKUP(B33,Log!$B$2:$C$8,2,)</f>
        <v>0.38</v>
      </c>
      <c r="D33" s="113">
        <v>30.8</v>
      </c>
      <c r="E33" s="111">
        <f>D33-D32</f>
        <v>0.16000000000000014</v>
      </c>
      <c r="F33" s="112">
        <f t="shared" si="4"/>
        <v>0.12160000000000011</v>
      </c>
      <c r="H33" s="15"/>
      <c r="I33" s="15"/>
      <c r="J33" s="15"/>
      <c r="K33" s="15"/>
      <c r="L33" s="15"/>
      <c r="M33" s="15"/>
      <c r="N33" s="15"/>
      <c r="W33" s="11"/>
    </row>
    <row r="34" spans="1:23" x14ac:dyDescent="0.25">
      <c r="A34" s="60">
        <v>208</v>
      </c>
      <c r="B34" s="56" t="s">
        <v>13</v>
      </c>
      <c r="C34" s="5">
        <f>VLOOKUP(B34,Log!$B$2:$C$8,2,)</f>
        <v>0.38</v>
      </c>
      <c r="D34" s="41">
        <v>31.32</v>
      </c>
      <c r="E34" s="108">
        <f>IF(OR(AND(B34="Motorbike",D34-D33&lt;Log!$C$13),AND(B34&lt;&gt;"Motorbike",D34-D33&lt;Log!$C$12)),0,IF(E33&lt;&gt;0,D34-D33,IF(E32=0,D34-D31,D34-D32)))</f>
        <v>0</v>
      </c>
      <c r="F34" s="109">
        <f t="shared" si="4"/>
        <v>0</v>
      </c>
      <c r="H34" s="15"/>
      <c r="I34" s="15"/>
      <c r="J34" s="15"/>
      <c r="K34" s="15"/>
      <c r="L34" s="15"/>
      <c r="M34" s="15"/>
      <c r="N34" s="15"/>
      <c r="W34" s="11"/>
    </row>
    <row r="35" spans="1:23" x14ac:dyDescent="0.25">
      <c r="A35" s="60">
        <v>226</v>
      </c>
      <c r="B35" s="56" t="s">
        <v>12</v>
      </c>
      <c r="C35" s="5">
        <f>VLOOKUP(B35,Log!$B$2:$C$8,2,)</f>
        <v>1</v>
      </c>
      <c r="D35" s="41">
        <v>32.72</v>
      </c>
      <c r="E35" s="34">
        <f>IF(OR(AND(B35="Motorbike",D35-D34&lt;Log!$C$13),AND(B35&lt;&gt;"Motorbike",D35-D34&lt;Log!$C$12)),0,IF(E34&lt;&gt;0,D35-D34,IF(E33=0,D35-D32,D35-D33)))</f>
        <v>1.9199999999999982</v>
      </c>
      <c r="F35" s="109">
        <f t="shared" si="4"/>
        <v>3.8783999999999965</v>
      </c>
      <c r="W35" s="11"/>
    </row>
    <row r="36" spans="1:23" ht="15.75" thickBot="1" x14ac:dyDescent="0.3">
      <c r="A36" s="61">
        <v>170</v>
      </c>
      <c r="B36" s="56" t="s">
        <v>28</v>
      </c>
      <c r="C36" s="5">
        <f>VLOOKUP(B36,Log!$B$2:$C$8,2,)</f>
        <v>1.02</v>
      </c>
      <c r="D36" s="41">
        <v>33.6</v>
      </c>
      <c r="E36" s="34">
        <f>IF(OR(AND(B36="Motorbike",D36-D35&lt;Log!$C$13),AND(B36&lt;&gt;"Motorbike",D36-D35&lt;Log!$C$12)),0,IF(E35&lt;&gt;0,D36-D35,IF(E34=0,D36-D33,D36-D34)))</f>
        <v>0</v>
      </c>
      <c r="F36" s="109">
        <f t="shared" si="4"/>
        <v>0</v>
      </c>
      <c r="W36" s="11"/>
    </row>
    <row r="37" spans="1:23" x14ac:dyDescent="0.25">
      <c r="A37" s="58">
        <v>237</v>
      </c>
      <c r="B37" s="4" t="s">
        <v>12</v>
      </c>
      <c r="C37" s="5">
        <f>VLOOKUP(B37,Log!$B$2:$C$8,2,)</f>
        <v>1</v>
      </c>
      <c r="D37" s="41">
        <v>35.4</v>
      </c>
      <c r="E37" s="34">
        <f>IF(OR(AND(B37="Motorbike",D37-D36&lt;Log!$C$13),AND(B37&lt;&gt;"Motorbike",D37-D36&lt;Log!$C$12)),0,IF(E36&lt;&gt;0,D37-D36,IF(E35=0,D37-D34,D37-D35)))</f>
        <v>2.6799999999999997</v>
      </c>
      <c r="F37" s="34">
        <f t="shared" si="4"/>
        <v>3.6983999999999995</v>
      </c>
      <c r="W37" s="11"/>
    </row>
    <row r="38" spans="1:23" x14ac:dyDescent="0.25">
      <c r="A38" s="4">
        <v>250</v>
      </c>
      <c r="B38" s="4" t="s">
        <v>13</v>
      </c>
      <c r="C38" s="5">
        <f>VLOOKUP(B38,Log!$B$2:$C$8,2,)</f>
        <v>0.38</v>
      </c>
      <c r="D38" s="41">
        <v>35.520000000000003</v>
      </c>
      <c r="E38" s="34">
        <f>IF(OR(AND(B38="Motorbike",D38-D37&lt;Log!$C$13),AND(B38&lt;&gt;"Motorbike",D38-D37&lt;Log!$C$12)),0,IF(E37&lt;&gt;0,D38-D37,IF(E36=0,D38-D35,D38-D36)))</f>
        <v>0</v>
      </c>
      <c r="F38" s="34">
        <f t="shared" si="4"/>
        <v>0</v>
      </c>
      <c r="W38" s="11"/>
    </row>
    <row r="39" spans="1:23" x14ac:dyDescent="0.25">
      <c r="A39" s="4">
        <v>218</v>
      </c>
      <c r="B39" s="4" t="s">
        <v>12</v>
      </c>
      <c r="C39" s="5">
        <f>VLOOKUP(B39,Log!$B$2:$C$8,2,)</f>
        <v>1</v>
      </c>
      <c r="D39" s="41">
        <v>37.32</v>
      </c>
      <c r="E39" s="34">
        <f>IF(OR(AND(B39="Motorbike",D39-D38&lt;Log!$C$13),AND(B39&lt;&gt;"Motorbike",D39-D38&lt;Log!$C$12)),0,IF(E38&lt;&gt;0,D39-D38,IF(E37=0,D39-D36,D39-D37)))</f>
        <v>1.9200000000000017</v>
      </c>
      <c r="F39" s="34">
        <f t="shared" si="4"/>
        <v>1.9200000000000017</v>
      </c>
      <c r="W39" s="11"/>
    </row>
    <row r="40" spans="1:23" x14ac:dyDescent="0.25">
      <c r="A40" s="4">
        <v>255</v>
      </c>
      <c r="B40" s="4" t="s">
        <v>13</v>
      </c>
      <c r="C40" s="5">
        <f>VLOOKUP(B40,Log!$B$2:$C$8,2,)</f>
        <v>0.38</v>
      </c>
      <c r="D40" s="41">
        <v>38.6</v>
      </c>
      <c r="E40" s="34">
        <f>IF(OR(AND(B40="Motorbike",D40-D39&lt;Log!$C$13),AND(B40&lt;&gt;"Motorbike",D40-D39&lt;Log!$C$12)),0,IF(E39&lt;&gt;0,D40-D39,IF(E38=0,D40-D37,D40-D38)))</f>
        <v>1.2800000000000011</v>
      </c>
      <c r="F40" s="34">
        <f t="shared" si="4"/>
        <v>0.48640000000000044</v>
      </c>
      <c r="W40" s="11"/>
    </row>
    <row r="41" spans="1:23" x14ac:dyDescent="0.25">
      <c r="A41" s="4">
        <v>285</v>
      </c>
      <c r="B41" s="4" t="s">
        <v>13</v>
      </c>
      <c r="C41" s="5">
        <f>VLOOKUP(B41,Log!$B$2:$C$8,2,)</f>
        <v>0.38</v>
      </c>
      <c r="D41" s="41">
        <v>39.64</v>
      </c>
      <c r="E41" s="34">
        <f>IF(OR(AND(B41="Motorbike",D41-D40&lt;Log!$C$13),AND(B41&lt;&gt;"Motorbike",D41-D40&lt;Log!$C$12)),0,IF(E40&lt;&gt;0,D41-D40,IF(E39=0,D41-D38,D41-D39)))</f>
        <v>1.0399999999999991</v>
      </c>
      <c r="F41" s="34">
        <f t="shared" si="4"/>
        <v>0.39519999999999966</v>
      </c>
      <c r="N41" s="44"/>
      <c r="W41" s="11"/>
    </row>
    <row r="42" spans="1:23" x14ac:dyDescent="0.25">
      <c r="A42" s="4">
        <v>236</v>
      </c>
      <c r="B42" s="4" t="s">
        <v>12</v>
      </c>
      <c r="C42" s="5">
        <f>VLOOKUP(B42,Log!$B$2:$C$8,2,)</f>
        <v>1</v>
      </c>
      <c r="D42" s="41">
        <v>40.92</v>
      </c>
      <c r="E42" s="34">
        <f>IF(OR(AND(B42="Motorbike",D42-D41&lt;Log!$C$13),AND(B42&lt;&gt;"Motorbike",D42-D41&lt;Log!$C$12)),0,IF(E41&lt;&gt;0,D42-D41,IF(E40=0,D42-D39,D42-D40)))</f>
        <v>1.2800000000000011</v>
      </c>
      <c r="F42" s="34">
        <f t="shared" si="4"/>
        <v>1.2800000000000011</v>
      </c>
      <c r="W42" s="11"/>
    </row>
    <row r="43" spans="1:23" x14ac:dyDescent="0.25">
      <c r="A43" s="4">
        <v>246</v>
      </c>
      <c r="B43" s="4" t="s">
        <v>12</v>
      </c>
      <c r="C43" s="5">
        <f>VLOOKUP(B43,Log!$B$2:$C$8,2,)</f>
        <v>1</v>
      </c>
      <c r="D43" s="41">
        <v>42.44</v>
      </c>
      <c r="E43" s="34">
        <f>IF(OR(AND(B43="Motorbike",D43-D42&lt;Log!$C$13),AND(B43&lt;&gt;"Motorbike",D43-D42&lt;Log!$C$12)),0,IF(E42&lt;&gt;0,D43-D42,IF(E41=0,D43-D40,D43-D41)))</f>
        <v>1.519999999999996</v>
      </c>
      <c r="F43" s="34">
        <f t="shared" si="4"/>
        <v>1.519999999999996</v>
      </c>
      <c r="S43" s="128"/>
      <c r="T43" s="128"/>
      <c r="W43" s="11"/>
    </row>
    <row r="44" spans="1:23" x14ac:dyDescent="0.25">
      <c r="S44" s="129"/>
      <c r="T44" s="129"/>
      <c r="W44" s="11"/>
    </row>
  </sheetData>
  <mergeCells count="4">
    <mergeCell ref="C1:D1"/>
    <mergeCell ref="A11:F11"/>
    <mergeCell ref="H11:M11"/>
    <mergeCell ref="O11:T11"/>
  </mergeCells>
  <conditionalFormatting sqref="E13">
    <cfRule type="cellIs" dxfId="99" priority="34" operator="greaterThan">
      <formula>4</formula>
    </cfRule>
  </conditionalFormatting>
  <conditionalFormatting sqref="E14:E43">
    <cfRule type="cellIs" dxfId="98" priority="16" operator="greaterThanOrEqual">
      <formula>4</formula>
    </cfRule>
  </conditionalFormatting>
  <conditionalFormatting sqref="F14:F43">
    <cfRule type="cellIs" dxfId="97" priority="18" operator="greaterThan">
      <formula>4</formula>
    </cfRule>
  </conditionalFormatting>
  <conditionalFormatting sqref="L13">
    <cfRule type="cellIs" dxfId="96" priority="36" operator="greaterThan">
      <formula>4</formula>
    </cfRule>
  </conditionalFormatting>
  <conditionalFormatting sqref="L14:L31">
    <cfRule type="cellIs" dxfId="95" priority="9" operator="greaterThanOrEqual">
      <formula>4</formula>
    </cfRule>
  </conditionalFormatting>
  <conditionalFormatting sqref="M15:M31">
    <cfRule type="cellIs" dxfId="94" priority="11" operator="greaterThan">
      <formula>4</formula>
    </cfRule>
  </conditionalFormatting>
  <conditionalFormatting sqref="S13">
    <cfRule type="cellIs" dxfId="93" priority="32" operator="greaterThan">
      <formula>4</formula>
    </cfRule>
  </conditionalFormatting>
  <conditionalFormatting sqref="S14:S32">
    <cfRule type="cellIs" dxfId="92" priority="2" operator="greaterThanOrEqual">
      <formula>4</formula>
    </cfRule>
  </conditionalFormatting>
  <conditionalFormatting sqref="T14:T32">
    <cfRule type="cellIs" dxfId="91" priority="4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2795B0F7-C1D9-4444-990C-F99B808A8937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E14:E43</xm:sqref>
        </x14:conditionalFormatting>
        <x14:conditionalFormatting xmlns:xm="http://schemas.microsoft.com/office/excel/2006/main">
          <x14:cfRule type="expression" priority="15" id="{A091B314-6404-4430-B771-0233373C428F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E15:E43</xm:sqref>
        </x14:conditionalFormatting>
        <x14:conditionalFormatting xmlns:xm="http://schemas.microsoft.com/office/excel/2006/main">
          <x14:cfRule type="expression" priority="37" id="{7A04B965-0DA7-46CD-883A-99F681BA85E2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L14:L15</xm:sqref>
        </x14:conditionalFormatting>
        <x14:conditionalFormatting xmlns:xm="http://schemas.microsoft.com/office/excel/2006/main">
          <x14:cfRule type="expression" priority="10" id="{BD3C7626-F98E-4949-8DB1-924AD6F36AF4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L14:L31</xm:sqref>
        </x14:conditionalFormatting>
        <x14:conditionalFormatting xmlns:xm="http://schemas.microsoft.com/office/excel/2006/main">
          <x14:cfRule type="expression" priority="8" id="{727DDD64-431C-4578-AA38-1EA7D62FAFE4}">
            <xm:f>AND(OFFSET(L16,0,-3)="Motorbike", L16&lt;Log!$C$13)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L16:L31</xm:sqref>
        </x14:conditionalFormatting>
        <x14:conditionalFormatting xmlns:xm="http://schemas.microsoft.com/office/excel/2006/main">
          <x14:cfRule type="expression" priority="38" id="{CCBD3031-6B80-4E7D-A2F2-1952C0D0532B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S14:S15</xm:sqref>
        </x14:conditionalFormatting>
        <x14:conditionalFormatting xmlns:xm="http://schemas.microsoft.com/office/excel/2006/main">
          <x14:cfRule type="expression" priority="3" id="{1081F9EE-889F-432F-9A20-47B9CA627F52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S14:S32</xm:sqref>
        </x14:conditionalFormatting>
        <x14:conditionalFormatting xmlns:xm="http://schemas.microsoft.com/office/excel/2006/main">
          <x14:cfRule type="expression" priority="1" id="{BEA64E18-354A-4ECB-9AA0-756773008FC8}">
            <xm:f>AND(OFFSET(S15,0,-3)="Motorbike", S15&lt;Log!$C$13)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S15:S32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6111-4504-4992-9B3D-979962F4D1D7}">
  <sheetPr codeName="Sheet11"/>
  <dimension ref="A1:W71"/>
  <sheetViews>
    <sheetView zoomScaleNormal="100"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1" ht="15.75" x14ac:dyDescent="0.25">
      <c r="C1" s="155" t="s">
        <v>35</v>
      </c>
      <c r="D1" s="155"/>
      <c r="E1" s="35" t="s">
        <v>79</v>
      </c>
      <c r="F1" s="35"/>
      <c r="G1" s="35"/>
      <c r="H1" s="35"/>
      <c r="I1" s="35"/>
      <c r="J1" s="35"/>
    </row>
    <row r="2" spans="1:21" x14ac:dyDescent="0.25">
      <c r="S2" s="142"/>
      <c r="T2" s="142"/>
    </row>
    <row r="3" spans="1:21" x14ac:dyDescent="0.25">
      <c r="A3" s="4" t="s">
        <v>12</v>
      </c>
      <c r="B3" s="144">
        <f>100*COUNTIF($B$13:$B$43,A3)/COUNTA($B$13:$B$43)</f>
        <v>67.857142857142861</v>
      </c>
      <c r="H3" s="4" t="s">
        <v>12</v>
      </c>
      <c r="I3" s="144">
        <f>100*COUNTIF($I$13:$I$35,H3)/COUNTA($I$13:$I$35)</f>
        <v>65.217391304347828</v>
      </c>
      <c r="L3" s="44"/>
      <c r="M3" s="44"/>
      <c r="O3" s="4" t="s">
        <v>12</v>
      </c>
      <c r="P3" s="144">
        <f>100*COUNTIF($P$13:$P$38,O3)/COUNTA($P$13:$P$38)</f>
        <v>52.173913043478258</v>
      </c>
      <c r="S3" s="128"/>
      <c r="T3" s="128"/>
    </row>
    <row r="4" spans="1:21" x14ac:dyDescent="0.25">
      <c r="A4" s="4" t="s">
        <v>14</v>
      </c>
      <c r="B4" s="144">
        <f t="shared" ref="B4:B6" si="0">100*COUNTIF($B$13:$B$43,A4)/COUNTA($B$13:$B$43)</f>
        <v>7.1428571428571432</v>
      </c>
      <c r="H4" s="4" t="s">
        <v>14</v>
      </c>
      <c r="I4" s="144">
        <f t="shared" ref="I4:I6" si="1">100*COUNTIF($I$13:$I$35,H4)/COUNTA($I$13:$I$35)</f>
        <v>13.043478260869565</v>
      </c>
      <c r="L4" s="131"/>
      <c r="M4" s="131"/>
      <c r="O4" s="4" t="s">
        <v>14</v>
      </c>
      <c r="P4" s="144">
        <f t="shared" ref="P4:P6" si="2">100*COUNTIF($P$13:$P$38,O4)/COUNTA($P$13:$P$38)</f>
        <v>26.086956521739129</v>
      </c>
      <c r="S4" s="129"/>
      <c r="T4" s="129"/>
    </row>
    <row r="5" spans="1:21" x14ac:dyDescent="0.25">
      <c r="A5" s="4" t="s">
        <v>13</v>
      </c>
      <c r="B5" s="144">
        <f t="shared" si="0"/>
        <v>21.428571428571427</v>
      </c>
      <c r="E5" s="29" t="s">
        <v>32</v>
      </c>
      <c r="F5" s="29" t="s">
        <v>31</v>
      </c>
      <c r="H5" s="4" t="s">
        <v>13</v>
      </c>
      <c r="I5" s="144">
        <f t="shared" si="1"/>
        <v>17.391304347826086</v>
      </c>
      <c r="L5" s="29" t="s">
        <v>32</v>
      </c>
      <c r="M5" s="29" t="s">
        <v>31</v>
      </c>
      <c r="O5" s="4" t="s">
        <v>13</v>
      </c>
      <c r="P5" s="144">
        <f t="shared" si="2"/>
        <v>21.739130434782609</v>
      </c>
      <c r="S5" s="29" t="s">
        <v>32</v>
      </c>
      <c r="T5" s="29" t="s">
        <v>31</v>
      </c>
    </row>
    <row r="6" spans="1:21" x14ac:dyDescent="0.25">
      <c r="A6" s="4" t="s">
        <v>28</v>
      </c>
      <c r="B6" s="144">
        <f t="shared" si="0"/>
        <v>3.5714285714285716</v>
      </c>
      <c r="D6" s="30" t="s">
        <v>136</v>
      </c>
      <c r="E6" s="26">
        <f>COUNTA(B13:B40)*3600/D40</f>
        <v>2307.6923076923076</v>
      </c>
      <c r="F6" s="26">
        <f>SUM(C13:C40)*3600/D40</f>
        <v>1912.0879120879122</v>
      </c>
      <c r="H6" s="4" t="s">
        <v>28</v>
      </c>
      <c r="I6" s="144">
        <f t="shared" si="1"/>
        <v>4.3478260869565215</v>
      </c>
      <c r="K6" s="30" t="s">
        <v>136</v>
      </c>
      <c r="L6" s="26">
        <f>COUNTA(I13:I35)*3600/K35</f>
        <v>2221.0300429184549</v>
      </c>
      <c r="M6" s="26">
        <f>SUM(J13:J35)*3600/K35</f>
        <v>1824.141630901287</v>
      </c>
      <c r="O6" s="4" t="s">
        <v>28</v>
      </c>
      <c r="P6" s="144">
        <f t="shared" si="2"/>
        <v>0</v>
      </c>
      <c r="R6" s="30" t="s">
        <v>136</v>
      </c>
      <c r="S6" s="26">
        <f>COUNTA(P13:P35)*3600/R35</f>
        <v>2233.009708737864</v>
      </c>
      <c r="T6" s="26">
        <f>SUM(Q13:Q35)*3600/R35</f>
        <v>1611.6504854368934</v>
      </c>
      <c r="U6" s="131">
        <f>SUM(F6,M6,T6)</f>
        <v>5347.8800284260924</v>
      </c>
    </row>
    <row r="7" spans="1:21" x14ac:dyDescent="0.25">
      <c r="D7" s="30" t="s">
        <v>30</v>
      </c>
      <c r="E7" s="25">
        <f>SUM(E21:E26)</f>
        <v>7.9599999999999991</v>
      </c>
      <c r="F7" s="25">
        <f>SUM(F21:F26)</f>
        <v>6.3779999999999983</v>
      </c>
      <c r="K7" s="30" t="s">
        <v>30</v>
      </c>
      <c r="L7" s="25">
        <f>SUM(L14:L37)</f>
        <v>35.400000000000006</v>
      </c>
      <c r="M7" s="25">
        <f>SUM(M14:M37)</f>
        <v>31.798800000000004</v>
      </c>
      <c r="O7" s="4" t="s">
        <v>15</v>
      </c>
      <c r="P7" s="144">
        <f t="shared" ref="P7:P8" si="3">100*COUNTIF($P$13:$P$39,O7)/COUNTA($P$13:$P$39)</f>
        <v>0</v>
      </c>
      <c r="R7" s="30" t="s">
        <v>20</v>
      </c>
      <c r="S7" s="25">
        <f>SUM(S14:S36)</f>
        <v>33.479999999999997</v>
      </c>
      <c r="T7" s="25">
        <f>SUM(T14:T36)</f>
        <v>31.875199999999992</v>
      </c>
    </row>
    <row r="8" spans="1:21" ht="15.75" thickBot="1" x14ac:dyDescent="0.3">
      <c r="D8" s="30" t="s">
        <v>21</v>
      </c>
      <c r="E8" s="28">
        <f>AVERAGEIF(E14:E40,"&lt;&gt;0")</f>
        <v>1.82</v>
      </c>
      <c r="F8" s="28">
        <f>AVERAGEIF(F16:F40,"&lt;&gt;0")</f>
        <v>1.6350363636363634</v>
      </c>
      <c r="K8" s="30" t="s">
        <v>21</v>
      </c>
      <c r="L8" s="28">
        <f>AVERAGEIF(L14:L35,"&lt;&gt;0")</f>
        <v>1.7700000000000002</v>
      </c>
      <c r="M8" s="28">
        <f>AVERAGEIF(M17:M35,"&lt;&gt;0")</f>
        <v>1.6843333333333337</v>
      </c>
      <c r="O8" s="4" t="s">
        <v>33</v>
      </c>
      <c r="P8" s="144">
        <f t="shared" si="3"/>
        <v>0</v>
      </c>
      <c r="R8" s="30" t="s">
        <v>21</v>
      </c>
      <c r="S8" s="28">
        <f>AVERAGEIF(S14:S36,"&lt;&gt;0")</f>
        <v>2.0924999999999998</v>
      </c>
      <c r="T8" s="28">
        <f>AVERAGEIF(T14:T35,"&lt;&gt;0")</f>
        <v>1.9921999999999995</v>
      </c>
    </row>
    <row r="9" spans="1:21" ht="15.75" thickBot="1" x14ac:dyDescent="0.3">
      <c r="D9" s="30" t="s">
        <v>7</v>
      </c>
      <c r="E9" s="27">
        <f>3600/E8</f>
        <v>1978.0219780219779</v>
      </c>
      <c r="F9" s="31">
        <f>3600/F8</f>
        <v>2201.7858930021021</v>
      </c>
      <c r="K9" s="30" t="s">
        <v>7</v>
      </c>
      <c r="L9" s="27">
        <f>3600/L8</f>
        <v>2033.8983050847455</v>
      </c>
      <c r="M9" s="31">
        <f>3600/M8</f>
        <v>2137.344151988917</v>
      </c>
      <c r="R9" s="30" t="s">
        <v>7</v>
      </c>
      <c r="S9" s="27">
        <f>3600/S8</f>
        <v>1720.4301075268818</v>
      </c>
      <c r="T9" s="31">
        <f>3600/T8</f>
        <v>1807.0474851922502</v>
      </c>
    </row>
    <row r="11" spans="1:21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1" ht="56.25" customHeight="1" thickBot="1" x14ac:dyDescent="0.3">
      <c r="A12" s="57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3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3" t="s">
        <v>17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1" x14ac:dyDescent="0.25">
      <c r="A13" s="118">
        <v>2</v>
      </c>
      <c r="B13" s="115" t="s">
        <v>12</v>
      </c>
      <c r="C13" s="117">
        <f>VLOOKUP(B13,Log!$B$2:$C$8,2,)</f>
        <v>1</v>
      </c>
      <c r="D13" s="117">
        <v>0</v>
      </c>
      <c r="E13" s="119">
        <v>0</v>
      </c>
      <c r="F13" s="119">
        <v>0</v>
      </c>
      <c r="H13" s="114">
        <v>9</v>
      </c>
      <c r="I13" s="115" t="s">
        <v>13</v>
      </c>
      <c r="J13" s="117">
        <f>VLOOKUP(I13,Log!$B$2:$C$8,2,)</f>
        <v>0.38</v>
      </c>
      <c r="K13" s="118">
        <v>1.48</v>
      </c>
      <c r="L13" s="119">
        <v>0</v>
      </c>
      <c r="M13" s="119">
        <v>0</v>
      </c>
      <c r="N13" s="15"/>
      <c r="O13" s="114">
        <v>8</v>
      </c>
      <c r="P13" s="115" t="s">
        <v>14</v>
      </c>
      <c r="Q13" s="117">
        <f>VLOOKUP(P13,Log!$B$2:$C$8,2,)</f>
        <v>0.45</v>
      </c>
      <c r="R13" s="118">
        <v>3.6</v>
      </c>
      <c r="S13" s="119">
        <v>0</v>
      </c>
      <c r="T13" s="119">
        <v>0</v>
      </c>
    </row>
    <row r="14" spans="1:21" ht="15.75" thickBot="1" x14ac:dyDescent="0.3">
      <c r="A14" s="120">
        <v>3</v>
      </c>
      <c r="B14" s="115" t="s">
        <v>12</v>
      </c>
      <c r="C14" s="117">
        <f>VLOOKUP(B14,Log!$B$2:$C$8,2,)</f>
        <v>1</v>
      </c>
      <c r="D14" s="117">
        <v>2.8</v>
      </c>
      <c r="E14" s="119">
        <f>IF(OR(AND(B14="Motorbike",D14-D13&lt;Log!$C$13),AND(B14&lt;&gt;"Motorbike",D14-D13&lt;Log!$C$12)),0,D14-D13)</f>
        <v>2.8</v>
      </c>
      <c r="F14" s="119">
        <f>IF(E15&lt;&gt;0,C14*E14,IF(E16=0,(C14+C15+C16)*E14,(C14+C15)*E14))</f>
        <v>2.8</v>
      </c>
      <c r="H14" s="116">
        <v>17</v>
      </c>
      <c r="I14" s="115" t="s">
        <v>13</v>
      </c>
      <c r="J14" s="117">
        <f>VLOOKUP(I14,Log!$B$2:$C$8,2,)</f>
        <v>0.38</v>
      </c>
      <c r="K14" s="118">
        <v>1.88</v>
      </c>
      <c r="L14" s="119">
        <f>IF(OR(AND(I14="Motorbike",K14-K13&lt;Log!$C$13),AND(I14&lt;&gt;"Motorbike",K14-K13&lt;Log!$C$12)),0,K14-K13)</f>
        <v>0</v>
      </c>
      <c r="M14" s="119">
        <f>IF(L15&lt;&gt;0,J14*L14,IF(L16=0,(J14+J15+J16)*L14,(J14+J15)*L14))</f>
        <v>0</v>
      </c>
      <c r="N14" s="15"/>
      <c r="O14" s="73">
        <v>56</v>
      </c>
      <c r="P14" s="62" t="s">
        <v>13</v>
      </c>
      <c r="Q14" s="5">
        <f>VLOOKUP(P14,Log!$B$2:$C$8,2,)</f>
        <v>0.38</v>
      </c>
      <c r="R14" s="4">
        <v>4.5999999999999996</v>
      </c>
      <c r="S14" s="34">
        <f>IF(OR(AND(P14="Motorbike",R14-R13&lt;Log!$C$13),AND(P14&lt;&gt;"Motorbike",R14-R13&lt;Log!$C$12)),0,R14-R13)</f>
        <v>0.99999999999999956</v>
      </c>
      <c r="T14" s="109">
        <f t="shared" ref="T14:T34" si="4">IF(S15&lt;&gt;0,Q14*S14,IF(S16=0,(Q14+Q15+Q16)*S14,(Q14+Q15)*S14))</f>
        <v>0.37999999999999984</v>
      </c>
    </row>
    <row r="15" spans="1:21" x14ac:dyDescent="0.25">
      <c r="A15" s="114">
        <v>10</v>
      </c>
      <c r="B15" s="115" t="s">
        <v>12</v>
      </c>
      <c r="C15" s="117">
        <f>VLOOKUP(B15,Log!$B$2:$C$8,2,)</f>
        <v>1</v>
      </c>
      <c r="D15" s="117">
        <v>5.92</v>
      </c>
      <c r="E15" s="119">
        <f>IF(OR(AND(B15="Motorbike",D15-D14&lt;Log!$C$13),AND(B15&lt;&gt;"Motorbike",D15-D14&lt;Log!$C$12)),0,D15-D14)</f>
        <v>3.12</v>
      </c>
      <c r="F15" s="119">
        <f t="shared" ref="F15:F40" si="5">IF(E16&lt;&gt;0,C15*E15,IF(E17=0,(C15+C16+C17)*E15,(C15+C16)*E15))</f>
        <v>3.12</v>
      </c>
      <c r="H15" s="116">
        <v>3</v>
      </c>
      <c r="I15" s="115" t="s">
        <v>12</v>
      </c>
      <c r="J15" s="117">
        <f>VLOOKUP(I15,Log!$B$2:$C$8,2,)</f>
        <v>1</v>
      </c>
      <c r="K15" s="118">
        <v>2.92</v>
      </c>
      <c r="L15" s="119">
        <f>IF(OR(AND(I15="Motorbike",K15-K14&lt;Log!$C$13),AND(I15&lt;&gt;"Motorbike",K15-K14&lt;Log!$C$12)),0,K15-K14)</f>
        <v>1.04</v>
      </c>
      <c r="M15" s="119">
        <f t="shared" ref="M15:M35" si="6">IF(L16&lt;&gt;0,J15*L15,IF(L17=0,(J15+J16+J17)*L15,(J15+J16)*L15))</f>
        <v>1.04</v>
      </c>
      <c r="N15" s="15"/>
      <c r="O15" s="60">
        <v>38</v>
      </c>
      <c r="P15" s="56" t="s">
        <v>13</v>
      </c>
      <c r="Q15" s="5">
        <f>VLOOKUP(P15,Log!$B$2:$C$8,2,)</f>
        <v>0.38</v>
      </c>
      <c r="R15" s="4">
        <v>5.4</v>
      </c>
      <c r="S15" s="34">
        <f>IF(OR(AND(P15="Motorbike",R15-R14&lt;Log!$C$13),AND(P15&lt;&gt;"Motorbike",R15-R14&lt;Log!$C$12)),0,R15-R14)</f>
        <v>0.80000000000000071</v>
      </c>
      <c r="T15" s="109">
        <f t="shared" si="4"/>
        <v>1.104000000000001</v>
      </c>
    </row>
    <row r="16" spans="1:21" x14ac:dyDescent="0.25">
      <c r="A16" s="60">
        <v>35</v>
      </c>
      <c r="B16" s="56" t="s">
        <v>12</v>
      </c>
      <c r="C16" s="5">
        <f>VLOOKUP(B16,Log!$B$2:$C$8,2,)</f>
        <v>1</v>
      </c>
      <c r="D16" s="5">
        <v>7.4</v>
      </c>
      <c r="E16" s="34">
        <f>IF(OR(AND(B16="Motorbike",D16-D15&lt;Log!$C$13),AND(B16&lt;&gt;"Motorbike",D16-D15&lt;Log!$C$12)),0,IF(E15&lt;&gt;0,D16-D15,IF(E14=0,D16-D13,D16-D14)))</f>
        <v>1.4800000000000004</v>
      </c>
      <c r="F16" s="109">
        <f t="shared" si="5"/>
        <v>1.4800000000000004</v>
      </c>
      <c r="H16" s="73">
        <v>21</v>
      </c>
      <c r="I16" s="62" t="s">
        <v>13</v>
      </c>
      <c r="J16" s="5">
        <f>VLOOKUP(I16,Log!$B$2:$C$8,2,)</f>
        <v>0.38</v>
      </c>
      <c r="K16" s="4">
        <v>4.08</v>
      </c>
      <c r="L16" s="34">
        <f>IF(OR(AND(I16="Motorbike",K16-K15&lt;Log!$C$13),AND(I16&lt;&gt;"Motorbike",K16-K15&lt;Log!$C$12)),0,IF(L15&lt;&gt;0,K16-K15,IF(L14=0,K16-K13,K16-K14)))</f>
        <v>1.1600000000000001</v>
      </c>
      <c r="M16" s="34">
        <f t="shared" si="6"/>
        <v>0.44080000000000008</v>
      </c>
      <c r="N16" s="15"/>
      <c r="O16" s="60">
        <v>7</v>
      </c>
      <c r="P16" s="56" t="s">
        <v>12</v>
      </c>
      <c r="Q16" s="5">
        <f>VLOOKUP(P16,Log!$B$2:$C$8,2,)</f>
        <v>1</v>
      </c>
      <c r="R16" s="4">
        <v>5.72</v>
      </c>
      <c r="S16" s="34">
        <f>IF(OR(AND(P16="Motorbike",R16-R15&lt;Log!$C$13),AND(P16&lt;&gt;"Motorbike",R16-R15&lt;Log!$C$12)),0,IF(S15&lt;&gt;0,R16-R15,IF(S14=0,R16-R13,R16-R14)))</f>
        <v>0</v>
      </c>
      <c r="T16" s="109">
        <f t="shared" si="4"/>
        <v>0</v>
      </c>
    </row>
    <row r="17" spans="1:20" x14ac:dyDescent="0.25">
      <c r="A17" s="60">
        <v>63</v>
      </c>
      <c r="B17" s="56" t="s">
        <v>12</v>
      </c>
      <c r="C17" s="5">
        <f>VLOOKUP(B17,Log!$B$2:$C$8,2,)</f>
        <v>1</v>
      </c>
      <c r="D17" s="5">
        <v>9.2799999999999994</v>
      </c>
      <c r="E17" s="34">
        <f>IF(OR(AND(B17="Motorbike",D17-D16&lt;Log!$C$13),AND(B17&lt;&gt;"Motorbike",D17-D16&lt;Log!$C$12)),0,IF(E16&lt;&gt;0,D17-D16,IF(E15=0,D17-D14,D17-D15)))</f>
        <v>1.879999999999999</v>
      </c>
      <c r="F17" s="109">
        <f t="shared" si="5"/>
        <v>1.879999999999999</v>
      </c>
      <c r="H17" s="73">
        <v>4</v>
      </c>
      <c r="I17" s="56" t="s">
        <v>12</v>
      </c>
      <c r="J17" s="5">
        <f>VLOOKUP(I17,Log!$B$2:$C$8,2,)</f>
        <v>1</v>
      </c>
      <c r="K17" s="4">
        <v>5.32</v>
      </c>
      <c r="L17" s="34">
        <f>IF(OR(AND(I17="Motorbike",K17-K16&lt;Log!$C$13),AND(I17&lt;&gt;"Motorbike",K17-K16&lt;Log!$C$12)),0,IF(L16&lt;&gt;0,K17-K16,IF(L15=0,K17-K14,K17-K15)))</f>
        <v>1.2400000000000002</v>
      </c>
      <c r="M17" s="109">
        <f t="shared" si="6"/>
        <v>1.2400000000000002</v>
      </c>
      <c r="N17" s="15"/>
      <c r="O17" s="60">
        <v>22</v>
      </c>
      <c r="P17" s="56" t="s">
        <v>12</v>
      </c>
      <c r="Q17" s="5">
        <f>VLOOKUP(P17,Log!$B$2:$C$8,2,)</f>
        <v>1</v>
      </c>
      <c r="R17" s="4">
        <v>7.52</v>
      </c>
      <c r="S17" s="34">
        <f>IF(OR(AND(P17="Motorbike",R17-R16&lt;Log!$C$13),AND(P17&lt;&gt;"Motorbike",R17-R16&lt;Log!$C$12)),0,IF(S16&lt;&gt;0,R17-R16,IF(S15=0,R17-R14,R17-R15)))</f>
        <v>2.1199999999999992</v>
      </c>
      <c r="T17" s="109">
        <f t="shared" si="4"/>
        <v>2.1199999999999992</v>
      </c>
    </row>
    <row r="18" spans="1:20" x14ac:dyDescent="0.25">
      <c r="A18" s="60">
        <v>81</v>
      </c>
      <c r="B18" s="56" t="s">
        <v>13</v>
      </c>
      <c r="C18" s="5">
        <f>VLOOKUP(B18,Log!$B$2:$C$8,2,)</f>
        <v>0.38</v>
      </c>
      <c r="D18" s="5">
        <v>10</v>
      </c>
      <c r="E18" s="34">
        <f>IF(OR(AND(B18="Motorbike",D18-D17&lt;Log!$C$13),AND(B18&lt;&gt;"Motorbike",D18-D17&lt;Log!$C$12)),0,IF(E17&lt;&gt;0,D18-D17,IF(E16=0,D18-D15,D18-D16)))</f>
        <v>0.72000000000000064</v>
      </c>
      <c r="F18" s="109">
        <f t="shared" si="5"/>
        <v>0.27360000000000023</v>
      </c>
      <c r="H18" s="73">
        <v>12</v>
      </c>
      <c r="I18" s="56" t="s">
        <v>12</v>
      </c>
      <c r="J18" s="5">
        <f>VLOOKUP(I18,Log!$B$2:$C$8,2,)</f>
        <v>1</v>
      </c>
      <c r="K18" s="4">
        <v>7.48</v>
      </c>
      <c r="L18" s="34">
        <f>IF(OR(AND(I18="Motorbike",K18-K17&lt;Log!$C$13),AND(I18&lt;&gt;"Motorbike",K18-K17&lt;Log!$C$12)),0,IF(L17&lt;&gt;0,K18-K17,IF(L16=0,K18-K15,K18-K16)))</f>
        <v>2.16</v>
      </c>
      <c r="M18" s="109">
        <f t="shared" si="6"/>
        <v>2.16</v>
      </c>
      <c r="N18" s="15"/>
      <c r="O18" s="60">
        <v>33</v>
      </c>
      <c r="P18" s="56" t="s">
        <v>12</v>
      </c>
      <c r="Q18" s="5">
        <f>VLOOKUP(P18,Log!$B$2:$C$8,2,)</f>
        <v>1</v>
      </c>
      <c r="R18" s="4">
        <v>8.6</v>
      </c>
      <c r="S18" s="34">
        <f>IF(OR(AND(P18="Motorbike",R18-R17&lt;Log!$C$13),AND(P18&lt;&gt;"Motorbike",R18-R17&lt;Log!$C$12)),0,IF(S17&lt;&gt;0,R18-R17,IF(S16=0,R18-R15,R18-R16)))</f>
        <v>1.08</v>
      </c>
      <c r="T18" s="109">
        <f t="shared" si="4"/>
        <v>1.9007999999999998</v>
      </c>
    </row>
    <row r="19" spans="1:20" x14ac:dyDescent="0.25">
      <c r="A19" s="60">
        <v>93</v>
      </c>
      <c r="B19" s="56" t="s">
        <v>13</v>
      </c>
      <c r="C19" s="5">
        <f>VLOOKUP(B19,Log!$B$2:$C$8,2,)</f>
        <v>0.38</v>
      </c>
      <c r="D19" s="5">
        <v>11</v>
      </c>
      <c r="E19" s="34">
        <f>IF(OR(AND(B19="Motorbike",D19-D18&lt;Log!$C$13),AND(B19&lt;&gt;"Motorbike",D19-D18&lt;Log!$C$12)),0,IF(E18&lt;&gt;0,D19-D18,IF(E17=0,D19-D16,D19-D17)))</f>
        <v>1</v>
      </c>
      <c r="F19" s="109">
        <f t="shared" si="5"/>
        <v>0.38</v>
      </c>
      <c r="H19" s="73">
        <v>52</v>
      </c>
      <c r="I19" s="56" t="s">
        <v>12</v>
      </c>
      <c r="J19" s="5">
        <f>VLOOKUP(I19,Log!$B$2:$C$8,2,)</f>
        <v>1</v>
      </c>
      <c r="K19" s="4">
        <v>10.119999999999999</v>
      </c>
      <c r="L19" s="34">
        <f>IF(OR(AND(I19="Motorbike",K19-K18&lt;Log!$C$13),AND(I19&lt;&gt;"Motorbike",K19-K18&lt;Log!$C$12)),0,IF(L18&lt;&gt;0,K19-K18,IF(L17=0,K19-K16,K19-K17)))</f>
        <v>2.6399999999999988</v>
      </c>
      <c r="M19" s="109">
        <f t="shared" si="6"/>
        <v>2.6399999999999988</v>
      </c>
      <c r="N19" s="15"/>
      <c r="O19" s="60">
        <v>79</v>
      </c>
      <c r="P19" s="56" t="s">
        <v>13</v>
      </c>
      <c r="Q19" s="5">
        <f>VLOOKUP(P19,Log!$B$2:$C$8,2,)</f>
        <v>0.38</v>
      </c>
      <c r="R19" s="4">
        <v>9.1199999999999992</v>
      </c>
      <c r="S19" s="34">
        <f>IF(OR(AND(P19="Motorbike",R19-R18&lt;Log!$C$13),AND(P19&lt;&gt;"Motorbike",R19-R18&lt;Log!$C$12)),0,IF(S18&lt;&gt;0,R19-R18,IF(S17=0,R19-R16,R19-R17)))</f>
        <v>0</v>
      </c>
      <c r="T19" s="109">
        <f t="shared" si="4"/>
        <v>0</v>
      </c>
    </row>
    <row r="20" spans="1:20" x14ac:dyDescent="0.25">
      <c r="A20" s="60">
        <v>84</v>
      </c>
      <c r="B20" s="56" t="s">
        <v>13</v>
      </c>
      <c r="C20" s="5">
        <f>VLOOKUP(B20,Log!$B$2:$C$8,2,)</f>
        <v>0.38</v>
      </c>
      <c r="D20" s="5">
        <v>11.72</v>
      </c>
      <c r="E20" s="34">
        <f>IF(OR(AND(B20="Motorbike",D20-D19&lt;Log!$C$13),AND(B20&lt;&gt;"Motorbike",D20-D19&lt;Log!$C$12)),0,IF(E19&lt;&gt;0,D20-D19,IF(E18=0,D20-D17,D20-D18)))</f>
        <v>0.72000000000000064</v>
      </c>
      <c r="F20" s="109">
        <f t="shared" si="5"/>
        <v>0.54720000000000046</v>
      </c>
      <c r="H20" s="73">
        <v>85</v>
      </c>
      <c r="I20" s="56" t="s">
        <v>28</v>
      </c>
      <c r="J20" s="5">
        <f>VLOOKUP(I20,Log!$B$2:$C$8,2,)</f>
        <v>1.02</v>
      </c>
      <c r="K20" s="4">
        <v>12.32</v>
      </c>
      <c r="L20" s="34">
        <f>IF(OR(AND(I20="Motorbike",K20-K19&lt;Log!$C$13),AND(I20&lt;&gt;"Motorbike",K20-K19&lt;Log!$C$12)),0,IF(L19&lt;&gt;0,K20-K19,IF(L18=0,K20-K17,K20-K18)))</f>
        <v>2.2000000000000011</v>
      </c>
      <c r="M20" s="109">
        <f t="shared" si="6"/>
        <v>2.2440000000000011</v>
      </c>
      <c r="N20" s="15"/>
      <c r="O20" s="60">
        <v>78</v>
      </c>
      <c r="P20" s="56" t="s">
        <v>13</v>
      </c>
      <c r="Q20" s="5">
        <f>VLOOKUP(P20,Log!$B$2:$C$8,2,)</f>
        <v>0.38</v>
      </c>
      <c r="R20" s="4">
        <v>9.6</v>
      </c>
      <c r="S20" s="34">
        <f>IF(OR(AND(P20="Motorbike",R20-R19&lt;Log!$C$13),AND(P20&lt;&gt;"Motorbike",R20-R19&lt;Log!$C$12)),0,IF(S19&lt;&gt;0,R20-R19,IF(S18=0,R20-R17,R20-R18)))</f>
        <v>0</v>
      </c>
      <c r="T20" s="109">
        <f t="shared" si="4"/>
        <v>0</v>
      </c>
    </row>
    <row r="21" spans="1:20" x14ac:dyDescent="0.25">
      <c r="A21" s="60">
        <v>95</v>
      </c>
      <c r="B21" s="56" t="s">
        <v>13</v>
      </c>
      <c r="C21" s="5">
        <f>VLOOKUP(B21,Log!$B$2:$C$8,2,)</f>
        <v>0.38</v>
      </c>
      <c r="D21" s="5">
        <v>12.2</v>
      </c>
      <c r="E21" s="34">
        <f>IF(OR(AND(B21="Motorbike",D21-D20&lt;Log!$C$13),AND(B21&lt;&gt;"Motorbike",D21-D20&lt;Log!$C$12)),0,IF(E20&lt;&gt;0,D21-D20,IF(E19=0,D21-D18,D21-D19)))</f>
        <v>0</v>
      </c>
      <c r="F21" s="109">
        <f t="shared" si="5"/>
        <v>0</v>
      </c>
      <c r="H21" s="73">
        <v>97</v>
      </c>
      <c r="I21" s="56" t="s">
        <v>12</v>
      </c>
      <c r="J21" s="5">
        <f>VLOOKUP(I21,Log!$B$2:$C$8,2,)</f>
        <v>1</v>
      </c>
      <c r="K21" s="4">
        <v>15</v>
      </c>
      <c r="L21" s="34">
        <f>IF(OR(AND(I21="Motorbike",K21-K20&lt;Log!$C$13),AND(I21&lt;&gt;"Motorbike",K21-K20&lt;Log!$C$12)),0,IF(L20&lt;&gt;0,K21-K20,IF(L19=0,K21-K18,K21-K19)))</f>
        <v>2.6799999999999997</v>
      </c>
      <c r="M21" s="109">
        <f t="shared" si="6"/>
        <v>2.6799999999999997</v>
      </c>
      <c r="N21" s="15"/>
      <c r="O21" s="60">
        <v>60</v>
      </c>
      <c r="P21" s="56" t="s">
        <v>14</v>
      </c>
      <c r="Q21" s="5">
        <f>VLOOKUP(P21,Log!$B$2:$C$8,2,)</f>
        <v>0.45</v>
      </c>
      <c r="R21" s="4">
        <v>11.48</v>
      </c>
      <c r="S21" s="34">
        <f>IF(OR(AND(P21="Motorbike",R21-R20&lt;Log!$C$13),AND(P21&lt;&gt;"Motorbike",R21-R20&lt;Log!$C$12)),0,IF(S20&lt;&gt;0,R21-R20,IF(S19=0,R21-R18,R21-R19)))</f>
        <v>2.8800000000000008</v>
      </c>
      <c r="T21" s="109">
        <f t="shared" si="4"/>
        <v>1.2960000000000005</v>
      </c>
    </row>
    <row r="22" spans="1:20" x14ac:dyDescent="0.25">
      <c r="A22" s="60">
        <v>108</v>
      </c>
      <c r="B22" s="56" t="s">
        <v>12</v>
      </c>
      <c r="C22" s="5">
        <f>VLOOKUP(B22,Log!$B$2:$C$8,2,)</f>
        <v>1</v>
      </c>
      <c r="D22" s="5">
        <v>13.48</v>
      </c>
      <c r="E22" s="34">
        <f>IF(OR(AND(B22="Motorbike",D22-D21&lt;Log!$C$13),AND(B22&lt;&gt;"Motorbike",D22-D21&lt;Log!$C$12)),0,IF(E21&lt;&gt;0,D22-D21,IF(E20=0,D22-D19,D22-D20)))</f>
        <v>1.7599999999999998</v>
      </c>
      <c r="F22" s="109">
        <f t="shared" si="5"/>
        <v>1.7599999999999998</v>
      </c>
      <c r="H22" s="73">
        <v>106</v>
      </c>
      <c r="I22" s="56" t="s">
        <v>14</v>
      </c>
      <c r="J22" s="5">
        <f>VLOOKUP(I22,Log!$B$2:$C$8,2,)</f>
        <v>0.45</v>
      </c>
      <c r="K22" s="4">
        <v>16.48</v>
      </c>
      <c r="L22" s="34">
        <f>IF(OR(AND(I22="Motorbike",K22-K21&lt;Log!$C$13),AND(I22&lt;&gt;"Motorbike",K22-K21&lt;Log!$C$12)),0,IF(L21&lt;&gt;0,K22-K21,IF(L20=0,K22-K19,K22-K20)))</f>
        <v>1.4800000000000004</v>
      </c>
      <c r="M22" s="109">
        <f t="shared" si="6"/>
        <v>0.66600000000000026</v>
      </c>
      <c r="N22" s="15"/>
      <c r="O22" s="60">
        <v>50</v>
      </c>
      <c r="P22" s="62" t="s">
        <v>12</v>
      </c>
      <c r="Q22" s="5">
        <f>VLOOKUP(P22,Log!$B$2:$C$8,2,)</f>
        <v>1</v>
      </c>
      <c r="R22" s="4">
        <v>12.68</v>
      </c>
      <c r="S22" s="34">
        <f>IF(OR(AND(P22="Motorbike",R22-R21&lt;Log!$C$13),AND(P22&lt;&gt;"Motorbike",R22-R21&lt;Log!$C$12)),0,IF(S21&lt;&gt;0,R22-R21,IF(S20=0,R22-R19,R22-R20)))</f>
        <v>1.1999999999999993</v>
      </c>
      <c r="T22" s="109">
        <f t="shared" si="4"/>
        <v>1.1999999999999993</v>
      </c>
    </row>
    <row r="23" spans="1:20" x14ac:dyDescent="0.25">
      <c r="A23" s="60">
        <v>101</v>
      </c>
      <c r="B23" s="56" t="s">
        <v>13</v>
      </c>
      <c r="C23" s="5">
        <f>VLOOKUP(B23,Log!$B$2:$C$8,2,)</f>
        <v>0.38</v>
      </c>
      <c r="D23" s="5">
        <v>14.08</v>
      </c>
      <c r="E23" s="34">
        <f>IF(OR(AND(B23="Motorbike",D23-D22&lt;Log!$C$13),AND(B23&lt;&gt;"Motorbike",D23-D22&lt;Log!$C$12)),0,IF(E22&lt;&gt;0,D23-D22,IF(E21=0,D23-D20,D23-D21)))</f>
        <v>0.59999999999999964</v>
      </c>
      <c r="F23" s="109">
        <f t="shared" si="5"/>
        <v>0.22799999999999987</v>
      </c>
      <c r="H23" s="73">
        <v>126</v>
      </c>
      <c r="I23" s="56" t="s">
        <v>12</v>
      </c>
      <c r="J23" s="5">
        <f>VLOOKUP(I23,Log!$B$2:$C$8,2,)</f>
        <v>1</v>
      </c>
      <c r="K23" s="4">
        <v>18.12</v>
      </c>
      <c r="L23" s="34">
        <f>IF(OR(AND(I23="Motorbike",K23-K22&lt;Log!$C$13),AND(I23&lt;&gt;"Motorbike",K23-K22&lt;Log!$C$12)),0,IF(L22&lt;&gt;0,K23-K22,IF(L21=0,K23-K20,K23-K21)))</f>
        <v>1.6400000000000006</v>
      </c>
      <c r="M23" s="109">
        <f t="shared" si="6"/>
        <v>1.6400000000000006</v>
      </c>
      <c r="N23" s="15"/>
      <c r="O23" s="60">
        <v>80</v>
      </c>
      <c r="P23" s="56" t="s">
        <v>12</v>
      </c>
      <c r="Q23" s="5">
        <f>VLOOKUP(P23,Log!$B$2:$C$8,2,)</f>
        <v>1</v>
      </c>
      <c r="R23" s="4">
        <v>14.72</v>
      </c>
      <c r="S23" s="34">
        <f>IF(OR(AND(P23="Motorbike",R23-R22&lt;Log!$C$13),AND(P23&lt;&gt;"Motorbike",R23-R22&lt;Log!$C$12)),0,IF(S22&lt;&gt;0,R23-R22,IF(S21=0,R23-R20,R23-R21)))</f>
        <v>2.0400000000000009</v>
      </c>
      <c r="T23" s="109">
        <f t="shared" si="4"/>
        <v>2.0400000000000009</v>
      </c>
    </row>
    <row r="24" spans="1:20" x14ac:dyDescent="0.25">
      <c r="A24" s="60">
        <v>114</v>
      </c>
      <c r="B24" s="56" t="s">
        <v>14</v>
      </c>
      <c r="C24" s="5">
        <f>VLOOKUP(B24,Log!$B$2:$C$8,2,)</f>
        <v>0.45</v>
      </c>
      <c r="D24" s="5">
        <v>16.28</v>
      </c>
      <c r="E24" s="34">
        <f>IF(OR(AND(B24="Motorbike",D24-D23&lt;Log!$C$13),AND(B24&lt;&gt;"Motorbike",D24-D23&lt;Log!$C$12)),0,IF(E23&lt;&gt;0,D24-D23,IF(E22=0,D24-D21,D24-D22)))</f>
        <v>2.2000000000000011</v>
      </c>
      <c r="F24" s="109">
        <f t="shared" si="5"/>
        <v>0.99000000000000055</v>
      </c>
      <c r="H24" s="73">
        <v>120</v>
      </c>
      <c r="I24" s="56" t="s">
        <v>12</v>
      </c>
      <c r="J24" s="5">
        <f>VLOOKUP(I24,Log!$B$2:$C$8,2,)</f>
        <v>1</v>
      </c>
      <c r="K24" s="4">
        <v>19.8</v>
      </c>
      <c r="L24" s="34">
        <f>IF(OR(AND(I24="Motorbike",K24-K23&lt;Log!$C$13),AND(I24&lt;&gt;"Motorbike",K24-K23&lt;Log!$C$12)),0,IF(L23&lt;&gt;0,K24-K23,IF(L22=0,K24-K21,K24-K22)))</f>
        <v>1.6799999999999997</v>
      </c>
      <c r="M24" s="109">
        <f t="shared" si="6"/>
        <v>1.6799999999999997</v>
      </c>
      <c r="N24" s="15"/>
      <c r="O24" s="105">
        <v>100</v>
      </c>
      <c r="P24" s="83" t="s">
        <v>14</v>
      </c>
      <c r="Q24" s="5">
        <f>VLOOKUP(P24,Log!$B$2:$C$8,2,)</f>
        <v>0.45</v>
      </c>
      <c r="R24" s="4">
        <v>16.2</v>
      </c>
      <c r="S24" s="34">
        <f>IF(OR(AND(P24="Motorbike",R24-R23&lt;Log!$C$13),AND(P24&lt;&gt;"Motorbike",R24-R23&lt;Log!$C$12)),0,IF(S23&lt;&gt;0,R24-R23,IF(S22=0,R24-R21,R24-R22)))</f>
        <v>1.4799999999999986</v>
      </c>
      <c r="T24" s="109">
        <f t="shared" si="4"/>
        <v>1.8943999999999983</v>
      </c>
    </row>
    <row r="25" spans="1:20" x14ac:dyDescent="0.25">
      <c r="A25" s="60">
        <v>126</v>
      </c>
      <c r="B25" s="56" t="s">
        <v>12</v>
      </c>
      <c r="C25" s="5">
        <f>VLOOKUP(B25,Log!$B$2:$C$8,2,)</f>
        <v>1</v>
      </c>
      <c r="D25" s="5">
        <v>17.88</v>
      </c>
      <c r="E25" s="34">
        <f>IF(OR(AND(B25="Motorbike",D25-D24&lt;Log!$C$13),AND(B25&lt;&gt;"Motorbike",D25-D24&lt;Log!$C$12)),0,IF(E24&lt;&gt;0,D25-D24,IF(E23=0,D25-D22,D25-D23)))</f>
        <v>1.5999999999999979</v>
      </c>
      <c r="F25" s="109">
        <f t="shared" si="5"/>
        <v>1.5999999999999979</v>
      </c>
      <c r="H25" s="73">
        <v>153</v>
      </c>
      <c r="I25" s="56" t="s">
        <v>14</v>
      </c>
      <c r="J25" s="5">
        <f>VLOOKUP(I25,Log!$B$2:$C$8,2,)</f>
        <v>0.45</v>
      </c>
      <c r="K25" s="4">
        <v>21.48</v>
      </c>
      <c r="L25" s="34">
        <f>IF(OR(AND(I25="Motorbike",K25-K24&lt;Log!$C$13),AND(I25&lt;&gt;"Motorbike",K25-K24&lt;Log!$C$12)),0,IF(L24&lt;&gt;0,K25-K24,IF(L23=0,K25-K22,K25-K23)))</f>
        <v>1.6799999999999997</v>
      </c>
      <c r="M25" s="109">
        <f t="shared" si="6"/>
        <v>0.75599999999999989</v>
      </c>
      <c r="N25" s="15"/>
      <c r="O25" s="60">
        <v>115</v>
      </c>
      <c r="P25" s="56" t="s">
        <v>14</v>
      </c>
      <c r="Q25" s="5">
        <f>VLOOKUP(P25,Log!$B$2:$C$8,2,)</f>
        <v>0.45</v>
      </c>
      <c r="R25" s="43">
        <v>16.8</v>
      </c>
      <c r="S25" s="34">
        <f>IF(OR(AND(P25="Motorbike",R25-R24&lt;Log!$C$13),AND(P25&lt;&gt;"Motorbike",R25-R24&lt;Log!$C$12)),0,IF(S24&lt;&gt;0,R25-R24,IF(S23=0,R25-R22,R25-R23)))</f>
        <v>0</v>
      </c>
      <c r="T25" s="109">
        <f t="shared" si="4"/>
        <v>0</v>
      </c>
    </row>
    <row r="26" spans="1:20" x14ac:dyDescent="0.25">
      <c r="A26" s="60">
        <v>105</v>
      </c>
      <c r="B26" s="56" t="s">
        <v>12</v>
      </c>
      <c r="C26" s="5">
        <f>VLOOKUP(B26,Log!$B$2:$C$8,2,)</f>
        <v>1</v>
      </c>
      <c r="D26" s="5">
        <v>19.68</v>
      </c>
      <c r="E26" s="34">
        <f>IF(OR(AND(B26="Motorbike",D26-D25&lt;Log!$C$13),AND(B26&lt;&gt;"Motorbike",D26-D25&lt;Log!$C$12)),0,IF(E25&lt;&gt;0,D26-D25,IF(E24=0,D26-D23,D26-D24)))</f>
        <v>1.8000000000000007</v>
      </c>
      <c r="F26" s="109">
        <f t="shared" si="5"/>
        <v>1.8000000000000007</v>
      </c>
      <c r="H26" s="73">
        <v>142</v>
      </c>
      <c r="I26" s="56" t="s">
        <v>12</v>
      </c>
      <c r="J26" s="5">
        <f>VLOOKUP(I26,Log!$B$2:$C$8,2,)</f>
        <v>1</v>
      </c>
      <c r="K26" s="4">
        <v>22.48</v>
      </c>
      <c r="L26" s="34">
        <f>IF(OR(AND(I26="Motorbike",K26-K25&lt;Log!$C$13),AND(I26&lt;&gt;"Motorbike",K26-K25&lt;Log!$C$12)),0,IF(L25&lt;&gt;0,K26-K25,IF(L24=0,K26-K23,K26-K24)))</f>
        <v>1</v>
      </c>
      <c r="M26" s="109">
        <f t="shared" si="6"/>
        <v>1</v>
      </c>
      <c r="N26" s="15"/>
      <c r="O26" s="60">
        <v>145</v>
      </c>
      <c r="P26" s="56" t="s">
        <v>13</v>
      </c>
      <c r="Q26" s="5">
        <f>VLOOKUP(P26,Log!$B$2:$C$8,2,)</f>
        <v>0.38</v>
      </c>
      <c r="R26" s="4">
        <v>17.2</v>
      </c>
      <c r="S26" s="34">
        <f>IF(OR(AND(OR(P26="Motorbike",P26="CNG",),R26-R25&lt;Log!$C$13),AND(OR(P26&lt;&gt;"Motorbike",P26&lt;&gt;"CNG"),R26-R25&lt;Log!$C$12)),0,IF(S25&lt;&gt;0,R26-R25,IF(S24=0,R26-R23,R26-R24)))</f>
        <v>0</v>
      </c>
      <c r="T26" s="109">
        <f t="shared" si="4"/>
        <v>0</v>
      </c>
    </row>
    <row r="27" spans="1:20" x14ac:dyDescent="0.25">
      <c r="A27" s="60">
        <v>136</v>
      </c>
      <c r="B27" s="56" t="s">
        <v>12</v>
      </c>
      <c r="C27" s="5">
        <f>VLOOKUP(B27,Log!$B$2:$C$8,2,)</f>
        <v>1</v>
      </c>
      <c r="D27" s="5">
        <v>22.28</v>
      </c>
      <c r="E27" s="34">
        <f>IF(OR(AND(B27="Motorbike",D27-D26&lt;Log!$C$13),AND(B27&lt;&gt;"Motorbike",D27-D26&lt;Log!$C$12)),0,IF(E26&lt;&gt;0,D27-D26,IF(E25=0,D27-D24,D27-D25)))</f>
        <v>2.6000000000000014</v>
      </c>
      <c r="F27" s="109">
        <f t="shared" si="5"/>
        <v>2.6000000000000014</v>
      </c>
      <c r="H27" s="73">
        <v>157</v>
      </c>
      <c r="I27" s="56" t="s">
        <v>14</v>
      </c>
      <c r="J27" s="5">
        <f>VLOOKUP(I27,Log!$B$2:$C$8,2,)</f>
        <v>0.45</v>
      </c>
      <c r="K27" s="4">
        <v>25.92</v>
      </c>
      <c r="L27" s="34">
        <f>IF(OR(AND(I27="Motorbike",K27-K26&lt;Log!$C$13),AND(I27&lt;&gt;"Motorbike",K27-K26&lt;Log!$C$12)),0,IF(L26&lt;&gt;0,K27-K26,IF(L25=0,K27-K24,K27-K25)))</f>
        <v>3.4400000000000013</v>
      </c>
      <c r="M27" s="109">
        <f t="shared" si="6"/>
        <v>1.5480000000000007</v>
      </c>
      <c r="N27" s="15"/>
      <c r="O27" s="60">
        <v>117</v>
      </c>
      <c r="P27" s="56" t="s">
        <v>12</v>
      </c>
      <c r="Q27" s="5">
        <f>VLOOKUP(P27,Log!$B$2:$C$8,2,)</f>
        <v>1</v>
      </c>
      <c r="R27" s="4">
        <v>18.600000000000001</v>
      </c>
      <c r="S27" s="34">
        <f>IF(OR(AND(OR(P27="Motorbike",P27="CNG",),R27-R26&lt;Log!$C$13),AND(OR(P27&lt;&gt;"Motorbike",P27&lt;&gt;"CNG"),R27-R26&lt;Log!$C$12)),0,IF(S26&lt;&gt;0,R27-R26,IF(S25=0,R27-R24,R27-R25)))</f>
        <v>2.4000000000000021</v>
      </c>
      <c r="T27" s="109">
        <f t="shared" si="4"/>
        <v>2.4000000000000021</v>
      </c>
    </row>
    <row r="28" spans="1:20" x14ac:dyDescent="0.25">
      <c r="A28" s="60">
        <v>159</v>
      </c>
      <c r="B28" s="56" t="s">
        <v>12</v>
      </c>
      <c r="C28" s="5">
        <f>VLOOKUP(B28,Log!$B$2:$C$8,2,)</f>
        <v>1</v>
      </c>
      <c r="D28" s="5">
        <v>23.68</v>
      </c>
      <c r="E28" s="34">
        <f>IF(OR(AND(B28="Motorbike",D28-D27&lt;Log!$C$13),AND(B28&lt;&gt;"Motorbike",D28-D27&lt;Log!$C$12)),0,IF(E27&lt;&gt;0,D28-D27,IF(E26=0,D28-D25,D28-D26)))</f>
        <v>1.3999999999999986</v>
      </c>
      <c r="F28" s="109">
        <f t="shared" si="5"/>
        <v>1.3999999999999986</v>
      </c>
      <c r="H28" s="73">
        <v>162</v>
      </c>
      <c r="I28" s="56" t="s">
        <v>12</v>
      </c>
      <c r="J28" s="5">
        <f>VLOOKUP(I28,Log!$B$2:$C$8,2,)</f>
        <v>1</v>
      </c>
      <c r="K28" s="4">
        <v>27.12</v>
      </c>
      <c r="L28" s="34">
        <f>IF(OR(AND(I28="Motorbike",K28-K27&lt;Log!$C$13),AND(I28&lt;&gt;"Motorbike",K28-K27&lt;Log!$C$12)),0,IF(L27&lt;&gt;0,K28-K27,IF(L26=0,K28-K25,K28-K26)))</f>
        <v>1.1999999999999993</v>
      </c>
      <c r="M28" s="109">
        <f t="shared" si="6"/>
        <v>1.1999999999999993</v>
      </c>
      <c r="N28" s="15"/>
      <c r="O28" s="60">
        <v>127</v>
      </c>
      <c r="P28" s="56" t="s">
        <v>12</v>
      </c>
      <c r="Q28" s="5">
        <f>VLOOKUP(P28,Log!$B$2:$C$8,2,)</f>
        <v>1</v>
      </c>
      <c r="R28" s="4">
        <v>20.399999999999999</v>
      </c>
      <c r="S28" s="34">
        <f>IF(OR(AND(OR(P28="Motorbike",P28="CNG",),R28-R27&lt;Log!$C$13),AND(OR(P28&lt;&gt;"Motorbike",P28&lt;&gt;"CNG"),R28-R27&lt;Log!$C$12)),0,IF(S27&lt;&gt;0,R28-R27,IF(S26=0,R28-R25,R28-R26)))</f>
        <v>1.7999999999999972</v>
      </c>
      <c r="T28" s="109">
        <f t="shared" si="4"/>
        <v>1.7999999999999972</v>
      </c>
    </row>
    <row r="29" spans="1:20" x14ac:dyDescent="0.25">
      <c r="A29" s="60">
        <v>171</v>
      </c>
      <c r="B29" s="56" t="s">
        <v>12</v>
      </c>
      <c r="C29" s="5">
        <f>VLOOKUP(B29,Log!$B$2:$C$8,2,)</f>
        <v>1</v>
      </c>
      <c r="D29" s="5">
        <v>25.32</v>
      </c>
      <c r="E29" s="34">
        <f>IF(OR(AND(B29="Motorbike",D29-D28&lt;Log!$C$13),AND(B29&lt;&gt;"Motorbike",D29-D28&lt;Log!$C$12)),0,IF(E28&lt;&gt;0,D29-D28,IF(E27=0,D29-D26,D29-D27)))</f>
        <v>1.6400000000000006</v>
      </c>
      <c r="F29" s="109">
        <f t="shared" si="5"/>
        <v>1.6400000000000006</v>
      </c>
      <c r="H29" s="73">
        <v>189</v>
      </c>
      <c r="I29" s="56" t="s">
        <v>12</v>
      </c>
      <c r="J29" s="5">
        <f>VLOOKUP(I29,Log!$B$2:$C$8,2,)</f>
        <v>1</v>
      </c>
      <c r="K29" s="4">
        <v>29.8</v>
      </c>
      <c r="L29" s="34">
        <f>IF(OR(AND(I29="Motorbike",K29-K28&lt;Log!$C$13),AND(I29&lt;&gt;"Motorbike",K29-K28&lt;Log!$C$12)),0,IF(L28&lt;&gt;0,K29-K28,IF(L27=0,K29-K26,K29-K27)))</f>
        <v>2.6799999999999997</v>
      </c>
      <c r="M29" s="109">
        <f t="shared" si="6"/>
        <v>2.6799999999999997</v>
      </c>
      <c r="N29" s="15"/>
      <c r="O29" s="60">
        <v>156</v>
      </c>
      <c r="P29" s="56" t="s">
        <v>12</v>
      </c>
      <c r="Q29" s="5">
        <f>VLOOKUP(P29,Log!$B$2:$C$8,2,)</f>
        <v>1</v>
      </c>
      <c r="R29" s="4">
        <v>24.08</v>
      </c>
      <c r="S29" s="34">
        <f>IF(OR(AND(OR(P29="Motorbike",P29="CNG",),R29-R28&lt;Log!$C$13),AND(OR(P29&lt;&gt;"Motorbike",P29&lt;&gt;"CNG"),R29-R28&lt;Log!$C$12)),0,IF(S28&lt;&gt;0,R29-R28,IF(S27=0,R29-R26,R29-R27)))</f>
        <v>3.6799999999999997</v>
      </c>
      <c r="T29" s="109">
        <f t="shared" si="4"/>
        <v>3.6799999999999997</v>
      </c>
    </row>
    <row r="30" spans="1:20" x14ac:dyDescent="0.25">
      <c r="A30" s="60">
        <v>166</v>
      </c>
      <c r="B30" s="56" t="s">
        <v>12</v>
      </c>
      <c r="C30" s="5">
        <f>VLOOKUP(B30,Log!$B$2:$C$8,2,)</f>
        <v>1</v>
      </c>
      <c r="D30" s="5">
        <v>26.48</v>
      </c>
      <c r="E30" s="34">
        <f>IF(OR(AND(B30="Motorbike",D30-D29&lt;Log!$C$13),AND(B30&lt;&gt;"Motorbike",D30-D29&lt;Log!$C$12)),0,IF(E29&lt;&gt;0,D30-D29,IF(E28=0,D30-D27,D30-D28)))</f>
        <v>1.1600000000000001</v>
      </c>
      <c r="F30" s="109">
        <f t="shared" si="5"/>
        <v>1.1600000000000001</v>
      </c>
      <c r="H30" s="73">
        <v>177</v>
      </c>
      <c r="I30" s="56" t="s">
        <v>12</v>
      </c>
      <c r="J30" s="5">
        <f>VLOOKUP(I30,Log!$B$2:$C$8,2,)</f>
        <v>1</v>
      </c>
      <c r="K30" s="4">
        <v>31.4</v>
      </c>
      <c r="L30" s="34">
        <f>IF(OR(AND(I30="Motorbike",K30-K29&lt;Log!$C$13),AND(I30&lt;&gt;"Motorbike",K30-K29&lt;Log!$C$12)),0,IF(L29&lt;&gt;0,K30-K29,IF(L28=0,K30-K27,K30-K28)))</f>
        <v>1.5999999999999979</v>
      </c>
      <c r="M30" s="109">
        <f t="shared" si="6"/>
        <v>1.5999999999999979</v>
      </c>
      <c r="N30" s="15"/>
      <c r="O30" s="60">
        <v>148</v>
      </c>
      <c r="P30" s="56" t="s">
        <v>12</v>
      </c>
      <c r="Q30" s="5">
        <f>VLOOKUP(P30,Log!$B$2:$C$8,2,)</f>
        <v>1</v>
      </c>
      <c r="R30" s="4">
        <v>27.88</v>
      </c>
      <c r="S30" s="34">
        <f>IF(OR(AND(OR(P30="Motorbike",P30="CNG",),R30-R29&lt;Log!$C$13),AND(OR(P30&lt;&gt;"Motorbike",P30&lt;&gt;"CNG"),R30-R29&lt;Log!$C$12)),0,IF(S29&lt;&gt;0,R30-R29,IF(S28=0,R30-R27,R30-R28)))</f>
        <v>3.8000000000000007</v>
      </c>
      <c r="T30" s="109">
        <f t="shared" si="4"/>
        <v>3.8000000000000007</v>
      </c>
    </row>
    <row r="31" spans="1:20" x14ac:dyDescent="0.25">
      <c r="A31" s="60">
        <v>180</v>
      </c>
      <c r="B31" s="56" t="s">
        <v>13</v>
      </c>
      <c r="C31" s="5">
        <f>VLOOKUP(B31,Log!$B$2:$C$8,2,)</f>
        <v>0.38</v>
      </c>
      <c r="D31" s="5">
        <v>27.68</v>
      </c>
      <c r="E31" s="34">
        <f>IF(OR(AND(B31="Motorbike",D31-D30&lt;Log!$C$13),AND(B31&lt;&gt;"Motorbike",D31-D30&lt;Log!$C$12)),0,IF(E30&lt;&gt;0,D31-D30,IF(E29=0,D31-D28,D31-D29)))</f>
        <v>1.1999999999999993</v>
      </c>
      <c r="F31" s="109">
        <f t="shared" si="5"/>
        <v>1.6559999999999988</v>
      </c>
      <c r="H31" s="103">
        <v>197</v>
      </c>
      <c r="I31" s="56" t="s">
        <v>12</v>
      </c>
      <c r="J31" s="5">
        <f>VLOOKUP(I31,Log!$B$2:$C$8,2,)</f>
        <v>1</v>
      </c>
      <c r="K31" s="4">
        <v>33</v>
      </c>
      <c r="L31" s="34">
        <f>IF(OR(AND(I31="Motorbike",K31-K30&lt;Log!$C$13),AND(I31&lt;&gt;"Motorbike",K31-K30&lt;Log!$C$12)),0,IF(L30&lt;&gt;0,K31-K30,IF(L29=0,K31-K28,K31-K29)))</f>
        <v>1.6000000000000014</v>
      </c>
      <c r="M31" s="109">
        <f t="shared" si="6"/>
        <v>1.6000000000000014</v>
      </c>
      <c r="N31" s="15"/>
      <c r="O31" s="60">
        <v>220</v>
      </c>
      <c r="P31" s="56" t="s">
        <v>14</v>
      </c>
      <c r="Q31" s="5">
        <f>VLOOKUP(P31,Log!$B$2:$C$8,2,)</f>
        <v>0.45</v>
      </c>
      <c r="R31" s="4">
        <v>30.8</v>
      </c>
      <c r="S31" s="34">
        <f>IF(OR(AND(OR(P31="Motorbike",P31="CNG",),R31-R30&lt;Log!$C$13),AND(OR(P31&lt;&gt;"Motorbike",P31&lt;&gt;"CNG"),R31-R30&lt;Log!$C$12)),0,IF(S30&lt;&gt;0,R31-R30,IF(S29=0,R31-R28,R31-R29)))</f>
        <v>2.9200000000000017</v>
      </c>
      <c r="T31" s="109">
        <f t="shared" si="4"/>
        <v>1.3140000000000007</v>
      </c>
    </row>
    <row r="32" spans="1:20" x14ac:dyDescent="0.25">
      <c r="A32" s="60">
        <v>183</v>
      </c>
      <c r="B32" s="56" t="s">
        <v>12</v>
      </c>
      <c r="C32" s="5">
        <f>VLOOKUP(B32,Log!$B$2:$C$8,2,)</f>
        <v>1</v>
      </c>
      <c r="D32" s="5">
        <v>28.6</v>
      </c>
      <c r="E32" s="34">
        <f>IF(OR(AND(B32="Motorbike",D32-D31&lt;Log!$C$13),AND(B32&lt;&gt;"Motorbike",D32-D31&lt;Log!$C$12)),0,IF(E31&lt;&gt;0,D32-D31,IF(E30=0,D32-D29,D32-D30)))</f>
        <v>0</v>
      </c>
      <c r="F32" s="109">
        <f t="shared" si="5"/>
        <v>0</v>
      </c>
      <c r="H32" s="81">
        <v>203</v>
      </c>
      <c r="I32" s="80" t="s">
        <v>12</v>
      </c>
      <c r="J32" s="5">
        <f>VLOOKUP(I32,Log!$B$2:$C$8,2,)</f>
        <v>1</v>
      </c>
      <c r="K32" s="4">
        <v>34.200000000000003</v>
      </c>
      <c r="L32" s="34">
        <f>IF(OR(AND(I32="Motorbike",K32-K31&lt;Log!$C$13),AND(I32&lt;&gt;"Motorbike",K32-K31&lt;Log!$C$12)),0,IF(L31&lt;&gt;0,K32-K31,IF(L30=0,K32-K29,K32-K30)))</f>
        <v>1.2000000000000028</v>
      </c>
      <c r="M32" s="109">
        <f t="shared" si="6"/>
        <v>2.4000000000000057</v>
      </c>
      <c r="N32" s="15"/>
      <c r="O32" s="60">
        <v>192</v>
      </c>
      <c r="P32" s="56" t="s">
        <v>12</v>
      </c>
      <c r="Q32" s="5">
        <f>VLOOKUP(P32,Log!$B$2:$C$8,2,)</f>
        <v>1</v>
      </c>
      <c r="R32" s="4">
        <v>32</v>
      </c>
      <c r="S32" s="34">
        <f>IF(OR(AND(OR(P32="Motorbike",P32="CNG",),R32-R31&lt;Log!$C$13),AND(OR(P32&lt;&gt;"Motorbike",P32&lt;&gt;"CNG"),R32-R31&lt;Log!$C$12)),0,IF(S31&lt;&gt;0,R32-R31,IF(S30=0,R32-R29,R32-R30)))</f>
        <v>1.1999999999999993</v>
      </c>
      <c r="T32" s="109">
        <f t="shared" si="4"/>
        <v>1.1999999999999993</v>
      </c>
    </row>
    <row r="33" spans="1:23" x14ac:dyDescent="0.25">
      <c r="A33" s="60">
        <v>199</v>
      </c>
      <c r="B33" s="56" t="s">
        <v>12</v>
      </c>
      <c r="C33" s="5">
        <f>VLOOKUP(B33,Log!$B$2:$C$8,2,)</f>
        <v>1</v>
      </c>
      <c r="D33" s="5">
        <v>31.52</v>
      </c>
      <c r="E33" s="34">
        <f>IF(OR(AND(B33="Motorbike",D33-D32&lt;Log!$C$13),AND(B33&lt;&gt;"Motorbike",D33-D32&lt;Log!$C$12)),0,IF(E32&lt;&gt;0,D33-D32,IF(E31=0,D33-D30,D33-D31)))</f>
        <v>3.84</v>
      </c>
      <c r="F33" s="109">
        <f t="shared" si="5"/>
        <v>3.84</v>
      </c>
      <c r="H33" s="60">
        <v>212</v>
      </c>
      <c r="I33" s="56" t="s">
        <v>12</v>
      </c>
      <c r="J33" s="5">
        <f>VLOOKUP(I33,Log!$B$2:$C$8,2,)</f>
        <v>1</v>
      </c>
      <c r="K33" s="4">
        <v>35</v>
      </c>
      <c r="L33" s="34">
        <f>IF(OR(AND(I33="Motorbike",K33-K32&lt;Log!$C$13),AND(I33&lt;&gt;"Motorbike",K33-K32&lt;Log!$C$12)),0,IF(L32&lt;&gt;0,K33-K32,IF(L31=0,K33-K30,K33-K31)))</f>
        <v>0</v>
      </c>
      <c r="M33" s="109">
        <f t="shared" si="6"/>
        <v>0</v>
      </c>
      <c r="N33" s="15"/>
      <c r="O33" s="60">
        <v>197</v>
      </c>
      <c r="P33" s="56" t="s">
        <v>12</v>
      </c>
      <c r="Q33" s="5">
        <f>VLOOKUP(P33,Log!$B$2:$C$8,2,)</f>
        <v>1</v>
      </c>
      <c r="R33" s="4">
        <v>33.479999999999997</v>
      </c>
      <c r="S33" s="34">
        <f>IF(OR(AND(OR(P33="Motorbike",P33="CNG",),R33-R32&lt;Log!$C$13),AND(OR(P33&lt;&gt;"Motorbike",P33&lt;&gt;"CNG"),R33-R32&lt;Log!$C$12)),0,IF(S32&lt;&gt;0,R33-R32,IF(S31=0,R33-R30,R33-R31)))</f>
        <v>1.4799999999999969</v>
      </c>
      <c r="T33" s="109">
        <f t="shared" si="4"/>
        <v>2.1459999999999955</v>
      </c>
    </row>
    <row r="34" spans="1:23" x14ac:dyDescent="0.25">
      <c r="A34" s="60">
        <v>206</v>
      </c>
      <c r="B34" s="56" t="s">
        <v>12</v>
      </c>
      <c r="C34" s="5">
        <f>VLOOKUP(B34,Log!$B$2:$C$8,2,)</f>
        <v>1</v>
      </c>
      <c r="D34" s="5">
        <v>32.880000000000003</v>
      </c>
      <c r="E34" s="34">
        <f>IF(OR(AND(B34="Motorbike",D34-D33&lt;Log!$C$13),AND(B34&lt;&gt;"Motorbike",D34-D33&lt;Log!$C$12)),0,IF(E33&lt;&gt;0,D34-D33,IF(E32=0,D34-D31,D34-D32)))</f>
        <v>1.360000000000003</v>
      </c>
      <c r="F34" s="109">
        <f t="shared" si="5"/>
        <v>1.360000000000003</v>
      </c>
      <c r="H34" s="81">
        <v>233</v>
      </c>
      <c r="I34" s="80" t="s">
        <v>12</v>
      </c>
      <c r="J34" s="5">
        <f>VLOOKUP(I34,Log!$B$2:$C$8,2,)</f>
        <v>1</v>
      </c>
      <c r="K34" s="4">
        <v>36.479999999999997</v>
      </c>
      <c r="L34" s="34">
        <f>IF(OR(AND(I34="Motorbike",K34-K33&lt;Log!$C$13),AND(I34&lt;&gt;"Motorbike",K34-K33&lt;Log!$C$12)),0,IF(L33&lt;&gt;0,K34-K33,IF(L32=0,K34-K31,K34-K32)))</f>
        <v>2.279999999999994</v>
      </c>
      <c r="M34" s="109">
        <f t="shared" si="6"/>
        <v>2.279999999999994</v>
      </c>
      <c r="N34" s="15"/>
      <c r="O34" s="60">
        <v>215</v>
      </c>
      <c r="P34" s="56" t="s">
        <v>14</v>
      </c>
      <c r="Q34" s="5">
        <f>VLOOKUP(P34,Log!$B$2:$C$8,2,)</f>
        <v>0.45</v>
      </c>
      <c r="R34" s="4">
        <v>34.4</v>
      </c>
      <c r="S34" s="34">
        <f>IF(OR(AND(OR(P34="Motorbike",P34="CNG",),R34-R33&lt;Log!$C$13),AND(OR(P34&lt;&gt;"Motorbike",P34&lt;&gt;"CNG"),R34-R33&lt;Log!$C$12)),0,IF(S33&lt;&gt;0,R34-R33,IF(S32=0,R34-R31,R34-R32)))</f>
        <v>0</v>
      </c>
      <c r="T34" s="109">
        <f t="shared" si="4"/>
        <v>0</v>
      </c>
    </row>
    <row r="35" spans="1:23" ht="15.75" thickBot="1" x14ac:dyDescent="0.3">
      <c r="A35" s="60">
        <v>211</v>
      </c>
      <c r="B35" s="56" t="s">
        <v>28</v>
      </c>
      <c r="C35" s="5">
        <f>VLOOKUP(B35,Log!$B$2:$C$8,2,)</f>
        <v>1.02</v>
      </c>
      <c r="D35" s="5">
        <v>34.68</v>
      </c>
      <c r="E35" s="34">
        <f>IF(OR(AND(B35="Motorbike",D35-D34&lt;Log!$C$13),AND(B35&lt;&gt;"Motorbike",D35-D34&lt;Log!$C$12)),0,IF(E34&lt;&gt;0,D35-D34,IF(E33=0,D35-D32,D35-D33)))</f>
        <v>1.7999999999999972</v>
      </c>
      <c r="F35" s="109">
        <f t="shared" si="5"/>
        <v>1.8359999999999972</v>
      </c>
      <c r="H35" s="104">
        <v>242</v>
      </c>
      <c r="I35" s="80" t="s">
        <v>13</v>
      </c>
      <c r="J35" s="5">
        <f>VLOOKUP(I35,Log!$B$2:$C$8,2,)</f>
        <v>0.38</v>
      </c>
      <c r="K35" s="4">
        <v>37.28</v>
      </c>
      <c r="L35" s="34">
        <f>IF(OR(AND(I35="Motorbike",K35-K34&lt;Log!$C$13),AND(I35&lt;&gt;"Motorbike",K35-K34&lt;Log!$C$12)),0,IF(L34&lt;&gt;0,K35-K34,IF(L33=0,K35-K32,K35-K33)))</f>
        <v>0.80000000000000426</v>
      </c>
      <c r="M35" s="109">
        <f t="shared" si="6"/>
        <v>0.3040000000000016</v>
      </c>
      <c r="O35" s="61">
        <v>231</v>
      </c>
      <c r="P35" s="56" t="s">
        <v>12</v>
      </c>
      <c r="Q35" s="5">
        <f>VLOOKUP(P35,Log!$B$2:$C$8,2,)</f>
        <v>1</v>
      </c>
      <c r="R35" s="4">
        <v>37.08</v>
      </c>
      <c r="S35" s="34">
        <f>IF(OR(AND(OR(P35="Motorbike",P35="CNG",),R35-R34&lt;Log!$C$13),AND(OR(P35&lt;&gt;"Motorbike",P35&lt;&gt;"CNG"),R35-R34&lt;Log!$C$12)),0,IF(S34&lt;&gt;0,R35-R34,IF(S33=0,R35-R32,R35-R33)))</f>
        <v>3.6000000000000014</v>
      </c>
      <c r="T35" s="109">
        <f t="shared" ref="T35" si="7">IF(S36&lt;&gt;0,Q35*S35,IF(S37=0,(Q35+Q36+Q37)*S35,(Q35+Q36)*S35))</f>
        <v>3.6000000000000014</v>
      </c>
    </row>
    <row r="36" spans="1:23" x14ac:dyDescent="0.25">
      <c r="A36" s="60">
        <v>219</v>
      </c>
      <c r="B36" s="56" t="s">
        <v>12</v>
      </c>
      <c r="C36" s="5">
        <f>VLOOKUP(B36,Log!$B$2:$C$8,2,)</f>
        <v>1</v>
      </c>
      <c r="D36" s="5">
        <v>36.200000000000003</v>
      </c>
      <c r="E36" s="34">
        <f>IF(OR(AND(B36="Motorbike",D36-D35&lt;Log!$C$13),AND(B36&lt;&gt;"Motorbike",D36-D35&lt;Log!$C$12)),0,IF(E35&lt;&gt;0,D36-D35,IF(E34=0,D36-D33,D36-D34)))</f>
        <v>1.5200000000000031</v>
      </c>
      <c r="F36" s="109">
        <f t="shared" si="5"/>
        <v>1.5200000000000031</v>
      </c>
    </row>
    <row r="37" spans="1:23" x14ac:dyDescent="0.25">
      <c r="A37" s="60">
        <v>238</v>
      </c>
      <c r="B37" s="56" t="s">
        <v>12</v>
      </c>
      <c r="C37" s="5">
        <f>VLOOKUP(B37,Log!$B$2:$C$8,2,)</f>
        <v>1</v>
      </c>
      <c r="D37" s="5">
        <v>38.68</v>
      </c>
      <c r="E37" s="34">
        <f>IF(OR(AND(B37="Motorbike",D37-D36&lt;Log!$C$13),AND(B37&lt;&gt;"Motorbike",D37-D36&lt;Log!$C$12)),0,IF(E36&lt;&gt;0,D37-D36,IF(E35=0,D37-D34,D37-D35)))</f>
        <v>2.4799999999999969</v>
      </c>
      <c r="F37" s="109">
        <f t="shared" si="5"/>
        <v>2.4799999999999969</v>
      </c>
    </row>
    <row r="38" spans="1:23" x14ac:dyDescent="0.25">
      <c r="A38" s="60">
        <v>253</v>
      </c>
      <c r="B38" s="56" t="s">
        <v>14</v>
      </c>
      <c r="C38" s="5">
        <f>VLOOKUP(B38,Log!$B$2:$C$8,2,)</f>
        <v>0.45</v>
      </c>
      <c r="D38" s="5">
        <v>39.880000000000003</v>
      </c>
      <c r="E38" s="34">
        <f>IF(OR(AND(B38="Motorbike",D38-D37&lt;Log!$C$13),AND(B38&lt;&gt;"Motorbike",D38-D37&lt;Log!$C$12)),0,IF(E37&lt;&gt;0,D38-D37,IF(E36=0,D38-D35,D38-D36)))</f>
        <v>1.2000000000000028</v>
      </c>
      <c r="F38" s="109">
        <f t="shared" si="5"/>
        <v>1.740000000000004</v>
      </c>
    </row>
    <row r="39" spans="1:23" x14ac:dyDescent="0.25">
      <c r="A39" s="60">
        <v>257</v>
      </c>
      <c r="B39" s="56" t="s">
        <v>12</v>
      </c>
      <c r="C39" s="5">
        <f>VLOOKUP(B39,Log!$B$2:$C$8,2,)</f>
        <v>1</v>
      </c>
      <c r="D39" s="5">
        <v>40.32</v>
      </c>
      <c r="E39" s="34">
        <f>IF(OR(AND(B39="Motorbike",D39-D38&lt;Log!$C$13),AND(B39&lt;&gt;"Motorbike",D39-D38&lt;Log!$C$12)),0,IF(E38&lt;&gt;0,D39-D38,IF(E37=0,D39-D36,D39-D37)))</f>
        <v>0</v>
      </c>
      <c r="F39" s="109">
        <f t="shared" si="5"/>
        <v>0</v>
      </c>
      <c r="S39" s="9">
        <f>AVERAGE(S30:S34)</f>
        <v>1.8799999999999997</v>
      </c>
      <c r="T39" s="9">
        <f>AVERAGE(T30:T34)</f>
        <v>1.6919999999999995</v>
      </c>
      <c r="W39" s="11"/>
    </row>
    <row r="40" spans="1:23" ht="15.75" thickBot="1" x14ac:dyDescent="0.3">
      <c r="A40" s="61">
        <v>283</v>
      </c>
      <c r="B40" s="56" t="s">
        <v>12</v>
      </c>
      <c r="C40" s="5">
        <f>VLOOKUP(B40,Log!$B$2:$C$8,2,)</f>
        <v>1</v>
      </c>
      <c r="D40" s="5">
        <v>43.68</v>
      </c>
      <c r="E40" s="34">
        <f>IF(OR(AND(B40="Motorbike",D40-D39&lt;Log!$C$13),AND(B40&lt;&gt;"Motorbike",D40-D39&lt;Log!$C$12)),0,IF(E39&lt;&gt;0,D40-D39,IF(E38=0,D40-D37,D40-D38)))</f>
        <v>3.7999999999999972</v>
      </c>
      <c r="F40" s="109">
        <f t="shared" si="5"/>
        <v>3.7999999999999972</v>
      </c>
      <c r="S40" s="10">
        <f>3600/S39</f>
        <v>1914.8936170212769</v>
      </c>
      <c r="T40" s="10">
        <f>3600/T39</f>
        <v>2127.6595744680858</v>
      </c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60" spans="1:6" x14ac:dyDescent="0.25">
      <c r="A60" s="15" t="s">
        <v>80</v>
      </c>
      <c r="B60" s="15" t="s">
        <v>11</v>
      </c>
      <c r="C60" s="15" t="s">
        <v>80</v>
      </c>
      <c r="D60" s="15" t="s">
        <v>11</v>
      </c>
      <c r="E60" s="15" t="s">
        <v>80</v>
      </c>
      <c r="F60" s="15" t="s">
        <v>11</v>
      </c>
    </row>
    <row r="61" spans="1:6" x14ac:dyDescent="0.25">
      <c r="A61" s="15">
        <v>0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</row>
    <row r="62" spans="1:6" x14ac:dyDescent="0.25">
      <c r="A62" s="15">
        <v>5</v>
      </c>
      <c r="B62" s="15" cm="1">
        <f t="array" ref="B62">SUMPRODUCT(($D$13:$D$46&gt;=A61)*($D$13:$D$46&lt;=A62)*$C$13:$C$46)</f>
        <v>2</v>
      </c>
      <c r="C62" s="15">
        <v>5</v>
      </c>
      <c r="D62" s="15" cm="1">
        <f t="array" ref="D62">SUMPRODUCT(($K$13:$K$35&gt;=C61)*($K$13:$K$35&lt;=C62)*$J$13:$J$35)</f>
        <v>2.14</v>
      </c>
      <c r="E62" s="15">
        <v>5</v>
      </c>
      <c r="F62" s="15" cm="1">
        <f t="array" ref="F62">SUMPRODUCT(($R$13:$R$35&gt;=E61)*($R$13:$R$35&lt;=E62)*$Q$13:$Q$35)</f>
        <v>0.83000000000000007</v>
      </c>
    </row>
    <row r="63" spans="1:6" x14ac:dyDescent="0.25">
      <c r="A63" s="15">
        <v>10</v>
      </c>
      <c r="B63" s="15" cm="1">
        <f t="array" ref="B63">SUMPRODUCT(($D$13:$D$46&gt;=A62)*($D$13:$D$46&lt;=A63)*$C$13:$C$46)</f>
        <v>3.38</v>
      </c>
      <c r="C63" s="15">
        <v>10</v>
      </c>
      <c r="D63" s="15" cm="1">
        <f t="array" ref="D63">SUMPRODUCT(($K$13:$K$35&gt;=C62)*($K$13:$K$35&lt;=C63)*$J$13:$J$35)</f>
        <v>2</v>
      </c>
      <c r="E63" s="15">
        <v>10</v>
      </c>
      <c r="F63" s="15" cm="1">
        <f t="array" ref="F63">SUMPRODUCT(($R$13:$R$35&gt;=E62)*($R$13:$R$35&lt;=E63)*$Q$13:$Q$35)</f>
        <v>4.1399999999999997</v>
      </c>
    </row>
    <row r="64" spans="1:6" x14ac:dyDescent="0.25">
      <c r="A64" s="15">
        <v>15</v>
      </c>
      <c r="B64" s="15" cm="1">
        <f t="array" ref="B64">SUMPRODUCT(($D$13:$D$46&gt;=A63)*($D$13:$D$46&lt;=A64)*$C$13:$C$46)</f>
        <v>2.9</v>
      </c>
      <c r="C64" s="15">
        <v>15</v>
      </c>
      <c r="D64" s="15" cm="1">
        <f t="array" ref="D64">SUMPRODUCT(($K$13:$K$35&gt;=C63)*($K$13:$K$35&lt;=C64)*$J$13:$J$35)</f>
        <v>3.02</v>
      </c>
      <c r="E64" s="15">
        <v>15</v>
      </c>
      <c r="F64" s="15" cm="1">
        <f t="array" ref="F64">SUMPRODUCT(($R$13:$R$35&gt;=E63)*($R$13:$R$35&lt;=E64)*$Q$13:$Q$35)</f>
        <v>2.4500000000000002</v>
      </c>
    </row>
    <row r="65" spans="1:6" x14ac:dyDescent="0.25">
      <c r="A65" s="15">
        <v>20</v>
      </c>
      <c r="B65" s="15" cm="1">
        <f t="array" ref="B65">SUMPRODUCT(($D$13:$D$46&gt;=A64)*($D$13:$D$46&lt;=A65)*$C$13:$C$46)</f>
        <v>2.4500000000000002</v>
      </c>
      <c r="C65" s="15">
        <v>20</v>
      </c>
      <c r="D65" s="15" cm="1">
        <f t="array" ref="D65">SUMPRODUCT(($K$13:$K$35&gt;=C64)*($K$13:$K$35&lt;=C65)*$J$13:$J$35)</f>
        <v>3.45</v>
      </c>
      <c r="E65" s="15">
        <v>20</v>
      </c>
      <c r="F65" s="15" cm="1">
        <f t="array" ref="F65">SUMPRODUCT(($R$13:$R$35&gt;=E64)*($R$13:$R$35&lt;=E65)*$Q$13:$Q$35)</f>
        <v>2.2800000000000002</v>
      </c>
    </row>
    <row r="66" spans="1:6" x14ac:dyDescent="0.25">
      <c r="A66" s="15">
        <v>25</v>
      </c>
      <c r="B66" s="15" cm="1">
        <f t="array" ref="B66">SUMPRODUCT(($D$13:$D$46&gt;=A65)*($D$13:$D$46&lt;=A66)*$C$13:$C$46)</f>
        <v>2</v>
      </c>
      <c r="C66" s="15">
        <v>25</v>
      </c>
      <c r="D66" s="15" cm="1">
        <f t="array" ref="D66">SUMPRODUCT(($K$13:$K$35&gt;=C65)*($K$13:$K$35&lt;=C66)*$J$13:$J$35)</f>
        <v>1.45</v>
      </c>
      <c r="E66" s="15">
        <v>25</v>
      </c>
      <c r="F66" s="15" cm="1">
        <f t="array" ref="F66">SUMPRODUCT(($R$13:$R$35&gt;=E65)*($R$13:$R$35&lt;=E66)*$Q$13:$Q$35)</f>
        <v>2</v>
      </c>
    </row>
    <row r="67" spans="1:6" x14ac:dyDescent="0.25">
      <c r="A67" s="15">
        <v>30</v>
      </c>
      <c r="B67" s="15" cm="1">
        <f t="array" ref="B67">SUMPRODUCT(($D$13:$D$46&gt;=A66)*($D$13:$D$46&lt;=A67)*$C$13:$C$46)</f>
        <v>3.38</v>
      </c>
      <c r="C67" s="15">
        <v>30</v>
      </c>
      <c r="D67" s="15" cm="1">
        <f t="array" ref="D67">SUMPRODUCT(($K$13:$K$35&gt;=C66)*($K$13:$K$35&lt;=C67)*$J$13:$J$35)</f>
        <v>2.4500000000000002</v>
      </c>
      <c r="E67" s="15">
        <v>30</v>
      </c>
      <c r="F67" s="15" cm="1">
        <f t="array" ref="F67">SUMPRODUCT(($R$13:$R$35&gt;=E66)*($R$13:$R$35&lt;=E67)*$Q$13:$Q$35)</f>
        <v>1</v>
      </c>
    </row>
    <row r="68" spans="1:6" x14ac:dyDescent="0.25">
      <c r="A68" s="15">
        <v>35</v>
      </c>
      <c r="B68" s="15" cm="1">
        <f t="array" ref="B68">SUMPRODUCT(($D$13:$D$46&gt;=A67)*($D$13:$D$46&lt;=A68)*$C$13:$C$46)</f>
        <v>3.02</v>
      </c>
      <c r="C68" s="15">
        <v>35</v>
      </c>
      <c r="D68" s="15" cm="1">
        <f t="array" ref="D68">SUMPRODUCT(($K$13:$K$35&gt;=C67)*($K$13:$K$35&lt;=C68)*$J$13:$J$35)</f>
        <v>4</v>
      </c>
      <c r="E68" s="15">
        <v>35</v>
      </c>
      <c r="F68" s="15" cm="1">
        <f t="array" ref="F68">SUMPRODUCT(($R$13:$R$35&gt;=E67)*($R$13:$R$35&lt;=E68)*$Q$13:$Q$35)</f>
        <v>2.9000000000000004</v>
      </c>
    </row>
    <row r="69" spans="1:6" x14ac:dyDescent="0.25">
      <c r="A69" s="15">
        <v>40</v>
      </c>
      <c r="B69" s="15" cm="1">
        <f t="array" ref="B69">SUMPRODUCT(($D$13:$D$46&gt;=A68)*($D$13:$D$46&lt;=A69)*$C$13:$C$46)</f>
        <v>2.4500000000000002</v>
      </c>
      <c r="C69" s="15">
        <v>40</v>
      </c>
      <c r="D69" s="15" cm="1">
        <f t="array" ref="D69">SUMPRODUCT(($K$13:$K$35&gt;=C68)*($K$13:$K$35&lt;=C69)*$J$13:$J$35)</f>
        <v>2.38</v>
      </c>
      <c r="E69" s="15">
        <v>40</v>
      </c>
      <c r="F69" s="15" cm="1">
        <f t="array" ref="F69">SUMPRODUCT(($R$13:$R$35&gt;=E68)*($R$13:$R$35&lt;=E69)*$Q$13:$Q$35)</f>
        <v>1</v>
      </c>
    </row>
    <row r="70" spans="1:6" x14ac:dyDescent="0.25">
      <c r="A70" s="15">
        <v>45</v>
      </c>
      <c r="B70" s="15" cm="1">
        <f t="array" ref="B70">SUMPRODUCT(($D$13:$D$46&gt;=A69)*($D$13:$D$46&lt;=A70)*$C$13:$C$46)</f>
        <v>2</v>
      </c>
      <c r="C70" s="15">
        <v>45</v>
      </c>
      <c r="D70" s="15" cm="1">
        <f t="array" ref="D70">SUMPRODUCT(($K$13:$K$35&gt;=C69)*($K$13:$K$35&lt;=C70)*$J$13:$J$35)</f>
        <v>0</v>
      </c>
      <c r="E70" s="15">
        <v>45</v>
      </c>
      <c r="F70" s="15" cm="1">
        <f t="array" ref="F70">SUMPRODUCT(($R$13:$R$35&gt;=E69)*($R$13:$R$35&lt;=E70)*$Q$13:$Q$35)</f>
        <v>0</v>
      </c>
    </row>
    <row r="71" spans="1:6" x14ac:dyDescent="0.25">
      <c r="A71" s="15">
        <v>50</v>
      </c>
      <c r="B71" s="15" cm="1">
        <f t="array" ref="B71">SUMPRODUCT(($D$13:$D$46&gt;=A70)*($D$13:$D$46&lt;=A71)*$C$13:$C$46)</f>
        <v>0</v>
      </c>
      <c r="C71" s="15">
        <v>50</v>
      </c>
      <c r="D71" s="15" cm="1">
        <f t="array" ref="D71">SUMPRODUCT(($K$13:$K$35&gt;=C70)*($K$13:$K$35&lt;=C71)*$J$13:$J$35)</f>
        <v>0</v>
      </c>
      <c r="E71" s="15">
        <v>50</v>
      </c>
      <c r="F71" s="15" cm="1">
        <f t="array" ref="F71">SUMPRODUCT(($R$13:$R$35&gt;=E70)*($R$13:$R$35&lt;=E71)*$Q$13:$Q$35)</f>
        <v>0</v>
      </c>
    </row>
  </sheetData>
  <mergeCells count="4">
    <mergeCell ref="A11:F11"/>
    <mergeCell ref="H11:M11"/>
    <mergeCell ref="O11:T11"/>
    <mergeCell ref="C1:D1"/>
  </mergeCells>
  <conditionalFormatting sqref="E15:E40">
    <cfRule type="cellIs" dxfId="82" priority="12" operator="greaterThanOrEqual">
      <formula>4</formula>
    </cfRule>
  </conditionalFormatting>
  <conditionalFormatting sqref="E13:F13">
    <cfRule type="cellIs" dxfId="81" priority="40" operator="greaterThan">
      <formula>4</formula>
    </cfRule>
  </conditionalFormatting>
  <conditionalFormatting sqref="F14:F40">
    <cfRule type="cellIs" dxfId="80" priority="1" operator="greaterThan">
      <formula>4</formula>
    </cfRule>
  </conditionalFormatting>
  <conditionalFormatting sqref="L14:L35">
    <cfRule type="cellIs" dxfId="79" priority="9" operator="greaterThanOrEqual">
      <formula>4</formula>
    </cfRule>
  </conditionalFormatting>
  <conditionalFormatting sqref="L13:M13">
    <cfRule type="cellIs" dxfId="78" priority="38" operator="greaterThan">
      <formula>4</formula>
    </cfRule>
  </conditionalFormatting>
  <conditionalFormatting sqref="M14:M35">
    <cfRule type="cellIs" dxfId="77" priority="18" operator="greaterThan">
      <formula>4</formula>
    </cfRule>
  </conditionalFormatting>
  <conditionalFormatting sqref="S14:S35">
    <cfRule type="cellIs" dxfId="76" priority="3" operator="greaterThanOrEqual">
      <formula>4</formula>
    </cfRule>
  </conditionalFormatting>
  <conditionalFormatting sqref="S13:T13">
    <cfRule type="cellIs" dxfId="75" priority="41" operator="greaterThan">
      <formula>4</formula>
    </cfRule>
  </conditionalFormatting>
  <conditionalFormatting sqref="T14:T35">
    <cfRule type="cellIs" dxfId="74" priority="14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F83C97EE-CB53-4224-BE7E-FC706F69A58A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13" id="{B6C87F12-734D-41A8-B883-F3C9A04259E6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E14:E40</xm:sqref>
        </x14:conditionalFormatting>
        <x14:conditionalFormatting xmlns:xm="http://schemas.microsoft.com/office/excel/2006/main">
          <x14:cfRule type="expression" priority="42" id="{8B356452-3C47-49A8-88C9-E147B231E380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L14:L15</xm:sqref>
        </x14:conditionalFormatting>
        <x14:conditionalFormatting xmlns:xm="http://schemas.microsoft.com/office/excel/2006/main">
          <x14:cfRule type="expression" priority="10" id="{6152DD96-D8A7-4962-AED7-7ECA0B8E3EBE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L14:L35</xm:sqref>
        </x14:conditionalFormatting>
        <x14:conditionalFormatting xmlns:xm="http://schemas.microsoft.com/office/excel/2006/main">
          <x14:cfRule type="expression" priority="8" id="{CDAF001F-F7CB-41E0-851A-E99E3A645786}">
            <xm:f>AND(OFFSET(L16,0,-3)="Motorbike", L16&lt;Log!$C$13)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L16:L35</xm:sqref>
        </x14:conditionalFormatting>
        <x14:conditionalFormatting xmlns:xm="http://schemas.microsoft.com/office/excel/2006/main">
          <x14:cfRule type="expression" priority="2" id="{772D8A1C-9B6D-496E-8DEA-4FB17523D05F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4" id="{77A03088-73C1-4DCF-A1A0-DF6B018D2544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S14:S35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7B621-8E99-4648-8A55-2D1A4CE8AF88}">
  <sheetPr codeName="Sheet12"/>
  <dimension ref="A1:W71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61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15.84</v>
      </c>
      <c r="M2" s="19">
        <f>SUM(M20:M28)</f>
        <v>20.439999999999998</v>
      </c>
      <c r="R2" s="4" t="s">
        <v>20</v>
      </c>
      <c r="S2" s="8">
        <f>SUM(S25:S28)</f>
        <v>8.5999999999999979</v>
      </c>
      <c r="T2" s="8">
        <f>SUM(T25:T28)</f>
        <v>9.2839999999999989</v>
      </c>
    </row>
    <row r="3" spans="1:20" x14ac:dyDescent="0.25">
      <c r="K3" s="4" t="s">
        <v>21</v>
      </c>
      <c r="L3" s="20">
        <f>AVERAGE(L24:L26)</f>
        <v>1.5599999999999998</v>
      </c>
      <c r="M3" s="21">
        <f>AVERAGE(M22:M29)</f>
        <v>1.9790999999999999</v>
      </c>
      <c r="R3" s="4" t="s">
        <v>21</v>
      </c>
      <c r="S3" s="9">
        <f>AVERAGE(S25:S28)</f>
        <v>2.1499999999999995</v>
      </c>
      <c r="T3" s="9">
        <f>AVERAGE(T23:T32)</f>
        <v>1.5514399999999999</v>
      </c>
    </row>
    <row r="4" spans="1:20" x14ac:dyDescent="0.25">
      <c r="A4" s="4" t="s">
        <v>12</v>
      </c>
      <c r="B4" s="144">
        <f>100*COUNTIF($B$13:$B$43,A4)/COUNTA($B$13:$B$43)</f>
        <v>50</v>
      </c>
      <c r="H4" s="4" t="s">
        <v>12</v>
      </c>
      <c r="I4" s="144">
        <f>100*COUNTIF($I$13:$I$35,H4)/COUNTA($I$13:$I$35)</f>
        <v>77.777777777777771</v>
      </c>
      <c r="K4" s="4" t="s">
        <v>7</v>
      </c>
      <c r="L4" s="22">
        <f>3600/L3</f>
        <v>2307.6923076923081</v>
      </c>
      <c r="M4" s="23">
        <f>3600/M3</f>
        <v>1819.0086402910415</v>
      </c>
      <c r="O4" s="4" t="s">
        <v>12</v>
      </c>
      <c r="P4" s="144">
        <f>100*COUNTIF($P$13:$P$38,O4)/COUNTA($P$13:$P$38)</f>
        <v>30</v>
      </c>
      <c r="R4" s="4" t="s">
        <v>7</v>
      </c>
      <c r="S4" s="10">
        <f>3600/S3</f>
        <v>1674.4186046511632</v>
      </c>
      <c r="T4" s="10">
        <f>3600/T3</f>
        <v>2320.4248955808798</v>
      </c>
    </row>
    <row r="5" spans="1:20" x14ac:dyDescent="0.25">
      <c r="A5" s="4" t="s">
        <v>14</v>
      </c>
      <c r="B5" s="144">
        <f t="shared" ref="B5:B7" si="0">100*COUNTIF($B$13:$B$43,A5)/COUNTA($B$13:$B$43)</f>
        <v>11.538461538461538</v>
      </c>
      <c r="H5" s="4" t="s">
        <v>14</v>
      </c>
      <c r="I5" s="144">
        <f t="shared" ref="I5:I7" si="1">100*COUNTIF($I$13:$I$35,H5)/COUNTA($I$13:$I$35)</f>
        <v>5.5555555555555554</v>
      </c>
      <c r="O5" s="4" t="s">
        <v>14</v>
      </c>
      <c r="P5" s="144">
        <f t="shared" ref="P5:P7" si="2">100*COUNTIF($P$13:$P$38,O5)/COUNTA($P$13:$P$38)</f>
        <v>25</v>
      </c>
    </row>
    <row r="6" spans="1:20" x14ac:dyDescent="0.25">
      <c r="A6" s="4" t="s">
        <v>13</v>
      </c>
      <c r="B6" s="144">
        <f t="shared" si="0"/>
        <v>34.615384615384613</v>
      </c>
      <c r="E6" s="29" t="s">
        <v>32</v>
      </c>
      <c r="F6" s="29" t="s">
        <v>31</v>
      </c>
      <c r="H6" s="4" t="s">
        <v>13</v>
      </c>
      <c r="I6" s="144">
        <f t="shared" si="1"/>
        <v>11.111111111111111</v>
      </c>
      <c r="L6" s="29" t="s">
        <v>32</v>
      </c>
      <c r="M6" s="29" t="s">
        <v>31</v>
      </c>
      <c r="O6" s="4" t="s">
        <v>13</v>
      </c>
      <c r="P6" s="144">
        <f t="shared" si="2"/>
        <v>40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3.8461538461538463</v>
      </c>
      <c r="D7" s="30" t="s">
        <v>30</v>
      </c>
      <c r="E7" s="25">
        <f>SUM(E21:E23)</f>
        <v>7</v>
      </c>
      <c r="F7" s="25">
        <f>SUM(F21:F23)</f>
        <v>7</v>
      </c>
      <c r="H7" s="4" t="s">
        <v>28</v>
      </c>
      <c r="I7" s="144">
        <f t="shared" si="1"/>
        <v>0</v>
      </c>
      <c r="K7" s="30" t="s">
        <v>30</v>
      </c>
      <c r="L7" s="25">
        <f>SUM(L14:L37)</f>
        <v>33.519999999999996</v>
      </c>
      <c r="M7" s="25">
        <f>SUM(M14:M37)</f>
        <v>35.167200000000001</v>
      </c>
      <c r="O7" s="4" t="s">
        <v>28</v>
      </c>
      <c r="P7" s="144">
        <f t="shared" si="2"/>
        <v>5</v>
      </c>
      <c r="R7" s="30" t="s">
        <v>20</v>
      </c>
      <c r="S7" s="25">
        <f>SUM(S14:S23)</f>
        <v>17.079999999999998</v>
      </c>
      <c r="T7" s="25">
        <f>SUM(T13:T23)</f>
        <v>11.995200000000001</v>
      </c>
    </row>
    <row r="8" spans="1:20" ht="15.75" thickBot="1" x14ac:dyDescent="0.3">
      <c r="D8" s="30" t="s">
        <v>21</v>
      </c>
      <c r="E8" s="28">
        <f>AVERAGEIF(E20:E38,"&lt;&gt;0")</f>
        <v>2.024</v>
      </c>
      <c r="F8" s="28">
        <f>AVERAGEIF(F18:F38,"&lt;&gt;0")</f>
        <v>1.9026588235294122</v>
      </c>
      <c r="K8" s="30" t="s">
        <v>21</v>
      </c>
      <c r="L8" s="28">
        <f>AVERAGEIF(L14:L20,"&lt;&gt;0")</f>
        <v>1.8666666666666665</v>
      </c>
      <c r="M8" s="28">
        <f>AVERAGEIF(M14:M20,"&lt;&gt;0")</f>
        <v>1.5357333333333332</v>
      </c>
      <c r="O8" s="4" t="s">
        <v>15</v>
      </c>
      <c r="P8" s="144">
        <f t="shared" ref="P8:P9" si="3">100*COUNTIF($P$13:$P$39,O8)/COUNTA($P$13:$P$39)</f>
        <v>0</v>
      </c>
      <c r="R8" s="30" t="s">
        <v>21</v>
      </c>
      <c r="S8" s="28">
        <f>AVERAGEIF(S14:S21,"&lt;&gt;0")</f>
        <v>1.68</v>
      </c>
      <c r="T8" s="28">
        <f>AVERAGEIF(T23:T32,"&lt;&gt;0")</f>
        <v>1.9393</v>
      </c>
    </row>
    <row r="9" spans="1:20" ht="15.75" thickBot="1" x14ac:dyDescent="0.3">
      <c r="D9" s="30" t="s">
        <v>7</v>
      </c>
      <c r="E9" s="27">
        <f>3600/E8</f>
        <v>1778.6561264822135</v>
      </c>
      <c r="F9" s="31">
        <f>3600/F8</f>
        <v>1892.0890889529201</v>
      </c>
      <c r="K9" s="30" t="s">
        <v>7</v>
      </c>
      <c r="L9" s="27">
        <f>3600/L8</f>
        <v>1928.5714285714287</v>
      </c>
      <c r="M9" s="31">
        <f>3600/M8</f>
        <v>2344.1569716964755</v>
      </c>
      <c r="O9" s="4" t="s">
        <v>33</v>
      </c>
      <c r="P9" s="144">
        <f t="shared" si="3"/>
        <v>0</v>
      </c>
      <c r="R9" s="30" t="s">
        <v>7</v>
      </c>
      <c r="S9" s="27">
        <f>3600/S8</f>
        <v>2142.8571428571431</v>
      </c>
      <c r="T9" s="31">
        <f>3600/T8</f>
        <v>1856.3399164647037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3" t="s">
        <v>16</v>
      </c>
      <c r="B12" s="3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3" t="s">
        <v>16</v>
      </c>
      <c r="I12" s="3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3" t="s">
        <v>17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4">
        <v>4</v>
      </c>
      <c r="B13" s="4" t="s">
        <v>12</v>
      </c>
      <c r="C13" s="5">
        <f>VLOOKUP(B13,Log!$B$2:$C$8,2,)</f>
        <v>1</v>
      </c>
      <c r="D13" s="5">
        <v>0.92</v>
      </c>
      <c r="E13" s="34">
        <v>0</v>
      </c>
      <c r="F13" s="34">
        <v>0</v>
      </c>
      <c r="H13" s="16">
        <v>6</v>
      </c>
      <c r="I13" s="16" t="s">
        <v>12</v>
      </c>
      <c r="J13" s="5">
        <f>VLOOKUP(I13,Log!$B$2:$C$8,2,)</f>
        <v>1</v>
      </c>
      <c r="K13" s="4">
        <v>0.48</v>
      </c>
      <c r="L13" s="34">
        <v>0</v>
      </c>
      <c r="M13" s="34">
        <v>0</v>
      </c>
      <c r="N13" s="15"/>
      <c r="O13" s="65">
        <v>3</v>
      </c>
      <c r="P13" s="56" t="s">
        <v>14</v>
      </c>
      <c r="Q13" s="5">
        <f>VLOOKUP(P13,Log!$B$2:$C$8,2,)</f>
        <v>0.45</v>
      </c>
      <c r="R13" s="4">
        <v>0.4</v>
      </c>
      <c r="S13" s="34">
        <v>0</v>
      </c>
      <c r="T13" s="34">
        <v>0</v>
      </c>
    </row>
    <row r="14" spans="1:20" x14ac:dyDescent="0.25">
      <c r="A14" s="4">
        <v>30</v>
      </c>
      <c r="B14" s="4" t="s">
        <v>13</v>
      </c>
      <c r="C14" s="5">
        <f>VLOOKUP(B14,Log!$B$2:$C$8,2,)</f>
        <v>0.38</v>
      </c>
      <c r="D14" s="5">
        <v>1.8</v>
      </c>
      <c r="E14" s="34">
        <f>IF(OR(AND(B14="Motorbike",D14-D13&lt;Log!$C$13),AND(B14&lt;&gt;"Motorbike",D14-D13&lt;Log!$C$12)),0,D14-D13)</f>
        <v>0.88</v>
      </c>
      <c r="F14" s="34">
        <f>IF(E15&lt;&gt;0,C14*E14,IF(E16=0,(C14+C15+C16)*E14,(C14+C15)*E14))</f>
        <v>0.33440000000000003</v>
      </c>
      <c r="H14" s="16">
        <v>2</v>
      </c>
      <c r="I14" s="16" t="s">
        <v>12</v>
      </c>
      <c r="J14" s="5">
        <f>VLOOKUP(I14,Log!$B$2:$C$8,2,)</f>
        <v>1</v>
      </c>
      <c r="K14" s="4">
        <v>2.12</v>
      </c>
      <c r="L14" s="34">
        <f>IF(OR(AND(I14="Motorbike",K14-K13&lt;Log!$C$13),AND(I14&lt;&gt;"Motorbike",K14-K13&lt;Log!$C$12)),0,K14-K13)</f>
        <v>1.6400000000000001</v>
      </c>
      <c r="M14" s="34">
        <f>IF(L15&lt;&gt;0,J14*L14,IF(L16=0,(J14+J15+J16)*L14,(J14+J15)*L14))</f>
        <v>1.6400000000000001</v>
      </c>
      <c r="N14" s="15"/>
      <c r="O14" s="73">
        <v>10</v>
      </c>
      <c r="P14" s="62" t="s">
        <v>14</v>
      </c>
      <c r="Q14" s="5">
        <f>VLOOKUP(P14,Log!$B$2:$C$8,2,)</f>
        <v>0.45</v>
      </c>
      <c r="R14" s="4">
        <v>1.48</v>
      </c>
      <c r="S14" s="34">
        <f>IF(OR(AND(P14="Motorbike",R14-R13&lt;Log!$C$13),AND(P14&lt;&gt;"Motorbike",R14-R13&lt;Log!$C$12)),0,R14-R13)</f>
        <v>1.08</v>
      </c>
      <c r="T14" s="34">
        <f>IF(S15&lt;&gt;0,Q14*S14,IF(S16=0,(Q14+Q15+Q16)*S14,(Q14+Q15)*S14))</f>
        <v>0.48600000000000004</v>
      </c>
    </row>
    <row r="15" spans="1:20" x14ac:dyDescent="0.25">
      <c r="A15" s="4">
        <v>22</v>
      </c>
      <c r="B15" s="4" t="s">
        <v>13</v>
      </c>
      <c r="C15" s="5">
        <f>VLOOKUP(B15,Log!$B$2:$C$8,2,)</f>
        <v>0.38</v>
      </c>
      <c r="D15" s="5">
        <v>3.12</v>
      </c>
      <c r="E15" s="34">
        <f>IF(OR(AND(B15="Motorbike",D15-D14&lt;Log!$C$13),AND(B15&lt;&gt;"Motorbike",D15-D14&lt;Log!$C$12)),0,D15-D14)</f>
        <v>1.32</v>
      </c>
      <c r="F15" s="34">
        <f t="shared" ref="F15:F38" si="4">IF(E16&lt;&gt;0,C15*E15,IF(E17=0,(C15+C16+C17)*E15,(C15+C16)*E15))</f>
        <v>0.50160000000000005</v>
      </c>
      <c r="H15" s="16">
        <v>12</v>
      </c>
      <c r="I15" s="16" t="s">
        <v>12</v>
      </c>
      <c r="J15" s="5">
        <f>VLOOKUP(I15,Log!$B$2:$C$8,2,)</f>
        <v>1</v>
      </c>
      <c r="K15" s="4">
        <v>4.4000000000000004</v>
      </c>
      <c r="L15" s="34">
        <f>IF(OR(AND(I15="Motorbike",K15-K14&lt;Log!$C$13),AND(I15&lt;&gt;"Motorbike",K15-K14&lt;Log!$C$12)),0,K15-K14)</f>
        <v>2.2800000000000002</v>
      </c>
      <c r="M15" s="34">
        <f t="shared" ref="M15:M30" si="5">IF(L16&lt;&gt;0,J15*L15,IF(L17=0,(J15+J16+J17)*L15,(J15+J16)*L15))</f>
        <v>2.2800000000000002</v>
      </c>
      <c r="N15" s="15"/>
      <c r="O15" s="73">
        <v>11</v>
      </c>
      <c r="P15" s="56" t="s">
        <v>14</v>
      </c>
      <c r="Q15" s="5">
        <f>VLOOKUP(P15,Log!$B$2:$C$8,2,)</f>
        <v>0.45</v>
      </c>
      <c r="R15" s="4">
        <v>2.92</v>
      </c>
      <c r="S15" s="34">
        <f>IF(OR(AND(P15="Motorbike",R15-R14&lt;Log!$C$13),AND(P15&lt;&gt;"Motorbike",R15-R14&lt;Log!$C$12)),0,R15-R14)</f>
        <v>1.44</v>
      </c>
      <c r="T15" s="34">
        <f t="shared" ref="T15:T32" si="6">IF(S16&lt;&gt;0,Q15*S15,IF(S17=0,(Q15+Q16+Q17)*S15,(Q15+Q16)*S15))</f>
        <v>0.64800000000000002</v>
      </c>
    </row>
    <row r="16" spans="1:20" ht="15.75" thickBot="1" x14ac:dyDescent="0.3">
      <c r="A16" s="51">
        <v>50</v>
      </c>
      <c r="B16" s="4" t="s">
        <v>13</v>
      </c>
      <c r="C16" s="5">
        <f>VLOOKUP(B16,Log!$B$2:$C$8,2,)</f>
        <v>0.38</v>
      </c>
      <c r="D16" s="5">
        <v>4.12</v>
      </c>
      <c r="E16" s="34">
        <f>IF(OR(AND(B16="Motorbike",D16-D15&lt;Log!$C$13),AND(B16&lt;&gt;"Motorbike",D16-D15&lt;Log!$C$12)),0,IF(E15&lt;&gt;0,D16-D15,IF(E14=0,D16-D13,D16-D14)))</f>
        <v>1</v>
      </c>
      <c r="F16" s="34">
        <f t="shared" si="4"/>
        <v>1.38</v>
      </c>
      <c r="H16" s="16">
        <v>51</v>
      </c>
      <c r="I16" s="16" t="s">
        <v>13</v>
      </c>
      <c r="J16" s="5">
        <f>VLOOKUP(I16,Log!$B$2:$C$8,2,)</f>
        <v>0.38</v>
      </c>
      <c r="K16" s="4">
        <v>6.68</v>
      </c>
      <c r="L16" s="34">
        <f>IF(OR(AND(I16="Motorbike",K16-K15&lt;Log!$C$13),AND(I16&lt;&gt;"Motorbike",K16-K15&lt;Log!$C$12)),0,IF(L15&lt;&gt;0,K16-K15,IF(L14=0,K16-K13,K16-K14)))</f>
        <v>2.2799999999999994</v>
      </c>
      <c r="M16" s="34">
        <f t="shared" si="5"/>
        <v>0.86639999999999973</v>
      </c>
      <c r="N16" s="15"/>
      <c r="O16" s="60">
        <v>41</v>
      </c>
      <c r="P16" s="56" t="s">
        <v>13</v>
      </c>
      <c r="Q16" s="5">
        <f>VLOOKUP(P16,Log!$B$2:$C$8,2,)</f>
        <v>0.38</v>
      </c>
      <c r="R16" s="4">
        <v>4.68</v>
      </c>
      <c r="S16" s="34">
        <f>IF(OR(AND(P16="Motorbike",R16-R15&lt;Log!$C$13),AND(P16&lt;&gt;"Motorbike",R16-R15&lt;Log!$C$12)),0,IF(S15&lt;&gt;0,R16-R15,IF(S14=0,R16-R13,R16-R14)))</f>
        <v>1.7599999999999998</v>
      </c>
      <c r="T16" s="34">
        <f t="shared" si="6"/>
        <v>1.4607999999999999</v>
      </c>
    </row>
    <row r="17" spans="1:23" x14ac:dyDescent="0.25">
      <c r="A17" s="59">
        <v>9</v>
      </c>
      <c r="B17" s="56" t="s">
        <v>12</v>
      </c>
      <c r="C17" s="5">
        <f>VLOOKUP(B17,Log!$B$2:$C$8,2,)</f>
        <v>1</v>
      </c>
      <c r="D17" s="5">
        <v>4.32</v>
      </c>
      <c r="E17" s="34">
        <f>IF(OR(AND(B17="Motorbike",D17-D16&lt;Log!$C$13),AND(B17&lt;&gt;"Motorbike",D17-D16&lt;Log!$C$12)),0,IF(E16&lt;&gt;0,D17-D16,IF(E15=0,D17-D14,D17-D15)))</f>
        <v>0</v>
      </c>
      <c r="F17" s="34">
        <f t="shared" si="4"/>
        <v>0</v>
      </c>
      <c r="H17" s="16">
        <v>63</v>
      </c>
      <c r="I17" s="4" t="s">
        <v>14</v>
      </c>
      <c r="J17" s="5">
        <f>VLOOKUP(I17,Log!$B$2:$C$8,2,)</f>
        <v>0.45</v>
      </c>
      <c r="K17" s="4">
        <v>8.8000000000000007</v>
      </c>
      <c r="L17" s="34">
        <f>IF(OR(AND(I17="Motorbike",K17-K16&lt;Log!$C$13),AND(I17&lt;&gt;"Motorbike",K17-K16&lt;Log!$C$12)),0,IF(L16&lt;&gt;0,K17-K16,IF(L15=0,K17-K14,K17-K15)))</f>
        <v>2.120000000000001</v>
      </c>
      <c r="M17" s="34">
        <f t="shared" si="5"/>
        <v>0.95400000000000051</v>
      </c>
      <c r="N17" s="15"/>
      <c r="O17" s="60">
        <v>16</v>
      </c>
      <c r="P17" s="56" t="s">
        <v>14</v>
      </c>
      <c r="Q17" s="5">
        <f>VLOOKUP(P17,Log!$B$2:$C$8,2,)</f>
        <v>0.45</v>
      </c>
      <c r="R17" s="4">
        <v>5.12</v>
      </c>
      <c r="S17" s="34">
        <f>IF(OR(AND(OR(P17="Motorbike",P17="CNG",P17="Bicycle",P17="NMV"),R17-R16&lt;Log!$C$13),AND(NOT(OR(P17="Motorbike",P17="CNG",P17="Bicycle",P17="NMV")),R17-R16&lt;Log!$C$12)),0,IF(S16&lt;&gt;0,R17-R16,IF(S15=0,R17-R14,R17-R15)))</f>
        <v>0</v>
      </c>
      <c r="T17" s="34">
        <f t="shared" si="6"/>
        <v>0</v>
      </c>
    </row>
    <row r="18" spans="1:23" x14ac:dyDescent="0.25">
      <c r="A18" s="60">
        <v>49</v>
      </c>
      <c r="B18" s="56" t="s">
        <v>13</v>
      </c>
      <c r="C18" s="5">
        <f>VLOOKUP(B18,Log!$B$2:$C$8,2,)</f>
        <v>0.38</v>
      </c>
      <c r="D18" s="5">
        <v>5.6</v>
      </c>
      <c r="E18" s="34">
        <f>IF(OR(AND(B18="Motorbike",D18-D17&lt;Log!$C$13),AND(B18&lt;&gt;"Motorbike",D18-D17&lt;Log!$C$12)),0,IF(E17&lt;&gt;0,D18-D17,IF(E16=0,D18-D15,D18-D16)))</f>
        <v>1.4799999999999995</v>
      </c>
      <c r="F18" s="109">
        <f t="shared" si="4"/>
        <v>0.56239999999999979</v>
      </c>
      <c r="H18" s="16">
        <v>42</v>
      </c>
      <c r="I18" s="4" t="s">
        <v>12</v>
      </c>
      <c r="J18" s="5">
        <f>VLOOKUP(I18,Log!$B$2:$C$8,2,)</f>
        <v>1</v>
      </c>
      <c r="K18" s="4">
        <v>9.8800000000000008</v>
      </c>
      <c r="L18" s="34">
        <f>IF(OR(AND(I18="Motorbike",K18-K17&lt;Log!$C$13),AND(I18&lt;&gt;"Motorbike",K18-K17&lt;Log!$C$12)),0,IF(L17&lt;&gt;0,K18-K17,IF(L16=0,K18-K15,K18-K16)))</f>
        <v>1.08</v>
      </c>
      <c r="M18" s="34">
        <f t="shared" si="5"/>
        <v>1.08</v>
      </c>
      <c r="N18" s="15"/>
      <c r="O18" s="60">
        <v>57</v>
      </c>
      <c r="P18" s="56" t="s">
        <v>13</v>
      </c>
      <c r="Q18" s="5">
        <f>VLOOKUP(P18,Log!$B$2:$C$8,2,)</f>
        <v>0.38</v>
      </c>
      <c r="R18" s="4">
        <v>6.48</v>
      </c>
      <c r="S18" s="34">
        <f>IF(OR(AND(OR(P18="Motorbike",P18="CNG",P18="Bicycle",P18="NMV"),R18-R17&lt;Log!$C$13),AND(NOT(OR(P18="Motorbike",P18="CNG",P18="Bicycle",P18="NMV")),R18-R17&lt;Log!$C$12)),0,IF(S17&lt;&gt;0,R18-R17,IF(S16=0,R18-R15,R18-R16)))</f>
        <v>1.8000000000000007</v>
      </c>
      <c r="T18" s="34">
        <f t="shared" si="6"/>
        <v>1.3680000000000005</v>
      </c>
    </row>
    <row r="19" spans="1:23" x14ac:dyDescent="0.25">
      <c r="A19" s="60">
        <v>13</v>
      </c>
      <c r="B19" s="56" t="s">
        <v>12</v>
      </c>
      <c r="C19" s="5">
        <f>VLOOKUP(B19,Log!$B$2:$C$8,2,)</f>
        <v>1</v>
      </c>
      <c r="D19" s="5">
        <v>7.32</v>
      </c>
      <c r="E19" s="34">
        <f>IF(OR(AND(B19="Motorbike",D19-D18&lt;Log!$C$13),AND(B19&lt;&gt;"Motorbike",D19-D18&lt;Log!$C$12)),0,IF(E18&lt;&gt;0,D19-D18,IF(E17=0,D19-D16,D19-D17)))</f>
        <v>1.7200000000000006</v>
      </c>
      <c r="F19" s="109">
        <f t="shared" si="4"/>
        <v>1.7200000000000006</v>
      </c>
      <c r="H19" s="16">
        <v>85</v>
      </c>
      <c r="I19" s="4" t="s">
        <v>15</v>
      </c>
      <c r="J19" s="5">
        <f>VLOOKUP(I19,Log!$B$2:$C$8,2,)</f>
        <v>0.33</v>
      </c>
      <c r="K19" s="4">
        <v>11.68</v>
      </c>
      <c r="L19" s="34">
        <f>IF(OR(AND(I19="Motorbike",K19-K18&lt;Log!$C$13),AND(I19&lt;&gt;"Motorbike",K19-K18&lt;Log!$C$12)),0,IF(L18&lt;&gt;0,K19-K18,IF(L17=0,K19-K16,K19-K17)))</f>
        <v>1.7999999999999989</v>
      </c>
      <c r="M19" s="34">
        <f t="shared" si="5"/>
        <v>2.3939999999999988</v>
      </c>
      <c r="N19" s="15"/>
      <c r="O19" s="60">
        <v>51</v>
      </c>
      <c r="P19" s="56" t="s">
        <v>13</v>
      </c>
      <c r="Q19" s="5">
        <f>VLOOKUP(P19,Log!$B$2:$C$8,2,)</f>
        <v>0.38</v>
      </c>
      <c r="R19" s="4">
        <v>6.68</v>
      </c>
      <c r="S19" s="34">
        <f>IF(OR(AND(OR(P19="Motorbike",P19="CNG",P19="Bicycle",P19="NMV"),R19-R18&lt;Log!$C$13),AND(NOT(OR(P19="Motorbike",P19="CNG",P19="Bicycle",P19="NMV")),R19-R18&lt;Log!$C$12)),0,IF(S18&lt;&gt;0,R19-R18,IF(S17=0,R19-R16,R19-R17)))</f>
        <v>0</v>
      </c>
      <c r="T19" s="34">
        <f t="shared" si="6"/>
        <v>0</v>
      </c>
    </row>
    <row r="20" spans="1:23" x14ac:dyDescent="0.25">
      <c r="A20" s="60">
        <v>32</v>
      </c>
      <c r="B20" s="56" t="s">
        <v>14</v>
      </c>
      <c r="C20" s="5">
        <f>VLOOKUP(B20,Log!$B$2:$C$8,2,)</f>
        <v>0.45</v>
      </c>
      <c r="D20" s="5">
        <v>8.08</v>
      </c>
      <c r="E20" s="34">
        <f>IF(OR(AND(OR(B20="Motorbike",B20="CNG",B20="Bicycle",B20="NMV"),D20-D19&lt;Log!$C$13),AND(NOT(OR(B20="Motorbike",B20="CNG",B20="Bicycle",B20="NMV")),D20-D19&lt;Log!$C$12)),0,IF(E19&lt;&gt;0,D20-D19,IF(E18=0,D20-D17,D20-D18)))</f>
        <v>0.75999999999999979</v>
      </c>
      <c r="F20" s="109">
        <f t="shared" si="4"/>
        <v>0.34199999999999992</v>
      </c>
      <c r="H20" s="16">
        <v>73</v>
      </c>
      <c r="I20" s="4" t="s">
        <v>12</v>
      </c>
      <c r="J20" s="5">
        <f>VLOOKUP(I20,Log!$B$2:$C$8,2,)</f>
        <v>1</v>
      </c>
      <c r="K20" s="4">
        <v>12.48</v>
      </c>
      <c r="L20" s="34">
        <f>IF(OR(AND(OR(I20="Motorbike",I20="CNG",I20="Bicycle",I20="NMV"),K20-K19&lt;Log!$C$13),AND(NOT(OR(I20="Motorbike",I20="CNG",I20="Bicycle",I20="NMV")),K20-K19&lt;Log!$C$12)),0,IF(L19&lt;&gt;0,K20-K19,IF(L18=0,K20-K17,K20-K18)))</f>
        <v>0</v>
      </c>
      <c r="M20" s="34">
        <f t="shared" si="5"/>
        <v>0</v>
      </c>
      <c r="N20" s="15"/>
      <c r="O20" s="60">
        <v>63</v>
      </c>
      <c r="P20" s="56" t="s">
        <v>14</v>
      </c>
      <c r="Q20" s="5">
        <f>VLOOKUP(P20,Log!$B$2:$C$8,2,)</f>
        <v>0.45</v>
      </c>
      <c r="R20" s="4">
        <v>9.08</v>
      </c>
      <c r="S20" s="34">
        <f>IF(OR(AND(OR(P20="Motorbike",P20="CNG",P20="Bicycle",P20="NMV"),R20-R19&lt;Log!$C$13),AND(NOT(OR(P20="Motorbike",P20="CNG",P20="Bicycle",P20="NMV")),R20-R19&lt;Log!$C$12)),0,IF(S19&lt;&gt;0,R20-R19,IF(S18=0,R20-R17,R20-R18)))</f>
        <v>2.5999999999999996</v>
      </c>
      <c r="T20" s="34">
        <f t="shared" si="6"/>
        <v>1.17</v>
      </c>
    </row>
    <row r="21" spans="1:23" ht="15.75" thickBot="1" x14ac:dyDescent="0.3">
      <c r="A21" s="60">
        <v>54</v>
      </c>
      <c r="B21" s="56" t="s">
        <v>12</v>
      </c>
      <c r="C21" s="5">
        <f>VLOOKUP(B21,Log!$B$2:$C$8,2,)</f>
        <v>1</v>
      </c>
      <c r="D21" s="5">
        <v>9.6</v>
      </c>
      <c r="E21" s="34">
        <f>IF(OR(AND(OR(B21="Motorbike",B21="CNG",B21="Bicycle",B21="NMV"),D21-D20&lt;Log!$C$13),AND(NOT(OR(B21="Motorbike",B21="CNG",B21="Bicycle",B21="NMV")),D21-D20&lt;Log!$C$12)),0,IF(E20&lt;&gt;0,D21-D20,IF(E19=0,D21-D18,D21-D19)))</f>
        <v>1.5199999999999996</v>
      </c>
      <c r="F21" s="109">
        <f t="shared" si="4"/>
        <v>1.5199999999999996</v>
      </c>
      <c r="H21" s="16">
        <v>81</v>
      </c>
      <c r="I21" s="4" t="s">
        <v>12</v>
      </c>
      <c r="J21" s="5">
        <f>VLOOKUP(I21,Log!$B$2:$C$8,2,)</f>
        <v>1</v>
      </c>
      <c r="K21" s="4">
        <v>16.88</v>
      </c>
      <c r="L21" s="34">
        <f>IF(OR(AND(OR(I21="Motorbike",I21="CNG",I21="Bicycle",I21="NMV"),K21-K20&lt;Log!$C$13),AND(NOT(OR(I21="Motorbike",I21="CNG",I21="Bicycle",I21="NMV")),K21-K20&lt;Log!$C$12)),0,IF(L20&lt;&gt;0,K21-K20,IF(L19=0,K21-K18,K21-K19)))</f>
        <v>5.1999999999999993</v>
      </c>
      <c r="M21" s="34">
        <f t="shared" si="5"/>
        <v>5.1999999999999993</v>
      </c>
      <c r="N21" s="15"/>
      <c r="O21" s="61">
        <v>46</v>
      </c>
      <c r="P21" s="56" t="s">
        <v>12</v>
      </c>
      <c r="Q21" s="5">
        <f>VLOOKUP(P21,Log!$B$2:$C$8,2,)</f>
        <v>1</v>
      </c>
      <c r="R21" s="4">
        <v>10.48</v>
      </c>
      <c r="S21" s="34">
        <f>IF(OR(AND(OR(P21="Motorbike",P21="CNG",P21="Bicycle",P21="NMV"),R21-R20&lt;Log!$C$13),AND(NOT(OR(P21="Motorbike",P21="CNG",P21="Bicycle",P21="NMV")),R21-R20&lt;Log!$C$12)),0,IF(S20&lt;&gt;0,R21-R20,IF(S19=0,R21-R18,R21-R19)))</f>
        <v>1.4000000000000004</v>
      </c>
      <c r="T21" s="34">
        <f t="shared" si="6"/>
        <v>1.4000000000000004</v>
      </c>
    </row>
    <row r="22" spans="1:23" ht="15.75" thickBot="1" x14ac:dyDescent="0.3">
      <c r="A22" s="60">
        <v>71</v>
      </c>
      <c r="B22" s="56" t="s">
        <v>12</v>
      </c>
      <c r="C22" s="5">
        <f>VLOOKUP(B22,Log!$B$2:$C$8,2,)</f>
        <v>1</v>
      </c>
      <c r="D22" s="5">
        <v>13.32</v>
      </c>
      <c r="E22" s="34">
        <f>IF(OR(AND(OR(B22="Motorbike",B22="CNG",B22="Bicycle",B22="NMV"),D22-D21&lt;Log!$C$13),AND(NOT(OR(B22="Motorbike",B22="CNG",B22="Bicycle",B22="NMV")),D22-D21&lt;Log!$C$12)),0,IF(E21&lt;&gt;0,D22-D21,IF(E20=0,D22-D19,D22-D20)))</f>
        <v>3.7200000000000006</v>
      </c>
      <c r="F22" s="109">
        <f t="shared" si="4"/>
        <v>3.7200000000000006</v>
      </c>
      <c r="H22" s="16">
        <v>100</v>
      </c>
      <c r="I22" s="4" t="s">
        <v>12</v>
      </c>
      <c r="J22" s="5">
        <f>VLOOKUP(I22,Log!$B$2:$C$8,2,)</f>
        <v>1</v>
      </c>
      <c r="K22" s="4">
        <v>18.48</v>
      </c>
      <c r="L22" s="34">
        <f>IF(OR(AND(OR(I22="Motorbike",I22="CNG",I22="Bicycle",I22="NMV"),K22-K21&lt;Log!$C$13),AND(NOT(OR(I22="Motorbike",I22="CNG",I22="Bicycle",I22="NMV")),K22-K21&lt;Log!$C$12)),0,IF(L21&lt;&gt;0,K22-K21,IF(L20=0,K22-K19,K22-K20)))</f>
        <v>1.6000000000000014</v>
      </c>
      <c r="M22" s="34">
        <f t="shared" si="5"/>
        <v>1.6000000000000014</v>
      </c>
      <c r="N22" s="15"/>
      <c r="O22" s="43">
        <v>70</v>
      </c>
      <c r="P22" s="4" t="s">
        <v>12</v>
      </c>
      <c r="Q22" s="5">
        <f>VLOOKUP(P22,Log!$B$2:$C$8,2,)</f>
        <v>1</v>
      </c>
      <c r="R22" s="4">
        <v>15</v>
      </c>
      <c r="S22" s="34">
        <f>IF(OR(AND(OR(P22="Motorbike",P22="CNG",P22="Bicycle",P22="NMV"),R22-R21&lt;Log!$C$13),AND(NOT(OR(P22="Motorbike",P22="CNG",P22="Bicycle",P22="NMV")),R22-R21&lt;Log!$C$12)),0,IF(S21&lt;&gt;0,R22-R21,IF(S20=0,R22-R19,R22-R20)))</f>
        <v>4.5199999999999996</v>
      </c>
      <c r="T22" s="34">
        <f t="shared" si="6"/>
        <v>4.5199999999999996</v>
      </c>
    </row>
    <row r="23" spans="1:23" x14ac:dyDescent="0.25">
      <c r="A23" s="60">
        <v>75</v>
      </c>
      <c r="B23" s="56" t="s">
        <v>12</v>
      </c>
      <c r="C23" s="5">
        <f>VLOOKUP(B23,Log!$B$2:$C$8,2,)</f>
        <v>1</v>
      </c>
      <c r="D23" s="5">
        <v>15.08</v>
      </c>
      <c r="E23" s="34">
        <f>IF(OR(AND(OR(B23="Motorbike",B23="CNG",B23="Bicycle",B23="NMV"),D23-D22&lt;Log!$C$13),AND(NOT(OR(B23="Motorbike",B23="CNG",B23="Bicycle",B23="NMV")),D23-D22&lt;Log!$C$12)),0,IF(E22&lt;&gt;0,D23-D22,IF(E21=0,D23-D20,D23-D21)))</f>
        <v>1.7599999999999998</v>
      </c>
      <c r="F23" s="109">
        <f t="shared" si="4"/>
        <v>1.7599999999999998</v>
      </c>
      <c r="H23" s="16">
        <v>121</v>
      </c>
      <c r="I23" s="4" t="s">
        <v>12</v>
      </c>
      <c r="J23" s="5">
        <f>VLOOKUP(I23,Log!$B$2:$C$8,2,)</f>
        <v>1</v>
      </c>
      <c r="K23" s="4">
        <v>21.4</v>
      </c>
      <c r="L23" s="34">
        <f>IF(OR(AND(OR(I23="Motorbike",I23="CNG",I23="Bicycle",I23="NMV"),K23-K22&lt;Log!$C$13),AND(NOT(OR(I23="Motorbike",I23="CNG",I23="Bicycle",I23="NMV")),K23-K22&lt;Log!$C$12)),0,IF(L22&lt;&gt;0,K23-K22,IF(L21=0,K23-K20,K23-K21)))</f>
        <v>2.9199999999999982</v>
      </c>
      <c r="M23" s="34">
        <f t="shared" si="5"/>
        <v>5.8399999999999963</v>
      </c>
      <c r="N23" s="15"/>
      <c r="O23" s="59">
        <v>107</v>
      </c>
      <c r="P23" s="62" t="s">
        <v>13</v>
      </c>
      <c r="Q23" s="5">
        <f>VLOOKUP(P23,Log!$B$2:$C$8,2,)</f>
        <v>0.38</v>
      </c>
      <c r="R23" s="4">
        <v>17.48</v>
      </c>
      <c r="S23" s="34">
        <f>IF(OR(AND(OR(P23="Motorbike",P23="CNG",P23="Bicycle",P23="NMV"),R23-R22&lt;Log!$C$13),AND(NOT(OR(P23="Motorbike",P23="CNG",P23="Bicycle",P23="NMV")),R23-R22&lt;Log!$C$12)),0,IF(S22&lt;&gt;0,R23-R22,IF(S21=0,R23-R20,R23-R21)))</f>
        <v>2.4800000000000004</v>
      </c>
      <c r="T23" s="34">
        <f t="shared" si="6"/>
        <v>0.94240000000000013</v>
      </c>
    </row>
    <row r="24" spans="1:23" x14ac:dyDescent="0.25">
      <c r="A24" s="60">
        <v>87</v>
      </c>
      <c r="B24" s="56" t="s">
        <v>12</v>
      </c>
      <c r="C24" s="5">
        <f>VLOOKUP(B24,Log!$B$2:$C$8,2,)</f>
        <v>1</v>
      </c>
      <c r="D24" s="5">
        <v>17.399999999999999</v>
      </c>
      <c r="E24" s="34">
        <f>IF(OR(AND(OR(B24="Motorbike",B24="CNG",B24="Bicycle",B24="NMV"),D24-D23&lt;Log!$C$13),AND(NOT(OR(B24="Motorbike",B24="CNG",B24="Bicycle",B24="NMV")),D24-D23&lt;Log!$C$12)),0,IF(E23&lt;&gt;0,D24-D23,IF(E22=0,D24-D21,D24-D22)))</f>
        <v>2.3199999999999985</v>
      </c>
      <c r="F24" s="109">
        <f t="shared" si="4"/>
        <v>2.3199999999999985</v>
      </c>
      <c r="H24" s="16">
        <v>119</v>
      </c>
      <c r="I24" s="4" t="s">
        <v>12</v>
      </c>
      <c r="J24" s="5">
        <f>VLOOKUP(I24,Log!$B$2:$C$8,2,)</f>
        <v>1</v>
      </c>
      <c r="K24" s="4">
        <v>22.28</v>
      </c>
      <c r="L24" s="34">
        <f>IF(OR(AND(OR(I24="Motorbike",I24="CNG",I24="Bicycle",I24="NMV"),K24-K23&lt;Log!$C$13),AND(NOT(OR(I24="Motorbike",I24="CNG",I24="Bicycle",I24="NMV")),K24-K23&lt;Log!$C$12)),0,IF(L23&lt;&gt;0,K24-K23,IF(L22=0,K24-K21,K24-K22)))</f>
        <v>0</v>
      </c>
      <c r="M24" s="34">
        <f t="shared" si="5"/>
        <v>0</v>
      </c>
      <c r="N24" s="15"/>
      <c r="O24" s="60">
        <v>103</v>
      </c>
      <c r="P24" s="56" t="s">
        <v>13</v>
      </c>
      <c r="Q24" s="5">
        <f>VLOOKUP(P24,Log!$B$2:$C$8,2,)</f>
        <v>0.38</v>
      </c>
      <c r="R24" s="4">
        <v>18.28</v>
      </c>
      <c r="S24" s="34">
        <f>IF(OR(AND(OR(P24="Motorbike",P24="CNG",P24="Bicycle",P24="NMV"),R24-R23&lt;Log!$C$13),AND(NOT(OR(P24="Motorbike",P24="CNG",P24="Bicycle",P24="NMV")),R24-R23&lt;Log!$C$12)),0,IF(S23&lt;&gt;0,R24-R23,IF(S22=0,R24-R21,R24-R22)))</f>
        <v>0.80000000000000071</v>
      </c>
      <c r="T24" s="34">
        <f t="shared" si="6"/>
        <v>0.30400000000000027</v>
      </c>
    </row>
    <row r="25" spans="1:23" x14ac:dyDescent="0.25">
      <c r="A25" s="60">
        <v>88</v>
      </c>
      <c r="B25" s="56" t="s">
        <v>12</v>
      </c>
      <c r="C25" s="5">
        <f>VLOOKUP(B25,Log!$B$2:$C$8,2,)</f>
        <v>1</v>
      </c>
      <c r="D25" s="5">
        <v>18.8</v>
      </c>
      <c r="E25" s="34">
        <f>IF(OR(AND(OR(B25="Motorbike",B25="CNG",B25="Bicycle",B25="NMV"),D25-D24&lt;Log!$C$13),AND(NOT(OR(B25="Motorbike",B25="CNG",B25="Bicycle",B25="NMV")),D25-D24&lt;Log!$C$12)),0,IF(E24&lt;&gt;0,D25-D24,IF(E23=0,D25-D22,D25-D23)))</f>
        <v>1.4000000000000021</v>
      </c>
      <c r="F25" s="109">
        <f t="shared" si="4"/>
        <v>1.4000000000000021</v>
      </c>
      <c r="H25" s="16">
        <v>134</v>
      </c>
      <c r="I25" s="4" t="s">
        <v>12</v>
      </c>
      <c r="J25" s="5">
        <f>VLOOKUP(I25,Log!$B$2:$C$8,2,)</f>
        <v>1</v>
      </c>
      <c r="K25" s="4">
        <v>24.4</v>
      </c>
      <c r="L25" s="34">
        <f>IF(OR(AND(OR(I25="Motorbike",I25="CNG",I25="Bicycle",I25="NMV"),K25-K24&lt;Log!$C$13),AND(NOT(OR(I25="Motorbike",I25="CNG",I25="Bicycle",I25="NMV")),K25-K24&lt;Log!$C$12)),0,IF(L24&lt;&gt;0,K25-K24,IF(L23=0,K25-K22,K25-K23)))</f>
        <v>3</v>
      </c>
      <c r="M25" s="34">
        <f t="shared" si="5"/>
        <v>3</v>
      </c>
      <c r="N25" s="15"/>
      <c r="O25" s="60">
        <v>97</v>
      </c>
      <c r="P25" s="56" t="s">
        <v>12</v>
      </c>
      <c r="Q25" s="5">
        <f>VLOOKUP(P25,Log!$B$2:$C$8,2,)</f>
        <v>1</v>
      </c>
      <c r="R25" s="4">
        <v>19.52</v>
      </c>
      <c r="S25" s="34">
        <f>IF(OR(AND(OR(P25="Motorbike",P25="CNG",P25="Bicycle",P25="NMV"),R25-R24&lt;Log!$C$13),AND(NOT(OR(P25="Motorbike",P25="CNG",P25="Bicycle",P25="NMV")),R25-R24&lt;Log!$C$12)),0,IF(S24&lt;&gt;0,R25-R24,IF(S23=0,R25-R22,R25-R23)))</f>
        <v>1.2399999999999984</v>
      </c>
      <c r="T25" s="34">
        <f t="shared" si="6"/>
        <v>1.2399999999999984</v>
      </c>
    </row>
    <row r="26" spans="1:23" x14ac:dyDescent="0.25">
      <c r="A26" s="60">
        <v>125</v>
      </c>
      <c r="B26" s="56" t="s">
        <v>14</v>
      </c>
      <c r="C26" s="5">
        <f>VLOOKUP(B26,Log!$B$2:$C$8,2,)</f>
        <v>0.45</v>
      </c>
      <c r="D26" s="5">
        <v>20.6</v>
      </c>
      <c r="E26" s="34">
        <f>IF(OR(AND(OR(B26="Motorbike",B26="CNG",B26="Bicycle",B26="NMV"),D26-D25&lt;Log!$C$13),AND(NOT(OR(B26="Motorbike",B26="CNG",B26="Bicycle",B26="NMV")),D26-D25&lt;Log!$C$12)),0,IF(E25&lt;&gt;0,D26-D25,IF(E24=0,D26-D23,D26-D24)))</f>
        <v>1.8000000000000007</v>
      </c>
      <c r="F26" s="109">
        <f t="shared" si="4"/>
        <v>2.6100000000000008</v>
      </c>
      <c r="H26" s="16">
        <v>136</v>
      </c>
      <c r="I26" s="4" t="s">
        <v>12</v>
      </c>
      <c r="J26" s="5">
        <f>VLOOKUP(I26,Log!$B$2:$C$8,2,)</f>
        <v>1</v>
      </c>
      <c r="K26" s="4">
        <v>26.08</v>
      </c>
      <c r="L26" s="34">
        <f>IF(OR(AND(OR(I26="Motorbike",I26="CNG",I26="Bicycle",I26="NMV"),K26-K25&lt;Log!$C$13),AND(NOT(OR(I26="Motorbike",I26="CNG",I26="Bicycle",I26="NMV")),K26-K25&lt;Log!$C$12)),0,IF(L25&lt;&gt;0,K26-K25,IF(L24=0,K26-K23,K26-K24)))</f>
        <v>1.6799999999999997</v>
      </c>
      <c r="M26" s="34">
        <f t="shared" si="5"/>
        <v>3.3599999999999994</v>
      </c>
      <c r="N26" s="15"/>
      <c r="O26" s="60">
        <v>126</v>
      </c>
      <c r="P26" s="56" t="s">
        <v>12</v>
      </c>
      <c r="Q26" s="5">
        <f>VLOOKUP(P26,Log!$B$2:$C$8,2,)</f>
        <v>1</v>
      </c>
      <c r="R26" s="4">
        <v>23.32</v>
      </c>
      <c r="S26" s="34">
        <f>IF(OR(AND(OR(P26="Motorbike",P26="CNG",P26="Bicycle",P26="NMV"),R26-R25&lt;Log!$C$13),AND(NOT(OR(P26="Motorbike",P26="CNG",P26="Bicycle",P26="NMV")),R26-R25&lt;Log!$C$12)),0,IF(S25&lt;&gt;0,R26-R25,IF(S24=0,R26-R23,R26-R24)))</f>
        <v>3.8000000000000007</v>
      </c>
      <c r="T26" s="34">
        <f t="shared" si="6"/>
        <v>3.8000000000000007</v>
      </c>
    </row>
    <row r="27" spans="1:23" x14ac:dyDescent="0.25">
      <c r="A27" s="60">
        <v>115</v>
      </c>
      <c r="B27" s="56" t="s">
        <v>12</v>
      </c>
      <c r="C27" s="5">
        <f>VLOOKUP(B27,Log!$B$2:$C$8,2,)</f>
        <v>1</v>
      </c>
      <c r="D27" s="5">
        <v>21</v>
      </c>
      <c r="E27" s="34">
        <f>IF(OR(AND(OR(B27="Motorbike",B27="CNG",B27="Bicycle",B27="NMV"),D27-D26&lt;Log!$C$13),AND(NOT(OR(B27="Motorbike",B27="CNG",B27="Bicycle",B27="NMV")),D27-D26&lt;Log!$C$12)),0,IF(E26&lt;&gt;0,D27-D26,IF(E25=0,D27-D24,D27-D25)))</f>
        <v>0</v>
      </c>
      <c r="F27" s="109">
        <f t="shared" si="4"/>
        <v>0</v>
      </c>
      <c r="H27" s="16">
        <v>138</v>
      </c>
      <c r="I27" s="4" t="s">
        <v>12</v>
      </c>
      <c r="J27" s="5">
        <f>VLOOKUP(I27,Log!$B$2:$C$8,2,)</f>
        <v>1</v>
      </c>
      <c r="K27" s="4">
        <v>26.52</v>
      </c>
      <c r="L27" s="34">
        <f>IF(OR(AND(OR(I27="Motorbike",I27="CNG",I27="Bicycle",I27="NMV"),K27-K26&lt;Log!$C$13),AND(NOT(OR(I27="Motorbike",I27="CNG",I27="Bicycle",I27="NMV")),K27-K26&lt;Log!$C$12)),0,IF(L26&lt;&gt;0,K27-K26,IF(L25=0,K27-K24,K27-K25)))</f>
        <v>0</v>
      </c>
      <c r="M27" s="34">
        <f t="shared" si="5"/>
        <v>0</v>
      </c>
      <c r="N27" s="15"/>
      <c r="O27" s="60">
        <v>135</v>
      </c>
      <c r="P27" s="56" t="s">
        <v>12</v>
      </c>
      <c r="Q27" s="5">
        <f>VLOOKUP(P27,Log!$B$2:$C$8,2,)</f>
        <v>1</v>
      </c>
      <c r="R27" s="4">
        <v>25.08</v>
      </c>
      <c r="S27" s="34">
        <f>IF(OR(AND(OR(P27="Motorbike",P27="CNG",P27="Bicycle",P27="NMV"),R27-R26&lt;Log!$C$13),AND(NOT(OR(P27="Motorbike",P27="CNG",P27="Bicycle",P27="NMV")),R27-R26&lt;Log!$C$12)),0,IF(S26&lt;&gt;0,R27-R26,IF(S25=0,R27-R24,R27-R25)))</f>
        <v>1.759999999999998</v>
      </c>
      <c r="T27" s="34">
        <f t="shared" si="6"/>
        <v>1.759999999999998</v>
      </c>
    </row>
    <row r="28" spans="1:23" x14ac:dyDescent="0.25">
      <c r="A28" s="60">
        <v>108</v>
      </c>
      <c r="B28" s="56" t="s">
        <v>14</v>
      </c>
      <c r="C28" s="5">
        <f>VLOOKUP(B28,Log!$B$2:$C$8,2,)</f>
        <v>0.45</v>
      </c>
      <c r="D28" s="5">
        <v>22</v>
      </c>
      <c r="E28" s="34">
        <f>IF(OR(AND(OR(B28="Motorbike",B28="CNG",B28="Bicycle",B28="NMV"),D28-D27&lt;Log!$C$13),AND(NOT(OR(B28="Motorbike",B28="CNG",B28="Bicycle",B28="NMV")),D28-D27&lt;Log!$C$12)),0,IF(E27&lt;&gt;0,D28-D27,IF(E26=0,D28-D25,D28-D26)))</f>
        <v>1.3999999999999986</v>
      </c>
      <c r="F28" s="109">
        <f t="shared" si="4"/>
        <v>0.62999999999999934</v>
      </c>
      <c r="H28" s="16">
        <v>150</v>
      </c>
      <c r="I28" s="4" t="s">
        <v>12</v>
      </c>
      <c r="J28" s="5">
        <f>VLOOKUP(I28,Log!$B$2:$C$8,2,)</f>
        <v>1</v>
      </c>
      <c r="K28" s="4">
        <v>27.52</v>
      </c>
      <c r="L28" s="34">
        <f>IF(OR(AND(OR(I28="Motorbike",I28="CNG",I28="Bicycle",I28="NMV"),K28-K27&lt;Log!$C$13),AND(NOT(OR(I28="Motorbike",I28="CNG",I28="Bicycle",I28="NMV")),K28-K27&lt;Log!$C$12)),0,IF(L27&lt;&gt;0,K28-K27,IF(L26=0,K28-K25,K28-K26)))</f>
        <v>1.4400000000000013</v>
      </c>
      <c r="M28" s="34">
        <f t="shared" si="5"/>
        <v>1.4400000000000013</v>
      </c>
      <c r="N28" s="15"/>
      <c r="O28" s="60">
        <v>138</v>
      </c>
      <c r="P28" s="56" t="s">
        <v>12</v>
      </c>
      <c r="Q28" s="5">
        <f>VLOOKUP(P28,Log!$B$2:$C$8,2,)</f>
        <v>1</v>
      </c>
      <c r="R28" s="4">
        <v>26.88</v>
      </c>
      <c r="S28" s="34">
        <f>IF(OR(AND(OR(P28="Motorbike",P28="CNG",P28="Bicycle",P28="NMV"),R28-R27&lt;Log!$C$13),AND(NOT(OR(P28="Motorbike",P28="CNG",P28="Bicycle",P28="NMV")),R28-R27&lt;Log!$C$12)),0,IF(S27&lt;&gt;0,R28-R27,IF(S26=0,R28-R25,R28-R26)))</f>
        <v>1.8000000000000007</v>
      </c>
      <c r="T28" s="34">
        <f t="shared" si="6"/>
        <v>2.4840000000000009</v>
      </c>
    </row>
    <row r="29" spans="1:23" x14ac:dyDescent="0.25">
      <c r="A29" s="60">
        <v>129</v>
      </c>
      <c r="B29" s="56" t="s">
        <v>12</v>
      </c>
      <c r="C29" s="5">
        <f>VLOOKUP(B29,Log!$B$2:$C$8,2,)</f>
        <v>1</v>
      </c>
      <c r="D29" s="5">
        <v>25.32</v>
      </c>
      <c r="E29" s="34">
        <f>IF(OR(AND(OR(B29="Motorbike",B29="CNG",B29="Bicycle",B29="NMV"),D29-D28&lt;Log!$C$13),AND(NOT(OR(B29="Motorbike",B29="CNG",B29="Bicycle",B29="NMV")),D29-D28&lt;Log!$C$12)),0,IF(E28&lt;&gt;0,D29-D28,IF(E27=0,D29-D26,D29-D27)))</f>
        <v>3.3200000000000003</v>
      </c>
      <c r="F29" s="109">
        <f t="shared" si="4"/>
        <v>3.3200000000000003</v>
      </c>
      <c r="H29" s="16">
        <v>163</v>
      </c>
      <c r="I29" s="4" t="s">
        <v>13</v>
      </c>
      <c r="J29" s="5">
        <f>VLOOKUP(I29,Log!$B$2:$C$8,2,)</f>
        <v>0.38</v>
      </c>
      <c r="K29" s="4">
        <v>29.08</v>
      </c>
      <c r="L29" s="34">
        <f>IF(OR(AND(OR(I29="Motorbike",I29="CNG",I29="Bicycle",I29="NMV"),K29-K28&lt;Log!$C$13),AND(NOT(OR(I29="Motorbike",I29="CNG",I29="Bicycle",I29="NMV")),K29-K28&lt;Log!$C$12)),0,IF(L28&lt;&gt;0,K29-K28,IF(L27=0,K29-K26,K29-K27)))</f>
        <v>1.5599999999999987</v>
      </c>
      <c r="M29" s="34">
        <f t="shared" si="5"/>
        <v>0.59279999999999955</v>
      </c>
      <c r="N29" s="15"/>
      <c r="O29" s="60">
        <v>156</v>
      </c>
      <c r="P29" s="56" t="s">
        <v>13</v>
      </c>
      <c r="Q29" s="5">
        <f>VLOOKUP(P29,Log!$B$2:$C$8,2,)</f>
        <v>0.38</v>
      </c>
      <c r="R29" s="4">
        <v>26.92</v>
      </c>
      <c r="S29" s="34">
        <f>IF(OR(AND(OR(P29="Motorbike",P29="CNG",P29="Bicycle",P29="NMV"),R29-R28&lt;Log!$C$13),AND(NOT(OR(P29="Motorbike",P29="CNG",P29="Bicycle",P29="NMV")),R29-R28&lt;Log!$C$12)),0,IF(S28&lt;&gt;0,R29-R28,IF(S27=0,R29-R26,R29-R27)))</f>
        <v>0</v>
      </c>
      <c r="T29" s="34">
        <f t="shared" si="6"/>
        <v>0</v>
      </c>
      <c r="W29" s="11"/>
    </row>
    <row r="30" spans="1:23" x14ac:dyDescent="0.25">
      <c r="A30" s="60">
        <v>147</v>
      </c>
      <c r="B30" s="56" t="s">
        <v>13</v>
      </c>
      <c r="C30" s="5">
        <f>VLOOKUP(B30,Log!$B$2:$C$8,2,)</f>
        <v>0.38</v>
      </c>
      <c r="D30" s="5">
        <v>27.48</v>
      </c>
      <c r="E30" s="34">
        <f>IF(OR(AND(OR(B30="Motorbike",B30="CNG",B30="Bicycle",B30="NMV"),D30-D29&lt;Log!$C$13),AND(NOT(OR(B30="Motorbike",B30="CNG",B30="Bicycle",B30="NMV")),D30-D29&lt;Log!$C$12)),0,IF(E29&lt;&gt;0,D30-D29,IF(E28=0,D30-D27,D30-D28)))</f>
        <v>2.16</v>
      </c>
      <c r="F30" s="109">
        <f t="shared" si="4"/>
        <v>2.4624000000000006</v>
      </c>
      <c r="H30" s="16">
        <v>179</v>
      </c>
      <c r="I30" s="4" t="s">
        <v>12</v>
      </c>
      <c r="J30" s="5">
        <f>VLOOKUP(I30,Log!$B$2:$C$8,2,)</f>
        <v>1</v>
      </c>
      <c r="K30" s="4">
        <v>34</v>
      </c>
      <c r="L30" s="34">
        <f>IF(OR(AND(OR(I30="Motorbike",I30="CNG",I30="Bicycle",I30="NMV"),K30-K29&lt;Log!$C$13),AND(NOT(OR(I30="Motorbike",I30="CNG",I30="Bicycle",I30="NMV")),K30-K29&lt;Log!$C$12)),0,IF(L29&lt;&gt;0,K30-K29,IF(L28=0,K30-K27,K30-K28)))</f>
        <v>4.9200000000000017</v>
      </c>
      <c r="M30" s="34">
        <f t="shared" si="5"/>
        <v>4.9200000000000017</v>
      </c>
      <c r="N30" s="15"/>
      <c r="O30" s="60">
        <v>159</v>
      </c>
      <c r="P30" s="56" t="s">
        <v>28</v>
      </c>
      <c r="Q30" s="5">
        <f>VLOOKUP(P30,Log!$B$2:$C$8,2,)</f>
        <v>1.02</v>
      </c>
      <c r="R30" s="4">
        <v>29.68</v>
      </c>
      <c r="S30" s="34">
        <f>IF(OR(AND(OR(P30="Motorbike",P30="CNG",P30="Bicycle",P30="NMV"),R30-R29&lt;Log!$C$13),AND(NOT(OR(P30="Motorbike",P30="CNG",P30="Bicycle",P30="NMV")),R30-R29&lt;Log!$C$12)),0,IF(S29&lt;&gt;0,R30-R29,IF(S28=0,R30-R27,R30-R28)))</f>
        <v>2.8000000000000007</v>
      </c>
      <c r="T30" s="34">
        <f t="shared" si="6"/>
        <v>3.9200000000000008</v>
      </c>
      <c r="W30" s="11"/>
    </row>
    <row r="31" spans="1:23" x14ac:dyDescent="0.25">
      <c r="A31" s="60">
        <v>164</v>
      </c>
      <c r="B31" s="56" t="s">
        <v>13</v>
      </c>
      <c r="C31" s="5">
        <f>VLOOKUP(B31,Log!$B$2:$C$8,2,)</f>
        <v>0.38</v>
      </c>
      <c r="D31" s="5">
        <v>27.52</v>
      </c>
      <c r="E31" s="34">
        <f>IF(OR(AND(OR(B31="Motorbike",B31="CNG",B31="Bicycle",B31="NMV"),D31-D30&lt;Log!$C$13),AND(NOT(OR(B31="Motorbike",B31="CNG",B31="Bicycle",B31="NMV")),D31-D30&lt;Log!$C$12)),0,IF(E30&lt;&gt;0,D31-D30,IF(E29=0,D31-D28,D31-D29)))</f>
        <v>0</v>
      </c>
      <c r="F31" s="109">
        <f t="shared" si="4"/>
        <v>0</v>
      </c>
      <c r="N31" s="15"/>
      <c r="O31" s="60">
        <v>184</v>
      </c>
      <c r="P31" s="56" t="s">
        <v>13</v>
      </c>
      <c r="Q31" s="5">
        <f>VLOOKUP(P31,Log!$B$2:$C$8,2,)</f>
        <v>0.38</v>
      </c>
      <c r="R31" s="4">
        <v>29.68</v>
      </c>
      <c r="S31" s="34">
        <f>IF(OR(AND(OR(P31="Motorbike",P31="CNG",P31="Bicycle",P31="NMV"),R31-R30&lt;Log!$C$13),AND(NOT(OR(P31="Motorbike",P31="CNG",P31="Bicycle",P31="NMV")),R31-R30&lt;Log!$C$12)),0,IF(S30&lt;&gt;0,R31-R30,IF(S29=0,R31-R28,R31-R29)))</f>
        <v>0</v>
      </c>
      <c r="T31" s="34">
        <f t="shared" si="6"/>
        <v>0</v>
      </c>
      <c r="W31" s="11"/>
    </row>
    <row r="32" spans="1:23" ht="15.75" thickBot="1" x14ac:dyDescent="0.3">
      <c r="A32" s="60">
        <v>174</v>
      </c>
      <c r="B32" s="56" t="s">
        <v>13</v>
      </c>
      <c r="C32" s="5">
        <f>VLOOKUP(B32,Log!$B$2:$C$8,2,)</f>
        <v>0.38</v>
      </c>
      <c r="D32" s="5">
        <v>27.88</v>
      </c>
      <c r="E32" s="34">
        <f>IF(OR(AND(OR(B32="Motorbike",B32="CNG",B32="Bicycle",B32="NMV"),D32-D31&lt;Log!$C$13),AND(NOT(OR(B32="Motorbike",B32="CNG",B32="Bicycle",B32="NMV")),D32-D31&lt;Log!$C$12)),0,IF(E31&lt;&gt;0,D32-D31,IF(E30=0,D32-D29,D32-D30)))</f>
        <v>0</v>
      </c>
      <c r="F32" s="109">
        <f t="shared" si="4"/>
        <v>0</v>
      </c>
      <c r="N32" s="15"/>
      <c r="O32" s="61">
        <v>180</v>
      </c>
      <c r="P32" s="56" t="s">
        <v>13</v>
      </c>
      <c r="Q32" s="5">
        <f>VLOOKUP(P32,Log!$B$2:$C$8,2,)</f>
        <v>0.38</v>
      </c>
      <c r="R32" s="4">
        <v>32.479999999999997</v>
      </c>
      <c r="S32" s="34">
        <f>IF(OR(AND(OR(P32="Motorbike",P32="CNG",P32="Bicycle",P32="NMV"),R32-R31&lt;Log!$C$13),AND(NOT(OR(P32="Motorbike",P32="CNG",P32="Bicycle",P32="NMV")),R32-R31&lt;Log!$C$12)),0,IF(S31&lt;&gt;0,R32-R31,IF(S30=0,R32-R29,R32-R30)))</f>
        <v>2.7999999999999972</v>
      </c>
      <c r="T32" s="34">
        <f t="shared" si="6"/>
        <v>1.0639999999999989</v>
      </c>
      <c r="W32" s="11"/>
    </row>
    <row r="33" spans="1:23" x14ac:dyDescent="0.25">
      <c r="A33" s="60">
        <v>141</v>
      </c>
      <c r="B33" s="56" t="s">
        <v>12</v>
      </c>
      <c r="C33" s="5">
        <f>VLOOKUP(B33,Log!$B$2:$C$8,2,)</f>
        <v>1</v>
      </c>
      <c r="D33" s="5">
        <v>29.48</v>
      </c>
      <c r="E33" s="34">
        <f>IF(OR(AND(OR(B33="Motorbike",B33="CNG",B33="Bicycle",B33="NMV"),D33-D32&lt;Log!$C$13),AND(NOT(OR(B33="Motorbike",B33="CNG",B33="Bicycle",B33="NMV")),D33-D32&lt;Log!$C$12)),0,IF(E32&lt;&gt;0,D33-D32,IF(E31=0,D33-D30,D33-D31)))</f>
        <v>2</v>
      </c>
      <c r="F33" s="109">
        <f t="shared" si="4"/>
        <v>2</v>
      </c>
      <c r="N33" s="15"/>
      <c r="W33" s="11"/>
    </row>
    <row r="34" spans="1:23" x14ac:dyDescent="0.25">
      <c r="A34" s="60">
        <v>165</v>
      </c>
      <c r="B34" s="56" t="s">
        <v>12</v>
      </c>
      <c r="C34" s="5">
        <f>VLOOKUP(B34,Log!$B$2:$C$8,2,)</f>
        <v>1</v>
      </c>
      <c r="D34" s="5">
        <v>31.8</v>
      </c>
      <c r="E34" s="34">
        <f>IF(OR(AND(OR(B34="Motorbike",B34="CNG",B34="Bicycle",B34="NMV"),D34-D33&lt;Log!$C$13),AND(NOT(OR(B34="Motorbike",B34="CNG",B34="Bicycle",B34="NMV")),D34-D33&lt;Log!$C$12)),0,IF(E33&lt;&gt;0,D34-D33,IF(E32=0,D34-D31,D34-D32)))</f>
        <v>2.3200000000000003</v>
      </c>
      <c r="F34" s="109">
        <f t="shared" si="4"/>
        <v>2.3200000000000003</v>
      </c>
      <c r="N34" s="15"/>
      <c r="W34" s="11"/>
    </row>
    <row r="35" spans="1:23" x14ac:dyDescent="0.25">
      <c r="A35" s="60">
        <v>214</v>
      </c>
      <c r="B35" s="56" t="s">
        <v>13</v>
      </c>
      <c r="C35" s="5">
        <f>VLOOKUP(B35,Log!$B$2:$C$8,2,)</f>
        <v>0.38</v>
      </c>
      <c r="D35" s="5">
        <v>32.92</v>
      </c>
      <c r="E35" s="34">
        <f>IF(OR(AND(OR(B35="Motorbike",B35="CNG",B35="Bicycle",B35="NMV"),D35-D34&lt;Log!$C$13),AND(NOT(OR(B35="Motorbike",B35="CNG",B35="Bicycle",B35="NMV")),D35-D34&lt;Log!$C$12)),0,IF(E34&lt;&gt;0,D35-D34,IF(E33=0,D35-D32,D35-D33)))</f>
        <v>1.120000000000001</v>
      </c>
      <c r="F35" s="109">
        <f t="shared" si="4"/>
        <v>1.5680000000000014</v>
      </c>
      <c r="W35" s="11"/>
    </row>
    <row r="36" spans="1:23" x14ac:dyDescent="0.25">
      <c r="A36" s="60">
        <v>188</v>
      </c>
      <c r="B36" s="56" t="s">
        <v>28</v>
      </c>
      <c r="C36" s="5">
        <f>VLOOKUP(B36,Log!$B$2:$C$8,2,)</f>
        <v>1.02</v>
      </c>
      <c r="D36" s="5">
        <v>33.6</v>
      </c>
      <c r="E36" s="34">
        <f>IF(OR(AND(OR(B36="Motorbike",B36="CNG",B36="Bicycle",B36="NMV"),D36-D35&lt;Log!$C$13),AND(NOT(OR(B36="Motorbike",B36="CNG",B36="Bicycle",B36="NMV")),D36-D35&lt;Log!$C$12)),0,IF(E35&lt;&gt;0,D36-D35,IF(E34=0,D36-D33,D36-D34)))</f>
        <v>0</v>
      </c>
      <c r="F36" s="109">
        <f t="shared" si="4"/>
        <v>0</v>
      </c>
      <c r="W36" s="11"/>
    </row>
    <row r="37" spans="1:23" x14ac:dyDescent="0.25">
      <c r="A37" s="60">
        <v>186</v>
      </c>
      <c r="B37" s="56" t="s">
        <v>12</v>
      </c>
      <c r="C37" s="5">
        <f>VLOOKUP(B37,Log!$B$2:$C$8,2,)</f>
        <v>1</v>
      </c>
      <c r="D37" s="5">
        <v>36.6</v>
      </c>
      <c r="E37" s="34">
        <f>IF(OR(AND(OR(B37="Motorbike",B37="CNG",B37="Bicycle",B37="NMV"),D37-D36&lt;Log!$C$13),AND(NOT(OR(B37="Motorbike",B37="CNG",B37="Bicycle",B37="NMV")),D37-D36&lt;Log!$C$12)),0,IF(E36&lt;&gt;0,D37-D36,IF(E35=0,D37-D34,D37-D35)))</f>
        <v>3.6799999999999997</v>
      </c>
      <c r="F37" s="109">
        <f t="shared" si="4"/>
        <v>3.6799999999999997</v>
      </c>
      <c r="W37" s="11"/>
    </row>
    <row r="38" spans="1:23" ht="15.75" thickBot="1" x14ac:dyDescent="0.3">
      <c r="A38" s="61">
        <v>225</v>
      </c>
      <c r="B38" s="56" t="s">
        <v>13</v>
      </c>
      <c r="C38" s="5">
        <f>VLOOKUP(B38,Log!$B$2:$C$8,2,)</f>
        <v>0.38</v>
      </c>
      <c r="D38" s="5">
        <v>37.68</v>
      </c>
      <c r="E38" s="34">
        <f>IF(OR(AND(OR(B38="Motorbike",B38="CNG",B38="Bicycle",B38="NMV"),D38-D37&lt;Log!$C$13),AND(NOT(OR(B38="Motorbike",B38="CNG",B38="Bicycle",B38="NMV")),D38-D37&lt;Log!$C$12)),0,IF(E37&lt;&gt;0,D38-D37,IF(E36=0,D38-D35,D38-D36)))</f>
        <v>1.0799999999999983</v>
      </c>
      <c r="F38" s="109">
        <f t="shared" si="4"/>
        <v>0.41039999999999938</v>
      </c>
      <c r="W38" s="11"/>
    </row>
    <row r="39" spans="1:23" x14ac:dyDescent="0.25">
      <c r="S39" s="128"/>
      <c r="T39" s="128"/>
      <c r="W39" s="11"/>
    </row>
    <row r="40" spans="1:23" x14ac:dyDescent="0.25">
      <c r="S40" s="129"/>
      <c r="T40" s="129"/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60" spans="1:6" x14ac:dyDescent="0.25">
      <c r="A60" s="15" t="s">
        <v>80</v>
      </c>
      <c r="B60" s="15" t="s">
        <v>11</v>
      </c>
      <c r="C60" s="15" t="s">
        <v>80</v>
      </c>
      <c r="D60" s="15" t="s">
        <v>11</v>
      </c>
      <c r="E60" s="15" t="s">
        <v>80</v>
      </c>
      <c r="F60" s="15" t="s">
        <v>11</v>
      </c>
    </row>
    <row r="61" spans="1:6" x14ac:dyDescent="0.25">
      <c r="A61" s="15">
        <v>0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</row>
    <row r="62" spans="1:6" x14ac:dyDescent="0.25">
      <c r="A62" s="15">
        <v>5</v>
      </c>
      <c r="B62" s="15" cm="1">
        <f t="array" ref="B62">SUMPRODUCT(($D$13:$D$46&gt;=A61)*($D$13:$D$46&lt;=A62)*$C$13:$C$46)</f>
        <v>3.1399999999999997</v>
      </c>
      <c r="C62" s="15">
        <v>5</v>
      </c>
      <c r="D62" s="15" cm="1">
        <f t="array" ref="D62">SUMPRODUCT(($K$13:$K$35&gt;=C61)*($K$13:$K$35&lt;=C62)*$J$13:$J$35)</f>
        <v>3</v>
      </c>
      <c r="E62" s="15">
        <v>5</v>
      </c>
      <c r="F62" s="15" cm="1">
        <f t="array" ref="F62">SUMPRODUCT(($R$13:$R$35&gt;=E61)*($R$13:$R$35&lt;=E62)*$Q$13:$Q$35)</f>
        <v>1.73</v>
      </c>
    </row>
    <row r="63" spans="1:6" x14ac:dyDescent="0.25">
      <c r="A63" s="15">
        <v>10</v>
      </c>
      <c r="B63" s="15" cm="1">
        <f t="array" ref="B63">SUMPRODUCT(($D$13:$D$46&gt;=A62)*($D$13:$D$46&lt;=A63)*$C$13:$C$46)</f>
        <v>2.83</v>
      </c>
      <c r="C63" s="15">
        <v>10</v>
      </c>
      <c r="D63" s="15" cm="1">
        <f t="array" ref="D63">SUMPRODUCT(($K$13:$K$35&gt;=C62)*($K$13:$K$35&lt;=C63)*$J$13:$J$35)</f>
        <v>1.83</v>
      </c>
      <c r="E63" s="15">
        <v>10</v>
      </c>
      <c r="F63" s="15" cm="1">
        <f t="array" ref="F63">SUMPRODUCT(($R$13:$R$35&gt;=E62)*($R$13:$R$35&lt;=E63)*$Q$13:$Q$35)</f>
        <v>1.66</v>
      </c>
    </row>
    <row r="64" spans="1:6" x14ac:dyDescent="0.25">
      <c r="A64" s="15">
        <v>15</v>
      </c>
      <c r="B64" s="15" cm="1">
        <f t="array" ref="B64">SUMPRODUCT(($D$13:$D$46&gt;=A63)*($D$13:$D$46&lt;=A64)*$C$13:$C$46)</f>
        <v>1</v>
      </c>
      <c r="C64" s="15">
        <v>15</v>
      </c>
      <c r="D64" s="15" cm="1">
        <f t="array" ref="D64">SUMPRODUCT(($K$13:$K$35&gt;=C63)*($K$13:$K$35&lt;=C64)*$J$13:$J$35)</f>
        <v>1.33</v>
      </c>
      <c r="E64" s="15">
        <v>15</v>
      </c>
      <c r="F64" s="15" cm="1">
        <f t="array" ref="F64">SUMPRODUCT(($R$13:$R$35&gt;=E63)*($R$13:$R$35&lt;=E64)*$Q$13:$Q$35)</f>
        <v>2</v>
      </c>
    </row>
    <row r="65" spans="1:6" x14ac:dyDescent="0.25">
      <c r="A65" s="15">
        <v>20</v>
      </c>
      <c r="B65" s="15" cm="1">
        <f t="array" ref="B65">SUMPRODUCT(($D$13:$D$46&gt;=A64)*($D$13:$D$46&lt;=A65)*$C$13:$C$46)</f>
        <v>3</v>
      </c>
      <c r="C65" s="15">
        <v>20</v>
      </c>
      <c r="D65" s="15" cm="1">
        <f t="array" ref="D65">SUMPRODUCT(($K$13:$K$35&gt;=C64)*($K$13:$K$35&lt;=C65)*$J$13:$J$35)</f>
        <v>2</v>
      </c>
      <c r="E65" s="15">
        <v>20</v>
      </c>
      <c r="F65" s="15" cm="1">
        <f t="array" ref="F65">SUMPRODUCT(($R$13:$R$35&gt;=E64)*($R$13:$R$35&lt;=E65)*$Q$13:$Q$35)</f>
        <v>2.76</v>
      </c>
    </row>
    <row r="66" spans="1:6" x14ac:dyDescent="0.25">
      <c r="A66" s="15">
        <v>25</v>
      </c>
      <c r="B66" s="15" cm="1">
        <f t="array" ref="B66">SUMPRODUCT(($D$13:$D$46&gt;=A65)*($D$13:$D$46&lt;=A66)*$C$13:$C$46)</f>
        <v>1.9</v>
      </c>
      <c r="C66" s="15">
        <v>25</v>
      </c>
      <c r="D66" s="15" cm="1">
        <f t="array" ref="D66">SUMPRODUCT(($K$13:$K$35&gt;=C65)*($K$13:$K$35&lt;=C66)*$J$13:$J$35)</f>
        <v>3</v>
      </c>
      <c r="E66" s="15">
        <v>25</v>
      </c>
      <c r="F66" s="15" cm="1">
        <f t="array" ref="F66">SUMPRODUCT(($R$13:$R$35&gt;=E65)*($R$13:$R$35&lt;=E66)*$Q$13:$Q$35)</f>
        <v>1</v>
      </c>
    </row>
    <row r="67" spans="1:6" x14ac:dyDescent="0.25">
      <c r="A67" s="15">
        <v>30</v>
      </c>
      <c r="B67" s="15" cm="1">
        <f t="array" ref="B67">SUMPRODUCT(($D$13:$D$46&gt;=A66)*($D$13:$D$46&lt;=A67)*$C$13:$C$46)</f>
        <v>3.1399999999999997</v>
      </c>
      <c r="C67" s="15">
        <v>30</v>
      </c>
      <c r="D67" s="15" cm="1">
        <f t="array" ref="D67">SUMPRODUCT(($K$13:$K$35&gt;=C66)*($K$13:$K$35&lt;=C67)*$J$13:$J$35)</f>
        <v>3.38</v>
      </c>
      <c r="E67" s="15">
        <v>30</v>
      </c>
      <c r="F67" s="15" cm="1">
        <f t="array" ref="F67">SUMPRODUCT(($R$13:$R$35&gt;=E66)*($R$13:$R$35&lt;=E67)*$Q$13:$Q$35)</f>
        <v>3.78</v>
      </c>
    </row>
    <row r="68" spans="1:6" x14ac:dyDescent="0.25">
      <c r="A68" s="15">
        <v>35</v>
      </c>
      <c r="B68" s="15" cm="1">
        <f t="array" ref="B68">SUMPRODUCT(($D$13:$D$46&gt;=A67)*($D$13:$D$46&lt;=A68)*$C$13:$C$46)</f>
        <v>2.4</v>
      </c>
      <c r="C68" s="15">
        <v>35</v>
      </c>
      <c r="D68" s="15" cm="1">
        <f t="array" ref="D68">SUMPRODUCT(($K$13:$K$35&gt;=C67)*($K$13:$K$35&lt;=C68)*$J$13:$J$35)</f>
        <v>1</v>
      </c>
      <c r="E68" s="15">
        <v>35</v>
      </c>
      <c r="F68" s="15" cm="1">
        <f t="array" ref="F68">SUMPRODUCT(($R$13:$R$35&gt;=E67)*($R$13:$R$35&lt;=E68)*$Q$13:$Q$35)</f>
        <v>0.38</v>
      </c>
    </row>
    <row r="69" spans="1:6" x14ac:dyDescent="0.25">
      <c r="A69" s="15">
        <v>40</v>
      </c>
      <c r="B69" s="15" cm="1">
        <f t="array" ref="B69">SUMPRODUCT(($D$13:$D$46&gt;=A68)*($D$13:$D$46&lt;=A69)*$C$13:$C$46)</f>
        <v>1.38</v>
      </c>
      <c r="C69" s="15">
        <v>40</v>
      </c>
      <c r="D69" s="15" cm="1">
        <f t="array" ref="D69">SUMPRODUCT(($K$13:$K$35&gt;=C68)*($K$13:$K$35&lt;=C69)*$J$13:$J$35)</f>
        <v>0</v>
      </c>
      <c r="E69" s="15">
        <v>40</v>
      </c>
      <c r="F69" s="15" cm="1">
        <f t="array" ref="F69">SUMPRODUCT(($R$13:$R$35&gt;=E68)*($R$13:$R$35&lt;=E69)*$Q$13:$Q$35)</f>
        <v>0</v>
      </c>
    </row>
    <row r="70" spans="1:6" x14ac:dyDescent="0.25">
      <c r="A70" s="15">
        <v>45</v>
      </c>
      <c r="B70" s="15" cm="1">
        <f t="array" ref="B70">SUMPRODUCT(($D$13:$D$46&gt;=A69)*($D$13:$D$46&lt;=A70)*$C$13:$C$46)</f>
        <v>0</v>
      </c>
      <c r="C70" s="15">
        <v>45</v>
      </c>
      <c r="D70" s="15" cm="1">
        <f t="array" ref="D70">SUMPRODUCT(($K$13:$K$35&gt;=C69)*($K$13:$K$35&lt;=C70)*$J$13:$J$35)</f>
        <v>0</v>
      </c>
      <c r="E70" s="15">
        <v>45</v>
      </c>
      <c r="F70" s="15" cm="1">
        <f t="array" ref="F70">SUMPRODUCT(($R$13:$R$35&gt;=E69)*($R$13:$R$35&lt;=E70)*$Q$13:$Q$35)</f>
        <v>0</v>
      </c>
    </row>
    <row r="71" spans="1:6" x14ac:dyDescent="0.25">
      <c r="A71" s="15">
        <v>50</v>
      </c>
      <c r="B71" s="15" cm="1">
        <f t="array" ref="B71">SUMPRODUCT(($D$13:$D$46&gt;=A70)*($D$13:$D$46&lt;=A71)*$C$13:$C$46)</f>
        <v>0</v>
      </c>
      <c r="C71" s="15">
        <v>50</v>
      </c>
      <c r="D71" s="15" cm="1">
        <f t="array" ref="D71">SUMPRODUCT(($K$13:$K$35&gt;=C70)*($K$13:$K$35&lt;=C71)*$J$13:$J$35)</f>
        <v>0</v>
      </c>
      <c r="E71" s="15">
        <v>50</v>
      </c>
      <c r="F71" s="15" cm="1">
        <f t="array" ref="F71">SUMPRODUCT(($R$13:$R$35&gt;=E70)*($R$13:$R$35&lt;=E71)*$Q$13:$Q$35)</f>
        <v>0</v>
      </c>
    </row>
  </sheetData>
  <mergeCells count="4">
    <mergeCell ref="A11:F11"/>
    <mergeCell ref="H11:M11"/>
    <mergeCell ref="O11:T11"/>
    <mergeCell ref="C1:D1"/>
  </mergeCells>
  <conditionalFormatting sqref="E14:E38">
    <cfRule type="cellIs" dxfId="66" priority="8" operator="greaterThanOrEqual">
      <formula>4</formula>
    </cfRule>
  </conditionalFormatting>
  <conditionalFormatting sqref="E13:F13">
    <cfRule type="cellIs" dxfId="65" priority="41" operator="greaterThan">
      <formula>4</formula>
    </cfRule>
  </conditionalFormatting>
  <conditionalFormatting sqref="F14:F38">
    <cfRule type="cellIs" dxfId="64" priority="27" operator="greaterThan">
      <formula>4</formula>
    </cfRule>
  </conditionalFormatting>
  <conditionalFormatting sqref="L15:L30">
    <cfRule type="cellIs" dxfId="63" priority="5" operator="greaterThanOrEqual">
      <formula>4</formula>
    </cfRule>
  </conditionalFormatting>
  <conditionalFormatting sqref="L13:M13">
    <cfRule type="cellIs" dxfId="62" priority="42" operator="greaterThan">
      <formula>4</formula>
    </cfRule>
  </conditionalFormatting>
  <conditionalFormatting sqref="M14:M30">
    <cfRule type="cellIs" dxfId="61" priority="23" operator="greaterThan">
      <formula>4</formula>
    </cfRule>
  </conditionalFormatting>
  <conditionalFormatting sqref="S14:S32">
    <cfRule type="cellIs" dxfId="60" priority="2" operator="greaterThanOrEqual">
      <formula>4</formula>
    </cfRule>
  </conditionalFormatting>
  <conditionalFormatting sqref="S13:T13">
    <cfRule type="cellIs" dxfId="59" priority="40" operator="greaterThan">
      <formula>4</formula>
    </cfRule>
  </conditionalFormatting>
  <conditionalFormatting sqref="T14:T32">
    <cfRule type="cellIs" dxfId="58" priority="19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" id="{B4089216-0975-49BC-B900-93E9B853F730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E14:E15</xm:sqref>
        </x14:conditionalFormatting>
        <x14:conditionalFormatting xmlns:xm="http://schemas.microsoft.com/office/excel/2006/main">
          <x14:cfRule type="expression" priority="9" id="{6EA0C121-99E3-4451-B68A-12CD4C9BA6F1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E14:E38</xm:sqref>
        </x14:conditionalFormatting>
        <x14:conditionalFormatting xmlns:xm="http://schemas.microsoft.com/office/excel/2006/main">
          <x14:cfRule type="expression" priority="7" id="{A1B9FB51-2E4C-4BF9-8EA6-77B9349BDE7F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E15:E38</xm:sqref>
        </x14:conditionalFormatting>
        <x14:conditionalFormatting xmlns:xm="http://schemas.microsoft.com/office/excel/2006/main">
          <x14:cfRule type="expression" priority="4" id="{F0D718ED-BAEE-4F44-8A9D-F058BACE6535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6" id="{0D29C64E-9680-4B63-8E53-3D717695B1D9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L14:L30</xm:sqref>
        </x14:conditionalFormatting>
        <x14:conditionalFormatting xmlns:xm="http://schemas.microsoft.com/office/excel/2006/main">
          <x14:cfRule type="expression" priority="44" id="{B0611478-B890-4973-9F41-8B90E5CD158D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S14:S15</xm:sqref>
        </x14:conditionalFormatting>
        <x14:conditionalFormatting xmlns:xm="http://schemas.microsoft.com/office/excel/2006/main">
          <x14:cfRule type="expression" priority="3" id="{67B254D9-D0CF-4CFB-BF55-6C102C6F0E31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S14:S32</xm:sqref>
        </x14:conditionalFormatting>
        <x14:conditionalFormatting xmlns:xm="http://schemas.microsoft.com/office/excel/2006/main">
          <x14:cfRule type="expression" priority="1" id="{93DD8403-E633-4C14-A4DB-28F01B920E3B}">
            <xm:f>AND(OFFSET(S16,0,-3)="Motorbike", S16&lt;Log!$C$13)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S16:S32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D9A85-DC99-4D80-9544-6541D9F517F6}">
  <sheetPr codeName="Sheet13"/>
  <dimension ref="A1:W53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55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20.32</v>
      </c>
      <c r="M2" s="19">
        <f>SUM(M20:M28)</f>
        <v>20.32</v>
      </c>
      <c r="R2" s="4" t="s">
        <v>20</v>
      </c>
      <c r="S2" s="8">
        <f>SUM(S25:S28)</f>
        <v>6.6000000000000014</v>
      </c>
      <c r="T2" s="8">
        <f>SUM(T25:T28)</f>
        <v>5.5832000000000015</v>
      </c>
    </row>
    <row r="3" spans="1:20" x14ac:dyDescent="0.25">
      <c r="K3" s="4" t="s">
        <v>21</v>
      </c>
      <c r="L3" s="20">
        <f>AVERAGE(L24:L26)</f>
        <v>2.5066666666666664</v>
      </c>
      <c r="M3" s="67">
        <f>AVERAGE(M20:M22)</f>
        <v>0.7466666666666667</v>
      </c>
      <c r="R3" s="4" t="s">
        <v>21</v>
      </c>
      <c r="S3" s="9">
        <f>AVERAGE(S25:S28)</f>
        <v>1.6500000000000004</v>
      </c>
      <c r="T3" s="9">
        <f>AVERAGE(T23:T28)</f>
        <v>1.9238666666666671</v>
      </c>
    </row>
    <row r="4" spans="1:20" x14ac:dyDescent="0.25">
      <c r="A4" s="4" t="s">
        <v>12</v>
      </c>
      <c r="B4" s="144">
        <f>100*COUNTIF($B$13:$B$43,A4)/COUNTA($B$13:$B$43)</f>
        <v>62.5</v>
      </c>
      <c r="H4" s="4" t="s">
        <v>12</v>
      </c>
      <c r="I4" s="144">
        <f>100*COUNTIF($I$13:$I$35,H4)/COUNTA($I$13:$I$35)</f>
        <v>100</v>
      </c>
      <c r="K4" s="4" t="s">
        <v>7</v>
      </c>
      <c r="L4" s="23">
        <f>3600/L3</f>
        <v>1436.1702127659576</v>
      </c>
      <c r="M4" s="68">
        <f>3600/M3</f>
        <v>4821.4285714285716</v>
      </c>
      <c r="O4" s="4" t="s">
        <v>12</v>
      </c>
      <c r="P4" s="144">
        <f>100*COUNTIF($P$13:$P$38,O4)/COUNTA($P$13:$P$38)</f>
        <v>50</v>
      </c>
      <c r="R4" s="4" t="s">
        <v>7</v>
      </c>
      <c r="S4" s="10">
        <f>3600/S3</f>
        <v>2181.8181818181815</v>
      </c>
      <c r="T4" s="10">
        <f>3600/T3</f>
        <v>1871.2315475777943</v>
      </c>
    </row>
    <row r="5" spans="1:20" x14ac:dyDescent="0.25">
      <c r="A5" s="4" t="s">
        <v>14</v>
      </c>
      <c r="B5" s="144">
        <f t="shared" ref="B5:B7" si="0">100*COUNTIF($B$13:$B$43,A5)/COUNTA($B$13:$B$43)</f>
        <v>16.666666666666668</v>
      </c>
      <c r="H5" s="4" t="s">
        <v>14</v>
      </c>
      <c r="I5" s="144">
        <f t="shared" ref="I5:I7" si="1">100*COUNTIF($I$13:$I$35,H5)/COUNTA($I$13:$I$35)</f>
        <v>0</v>
      </c>
      <c r="O5" s="4" t="s">
        <v>14</v>
      </c>
      <c r="P5" s="144">
        <f t="shared" ref="P5:P7" si="2">100*COUNTIF($P$13:$P$38,O5)/COUNTA($P$13:$P$38)</f>
        <v>31.25</v>
      </c>
    </row>
    <row r="6" spans="1:20" x14ac:dyDescent="0.25">
      <c r="A6" s="4" t="s">
        <v>13</v>
      </c>
      <c r="B6" s="144">
        <f t="shared" si="0"/>
        <v>16.666666666666668</v>
      </c>
      <c r="E6" s="29" t="s">
        <v>32</v>
      </c>
      <c r="F6" s="29" t="s">
        <v>31</v>
      </c>
      <c r="H6" s="4" t="s">
        <v>13</v>
      </c>
      <c r="I6" s="144">
        <f t="shared" si="1"/>
        <v>0</v>
      </c>
      <c r="L6" s="29" t="s">
        <v>32</v>
      </c>
      <c r="M6" s="29" t="s">
        <v>31</v>
      </c>
      <c r="O6" s="4" t="s">
        <v>13</v>
      </c>
      <c r="P6" s="144">
        <f t="shared" si="2"/>
        <v>18.75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0</v>
      </c>
      <c r="D7" s="30" t="s">
        <v>30</v>
      </c>
      <c r="E7" s="25">
        <f>SUM(E14:E30)</f>
        <v>19.12</v>
      </c>
      <c r="F7" s="25">
        <f>SUM(F14:F30)</f>
        <v>24.308399999999999</v>
      </c>
      <c r="H7" s="4" t="s">
        <v>28</v>
      </c>
      <c r="I7" s="144">
        <f t="shared" si="1"/>
        <v>0</v>
      </c>
      <c r="K7" s="30" t="s">
        <v>30</v>
      </c>
      <c r="L7" s="25">
        <f>SUM(L14:L37)</f>
        <v>32.72</v>
      </c>
      <c r="M7" s="25">
        <f>SUM(M14:M37)</f>
        <v>41.839999999999996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23.200000000000003</v>
      </c>
      <c r="T7" s="25">
        <f>SUM(T13:T23)</f>
        <v>17.524000000000001</v>
      </c>
    </row>
    <row r="8" spans="1:20" ht="15.75" thickBot="1" x14ac:dyDescent="0.3">
      <c r="D8" s="30" t="s">
        <v>21</v>
      </c>
      <c r="E8" s="28">
        <f>AVERAGEIF(E14:E19,"&lt;&gt;0")</f>
        <v>1.6600000000000001</v>
      </c>
      <c r="F8" s="28">
        <f>AVERAGEIF(F22:F36,"&lt;&gt;0")</f>
        <v>1.9516727272727266</v>
      </c>
      <c r="K8" s="30" t="s">
        <v>21</v>
      </c>
      <c r="L8" s="28">
        <f>AVERAGEIF(L14:L18,"&lt;&gt;0")</f>
        <v>1.5679999999999998</v>
      </c>
      <c r="M8" s="28">
        <f>AVERAGEIF(M20:M27,"&lt;&gt;0")</f>
        <v>3.3866666666666667</v>
      </c>
      <c r="O8" s="4" t="s">
        <v>15</v>
      </c>
      <c r="P8" s="144">
        <f t="shared" ref="P8:P9" si="3">100*COUNTIF($P$13:$P$39,O8)/COUNTA($P$13:$P$39)</f>
        <v>0</v>
      </c>
      <c r="R8" s="30" t="s">
        <v>21</v>
      </c>
      <c r="S8" s="28">
        <f>AVERAGEIF(S15:S21,"&lt;&gt;0")</f>
        <v>2.1085714285714285</v>
      </c>
      <c r="T8" s="28">
        <f>AVERAGEIF(T23:T28,"&lt;&gt;0")</f>
        <v>1.9238666666666671</v>
      </c>
    </row>
    <row r="9" spans="1:20" ht="15.75" thickBot="1" x14ac:dyDescent="0.3">
      <c r="D9" s="30" t="s">
        <v>7</v>
      </c>
      <c r="E9" s="27">
        <f>3600/E8</f>
        <v>2168.6746987951806</v>
      </c>
      <c r="F9" s="31">
        <f>3600/F8</f>
        <v>1844.5715563339613</v>
      </c>
      <c r="K9" s="30" t="s">
        <v>7</v>
      </c>
      <c r="L9" s="27">
        <f>3600/L8</f>
        <v>2295.9183673469388</v>
      </c>
      <c r="M9" s="31">
        <f>3600/M8</f>
        <v>1062.992125984252</v>
      </c>
      <c r="O9" s="4" t="s">
        <v>33</v>
      </c>
      <c r="P9" s="144">
        <f t="shared" si="3"/>
        <v>0</v>
      </c>
      <c r="R9" s="30" t="s">
        <v>7</v>
      </c>
      <c r="S9" s="27">
        <f>3600/S8</f>
        <v>1707.3170731707316</v>
      </c>
      <c r="T9" s="31">
        <f>3600/T8</f>
        <v>1871.2315475777943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57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57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6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59">
        <v>6</v>
      </c>
      <c r="B13" s="59" t="s">
        <v>12</v>
      </c>
      <c r="C13" s="70">
        <f>VLOOKUP(B13,Log!$B$2:$C$8,2,)</f>
        <v>1</v>
      </c>
      <c r="D13" s="5">
        <v>6.6</v>
      </c>
      <c r="E13" s="34">
        <v>0</v>
      </c>
      <c r="F13" s="34">
        <v>0</v>
      </c>
      <c r="H13" s="65">
        <v>2</v>
      </c>
      <c r="I13" s="62" t="s">
        <v>12</v>
      </c>
      <c r="J13" s="70">
        <f>VLOOKUP(I13,Log!$B$2:$C$8,2,)</f>
        <v>1</v>
      </c>
      <c r="K13" s="4">
        <v>1.28</v>
      </c>
      <c r="L13" s="34">
        <v>0</v>
      </c>
      <c r="M13" s="34">
        <v>0</v>
      </c>
      <c r="N13" s="15"/>
      <c r="O13" s="65">
        <v>7</v>
      </c>
      <c r="P13" s="56" t="s">
        <v>13</v>
      </c>
      <c r="Q13" s="70">
        <f>VLOOKUP(P13,Log!$B$2:$C$8,2,)</f>
        <v>0.38</v>
      </c>
      <c r="R13" s="4">
        <v>3.12</v>
      </c>
      <c r="S13" s="34">
        <v>0</v>
      </c>
      <c r="T13" s="34">
        <v>0</v>
      </c>
    </row>
    <row r="14" spans="1:20" ht="15.75" thickBot="1" x14ac:dyDescent="0.3">
      <c r="A14" s="60">
        <v>30</v>
      </c>
      <c r="B14" s="61" t="s">
        <v>13</v>
      </c>
      <c r="C14" s="70">
        <f>VLOOKUP(B14,Log!$B$2:$C$8,2,)</f>
        <v>0.38</v>
      </c>
      <c r="D14" s="5">
        <v>6.68</v>
      </c>
      <c r="E14" s="34">
        <f>IF(OR(AND(B14="Motorbike",D14-D13&lt;Log!$C$13),AND(B14&lt;&gt;"Motorbike",D14-D13&lt;Log!$C$12)),0,D14-D13)</f>
        <v>0</v>
      </c>
      <c r="F14" s="34">
        <f>IF(E15&lt;&gt;0,C14*E14,IF(E16=0,(C14+C15+C16)*E14,(C14+C15)*E14))</f>
        <v>0</v>
      </c>
      <c r="H14" s="73">
        <v>3</v>
      </c>
      <c r="I14" s="62" t="s">
        <v>12</v>
      </c>
      <c r="J14" s="70">
        <f>VLOOKUP(I14,Log!$B$2:$C$8,2,)</f>
        <v>1</v>
      </c>
      <c r="K14" s="4">
        <v>3</v>
      </c>
      <c r="L14" s="34">
        <f>IF(OR(AND(I14="Motorbike",K14-K13&lt;Log!$C$13),AND(I14&lt;&gt;"Motorbike",K14-K13&lt;Log!$C$12)),0,K14-K13)</f>
        <v>1.72</v>
      </c>
      <c r="M14" s="34">
        <f>IF(L15&lt;&gt;0,J14*L14,IF(L16=0,(J14+J15+J16)*L14,(J14+J15)*L14))</f>
        <v>1.72</v>
      </c>
      <c r="N14" s="15"/>
      <c r="O14" s="73">
        <v>13</v>
      </c>
      <c r="P14" s="62" t="s">
        <v>13</v>
      </c>
      <c r="Q14" s="70">
        <f>VLOOKUP(P14,Log!$B$2:$C$8,2,)</f>
        <v>0.38</v>
      </c>
      <c r="R14" s="4">
        <v>3.12</v>
      </c>
      <c r="S14" s="34">
        <f>IF(OR(AND(P14="Motorbike",R14-R13&lt;Log!$C$13),AND(P14&lt;&gt;"Motorbike",R14-R13&lt;Log!$C$12)),0,R14-R13)</f>
        <v>0</v>
      </c>
      <c r="T14" s="34">
        <f>IF(S15&lt;&gt;0,Q14*S14,IF(S16=0,(Q14+Q15+Q16)*S14,(Q14+Q15)*S14))</f>
        <v>0</v>
      </c>
    </row>
    <row r="15" spans="1:20" x14ac:dyDescent="0.25">
      <c r="A15" s="60">
        <v>18</v>
      </c>
      <c r="B15" s="59" t="s">
        <v>12</v>
      </c>
      <c r="C15" s="70">
        <f>VLOOKUP(B15,Log!$B$2:$C$8,2,)</f>
        <v>1</v>
      </c>
      <c r="D15" s="5">
        <v>8.8000000000000007</v>
      </c>
      <c r="E15" s="34">
        <f>IF(OR(AND(B15="Motorbike",D15-D14&lt;Log!$C$13),AND(B15&lt;&gt;"Motorbike",D15-D14&lt;Log!$C$12)),0,D15-D14)</f>
        <v>2.120000000000001</v>
      </c>
      <c r="F15" s="34">
        <f t="shared" ref="F15:F36" si="4">IF(E16&lt;&gt;0,C15*E15,IF(E17=0,(C15+C16+C17)*E15,(C15+C16)*E15))</f>
        <v>2.9256000000000011</v>
      </c>
      <c r="H15" s="73">
        <v>14</v>
      </c>
      <c r="I15" s="77" t="s">
        <v>12</v>
      </c>
      <c r="J15" s="70">
        <f>VLOOKUP(I15,Log!$B$2:$C$8,2,)</f>
        <v>1</v>
      </c>
      <c r="K15" s="4">
        <v>4.72</v>
      </c>
      <c r="L15" s="34">
        <f>IF(OR(AND(I15="Motorbike",K15-K14&lt;Log!$C$13),AND(I15&lt;&gt;"Motorbike",K15-K14&lt;Log!$C$12)),0,K15-K14)</f>
        <v>1.7199999999999998</v>
      </c>
      <c r="M15" s="34">
        <f t="shared" ref="M15:M27" si="5">IF(L16&lt;&gt;0,J15*L15,IF(L17=0,(J15+J16+J17)*L15,(J15+J16)*L15))</f>
        <v>1.7199999999999998</v>
      </c>
      <c r="N15" s="15"/>
      <c r="O15" s="73">
        <v>4</v>
      </c>
      <c r="P15" s="56" t="s">
        <v>14</v>
      </c>
      <c r="Q15" s="70">
        <f>VLOOKUP(P15,Log!$B$2:$C$8,2,)</f>
        <v>0.45</v>
      </c>
      <c r="R15" s="4">
        <v>4.92</v>
      </c>
      <c r="S15" s="34">
        <f>IF(OR(AND(P15="Motorbike",R15-R14&lt;Log!$C$13),AND(P15&lt;&gt;"Motorbike",R15-R14&lt;Log!$C$12)),0,R15-R14)</f>
        <v>1.7999999999999998</v>
      </c>
      <c r="T15" s="34">
        <f t="shared" ref="T15:T28" si="6">IF(S16&lt;&gt;0,Q15*S15,IF(S17=0,(Q15+Q16+Q17)*S15,(Q15+Q16)*S15))</f>
        <v>0.80999999999999994</v>
      </c>
    </row>
    <row r="16" spans="1:20" ht="15.75" thickBot="1" x14ac:dyDescent="0.3">
      <c r="A16" s="60">
        <v>49</v>
      </c>
      <c r="B16" s="61" t="s">
        <v>13</v>
      </c>
      <c r="C16" s="70">
        <f>VLOOKUP(B16,Log!$B$2:$C$8,2,)</f>
        <v>0.38</v>
      </c>
      <c r="D16" s="5">
        <v>8.8000000000000007</v>
      </c>
      <c r="E16" s="34">
        <f>IF(OR(AND(OR(B16="Motorbike",B16="CNG",B16="Bicycle",B16="NMV"),D16-D15&lt;Log!$C$13),AND(NOT(OR(B16="Motorbike",B16="CNG",B16="Bicycle",B16="NMV")),D16-D15&lt;Log!$C$12)),0,IF(E15&lt;&gt;0,D16-D15,IF(E14=0,D16-D13,D16-D14)))</f>
        <v>0</v>
      </c>
      <c r="F16" s="34">
        <f t="shared" si="4"/>
        <v>0</v>
      </c>
      <c r="H16" s="73">
        <v>10</v>
      </c>
      <c r="I16" s="62" t="s">
        <v>12</v>
      </c>
      <c r="J16" s="70">
        <f>VLOOKUP(I16,Log!$B$2:$C$8,2,)</f>
        <v>1</v>
      </c>
      <c r="K16" s="4">
        <v>6.68</v>
      </c>
      <c r="L16" s="34">
        <f>IF(OR(AND(I16="Motorbike",K16-K15&lt;Log!$C$13),AND(I16&lt;&gt;"Motorbike",K16-K15&lt;Log!$C$12)),0,IF(L15&lt;&gt;0,K16-K15,IF(L14=0,K16-K13,K16-K14)))</f>
        <v>1.96</v>
      </c>
      <c r="M16" s="34">
        <f t="shared" si="5"/>
        <v>1.96</v>
      </c>
      <c r="N16" s="15"/>
      <c r="O16" s="60">
        <v>29</v>
      </c>
      <c r="P16" s="56" t="s">
        <v>14</v>
      </c>
      <c r="Q16" s="70">
        <f>VLOOKUP(P16,Log!$B$2:$C$8,2,)</f>
        <v>0.45</v>
      </c>
      <c r="R16" s="4">
        <v>6.8</v>
      </c>
      <c r="S16" s="34">
        <f>IF(OR(AND(P16="Motorbike",R16-R15&lt;Log!$C$13),AND(P16&lt;&gt;"Motorbike",R16-R15&lt;Log!$C$12)),0,IF(S15&lt;&gt;0,R16-R15,IF(S14=0,R16-R13,R16-R14)))</f>
        <v>1.88</v>
      </c>
      <c r="T16" s="34">
        <f t="shared" si="6"/>
        <v>0.84599999999999997</v>
      </c>
    </row>
    <row r="17" spans="1:23" x14ac:dyDescent="0.25">
      <c r="A17" s="60">
        <v>55</v>
      </c>
      <c r="B17" s="72" t="s">
        <v>12</v>
      </c>
      <c r="C17" s="70">
        <f>VLOOKUP(B17,Log!$B$2:$C$8,2,)</f>
        <v>1</v>
      </c>
      <c r="D17" s="5">
        <v>10.52</v>
      </c>
      <c r="E17" s="34">
        <f>IF(OR(AND(OR(B17="Motorbike",B17="CNG",B17="Bicycle",B17="NMV"),D17-D16&lt;Log!$C$13),AND(NOT(OR(B17="Motorbike",B17="CNG",B17="Bicycle",B17="NMV")),D17-D16&lt;Log!$C$12)),0,IF(E16&lt;&gt;0,D17-D16,IF(E15=0,D17-D14,D17-D15)))</f>
        <v>1.7199999999999989</v>
      </c>
      <c r="F17" s="34">
        <f t="shared" si="4"/>
        <v>1.7199999999999989</v>
      </c>
      <c r="H17" s="73">
        <v>11</v>
      </c>
      <c r="I17" s="56" t="s">
        <v>12</v>
      </c>
      <c r="J17" s="70">
        <f>VLOOKUP(I17,Log!$B$2:$C$8,2,)</f>
        <v>1</v>
      </c>
      <c r="K17" s="4">
        <v>7.92</v>
      </c>
      <c r="L17" s="34">
        <f>IF(OR(AND(I17="Motorbike",K17-K16&lt;Log!$C$13),AND(I17&lt;&gt;"Motorbike",K17-K16&lt;Log!$C$12)),0,IF(L16&lt;&gt;0,K17-K16,IF(L15=0,K17-K14,K17-K15)))</f>
        <v>1.2400000000000002</v>
      </c>
      <c r="M17" s="34">
        <f t="shared" si="5"/>
        <v>1.2400000000000002</v>
      </c>
      <c r="N17" s="15"/>
      <c r="O17" s="60">
        <v>8</v>
      </c>
      <c r="P17" s="56" t="s">
        <v>12</v>
      </c>
      <c r="Q17" s="70">
        <f>VLOOKUP(P17,Log!$B$2:$C$8,2,)</f>
        <v>1</v>
      </c>
      <c r="R17" s="4">
        <v>8.2799999999999994</v>
      </c>
      <c r="S17" s="34">
        <f>IF(OR(AND(P17="Motorbike",R17-R16&lt;Log!$C$13),AND(P17&lt;&gt;"Motorbike",R17-R16&lt;Log!$C$12)),0,IF(S16&lt;&gt;0,R17-R16,IF(S15=0,R17-R14,R17-R15)))</f>
        <v>1.4799999999999995</v>
      </c>
      <c r="T17" s="34">
        <f t="shared" si="6"/>
        <v>1.4799999999999995</v>
      </c>
    </row>
    <row r="18" spans="1:23" ht="15.75" thickBot="1" x14ac:dyDescent="0.3">
      <c r="A18" s="60">
        <v>41</v>
      </c>
      <c r="B18" s="56" t="s">
        <v>12</v>
      </c>
      <c r="C18" s="70">
        <f>VLOOKUP(B18,Log!$B$2:$C$8,2,)</f>
        <v>1</v>
      </c>
      <c r="D18" s="5">
        <v>11.8</v>
      </c>
      <c r="E18" s="34">
        <f>IF(OR(AND(OR(B18="Motorbike",B18="CNG",B18="Bicycle",B18="NMV"),D18-D17&lt;Log!$C$13),AND(NOT(OR(B18="Motorbike",B18="CNG",B18="Bicycle",B18="NMV")),D18-D17&lt;Log!$C$12)),0,IF(E17&lt;&gt;0,D18-D17,IF(E16=0,D18-D15,D18-D16)))</f>
        <v>1.2800000000000011</v>
      </c>
      <c r="F18" s="34">
        <f t="shared" si="4"/>
        <v>1.2800000000000011</v>
      </c>
      <c r="H18" s="66">
        <v>18</v>
      </c>
      <c r="I18" s="56" t="s">
        <v>12</v>
      </c>
      <c r="J18" s="70">
        <f>VLOOKUP(I18,Log!$B$2:$C$8,2,)</f>
        <v>1</v>
      </c>
      <c r="K18" s="4">
        <v>9.1199999999999992</v>
      </c>
      <c r="L18" s="34">
        <f>IF(OR(AND(I18="Motorbike",K18-K17&lt;Log!$C$13),AND(I18&lt;&gt;"Motorbike",K18-K17&lt;Log!$C$12)),0,IF(L17&lt;&gt;0,K18-K17,IF(L16=0,K18-K15,K18-K16)))</f>
        <v>1.1999999999999993</v>
      </c>
      <c r="M18" s="34">
        <f t="shared" si="5"/>
        <v>1.1999999999999993</v>
      </c>
      <c r="N18" s="15"/>
      <c r="O18" s="60">
        <v>47</v>
      </c>
      <c r="P18" s="56" t="s">
        <v>14</v>
      </c>
      <c r="Q18" s="70">
        <f>VLOOKUP(P18,Log!$B$2:$C$8,2,)</f>
        <v>0.45</v>
      </c>
      <c r="R18" s="4">
        <v>10.199999999999999</v>
      </c>
      <c r="S18" s="34">
        <f>IF(OR(AND(P18="Motorbike",R18-R17&lt;Log!$C$13),AND(P18&lt;&gt;"Motorbike",R18-R17&lt;Log!$C$12)),0,IF(S17&lt;&gt;0,R18-R17,IF(S16=0,R18-R15,R18-R16)))</f>
        <v>1.92</v>
      </c>
      <c r="T18" s="34">
        <f t="shared" si="6"/>
        <v>0.86399999999999999</v>
      </c>
    </row>
    <row r="19" spans="1:23" ht="15.75" thickBot="1" x14ac:dyDescent="0.3">
      <c r="A19" s="61">
        <v>40</v>
      </c>
      <c r="B19" s="71" t="s">
        <v>12</v>
      </c>
      <c r="C19" s="70">
        <f>VLOOKUP(B19,Log!$B$2:$C$8,2,)</f>
        <v>1</v>
      </c>
      <c r="D19" s="5">
        <v>13.32</v>
      </c>
      <c r="E19" s="34">
        <f>IF(OR(AND(OR(B19="Motorbike",B19="CNG",B19="Bicycle",B19="NMV"),D19-D18&lt;Log!$C$13),AND(NOT(OR(B19="Motorbike",B19="CNG",B19="Bicycle",B19="NMV")),D19-D18&lt;Log!$C$12)),0,IF(E18&lt;&gt;0,D19-D18,IF(E17=0,D19-D16,D19-D17)))</f>
        <v>1.5199999999999996</v>
      </c>
      <c r="F19" s="34">
        <f t="shared" si="4"/>
        <v>1.5199999999999996</v>
      </c>
      <c r="H19" s="65">
        <v>45</v>
      </c>
      <c r="I19" s="71" t="s">
        <v>12</v>
      </c>
      <c r="J19" s="70">
        <f>VLOOKUP(I19,Log!$B$2:$C$8,2,)</f>
        <v>1</v>
      </c>
      <c r="K19" s="4">
        <v>13.68</v>
      </c>
      <c r="L19" s="34">
        <f>IF(OR(AND(I19="Motorbike",K19-K18&lt;Log!$C$13),AND(I19&lt;&gt;"Motorbike",K19-K18&lt;Log!$C$12)),0,IF(L18&lt;&gt;0,K19-K18,IF(L17=0,K19-K16,K19-K17)))</f>
        <v>4.5600000000000005</v>
      </c>
      <c r="M19" s="34">
        <f t="shared" si="5"/>
        <v>13.680000000000001</v>
      </c>
      <c r="N19" s="15"/>
      <c r="O19" s="60">
        <v>54</v>
      </c>
      <c r="P19" s="56" t="s">
        <v>14</v>
      </c>
      <c r="Q19" s="70">
        <f>VLOOKUP(P19,Log!$B$2:$C$8,2,)</f>
        <v>0.45</v>
      </c>
      <c r="R19" s="4">
        <v>12.12</v>
      </c>
      <c r="S19" s="34">
        <f>IF(OR(AND(P19="Motorbike",R19-R18&lt;Log!$C$13),AND(P19&lt;&gt;"Motorbike",R19-R18&lt;Log!$C$12)),0,IF(S18&lt;&gt;0,R19-R18,IF(S17=0,R19-R16,R19-R17)))</f>
        <v>1.92</v>
      </c>
      <c r="T19" s="34">
        <f t="shared" si="6"/>
        <v>0.86399999999999999</v>
      </c>
    </row>
    <row r="20" spans="1:23" ht="15.75" thickBot="1" x14ac:dyDescent="0.3">
      <c r="A20" s="101">
        <v>88</v>
      </c>
      <c r="B20" s="59" t="s">
        <v>12</v>
      </c>
      <c r="C20" s="70">
        <f>VLOOKUP(B20,Log!$B$2:$C$8,2,)</f>
        <v>1</v>
      </c>
      <c r="D20" s="5">
        <v>17.48</v>
      </c>
      <c r="E20" s="34">
        <f>IF(OR(AND(OR(B20="Motorbike",B20="CNG",B20="Bicycle",B20="NMV"),D20-D19&lt;Log!$C$13),AND(NOT(OR(B20="Motorbike",B20="CNG",B20="Bicycle",B20="NMV")),D20-D19&lt;Log!$C$12)),0,IF(E19&lt;&gt;0,D20-D19,IF(E18=0,D20-D17,D20-D18)))</f>
        <v>4.16</v>
      </c>
      <c r="F20" s="34">
        <f t="shared" si="4"/>
        <v>5.5328000000000008</v>
      </c>
      <c r="H20" s="73">
        <v>19</v>
      </c>
      <c r="I20" s="87" t="s">
        <v>12</v>
      </c>
      <c r="J20" s="70">
        <f>VLOOKUP(I20,Log!$B$2:$C$8,2,)</f>
        <v>1</v>
      </c>
      <c r="K20" s="4">
        <v>14.48</v>
      </c>
      <c r="L20" s="34">
        <f>IF(OR(AND(I20="Motorbike",K20-K19&lt;Log!$C$13),AND(I20&lt;&gt;"Motorbike",K20-K19&lt;Log!$C$12)),0,IF(L19&lt;&gt;0,K20-K19,IF(L18=0,K20-K17,K20-K18)))</f>
        <v>0</v>
      </c>
      <c r="M20" s="34">
        <f t="shared" si="5"/>
        <v>0</v>
      </c>
      <c r="N20" s="15"/>
      <c r="O20" s="60">
        <v>70</v>
      </c>
      <c r="P20" s="56" t="s">
        <v>14</v>
      </c>
      <c r="Q20" s="70">
        <f>VLOOKUP(P20,Log!$B$2:$C$8,2,)</f>
        <v>0.45</v>
      </c>
      <c r="R20" s="4">
        <v>14.92</v>
      </c>
      <c r="S20" s="34">
        <f>IF(OR(AND(P20="Motorbike",R20-R19&lt;Log!$C$13),AND(P20&lt;&gt;"Motorbike",R20-R19&lt;Log!$C$12)),0,IF(S19&lt;&gt;0,R20-R19,IF(S18=0,R20-R17,R20-R18)))</f>
        <v>2.8000000000000007</v>
      </c>
      <c r="T20" s="34">
        <f t="shared" si="6"/>
        <v>1.2600000000000005</v>
      </c>
    </row>
    <row r="21" spans="1:23" ht="15.75" thickBot="1" x14ac:dyDescent="0.3">
      <c r="A21" s="59">
        <v>93</v>
      </c>
      <c r="B21" s="61" t="s">
        <v>15</v>
      </c>
      <c r="C21" s="70">
        <f>VLOOKUP(B21,Log!$B$2:$C$8,2,)</f>
        <v>0.33</v>
      </c>
      <c r="D21" s="5">
        <v>17.600000000000001</v>
      </c>
      <c r="E21" s="34">
        <f>IF(OR(AND(OR(B21="Motorbike",B21="CNG",B21="Bicycle",B21="NMV"),D21-D20&lt;Log!$C$13),AND(NOT(OR(B21="Motorbike",B21="CNG",B21="Bicycle",B21="NMV")),D21-D20&lt;Log!$C$12)),0,IF(E20&lt;&gt;0,D21-D20,IF(E19=0,D21-D18,D21-D19)))</f>
        <v>0</v>
      </c>
      <c r="F21" s="34">
        <f t="shared" si="4"/>
        <v>0</v>
      </c>
      <c r="H21" s="73">
        <v>79</v>
      </c>
      <c r="I21" s="88" t="s">
        <v>12</v>
      </c>
      <c r="J21" s="70">
        <f>VLOOKUP(I21,Log!$B$2:$C$8,2,)</f>
        <v>1</v>
      </c>
      <c r="K21" s="4">
        <v>14.72</v>
      </c>
      <c r="L21" s="34">
        <f>IF(OR(AND(I21="Motorbike",K21-K20&lt;Log!$C$13),AND(I21&lt;&gt;"Motorbike",K21-K20&lt;Log!$C$12)),0,IF(L20&lt;&gt;0,K21-K20,IF(L19=0,K21-K18,K21-K19)))</f>
        <v>0</v>
      </c>
      <c r="M21" s="34">
        <f t="shared" si="5"/>
        <v>0</v>
      </c>
      <c r="N21" s="15"/>
      <c r="O21" s="61">
        <v>86</v>
      </c>
      <c r="P21" s="56" t="s">
        <v>12</v>
      </c>
      <c r="Q21" s="70">
        <f>VLOOKUP(P21,Log!$B$2:$C$8,2,)</f>
        <v>1</v>
      </c>
      <c r="R21" s="4">
        <v>17.88</v>
      </c>
      <c r="S21" s="34">
        <f>IF(OR(AND(P21="Motorbike",R21-R20&lt;Log!$C$13),AND(P21&lt;&gt;"Motorbike",R21-R20&lt;Log!$C$12)),0,IF(S20&lt;&gt;0,R21-R20,IF(S19=0,R21-R18,R21-R19)))</f>
        <v>2.9599999999999991</v>
      </c>
      <c r="T21" s="34">
        <f t="shared" si="6"/>
        <v>2.9599999999999991</v>
      </c>
    </row>
    <row r="22" spans="1:23" ht="15.75" thickBot="1" x14ac:dyDescent="0.3">
      <c r="A22" s="60">
        <v>83</v>
      </c>
      <c r="B22" s="59" t="s">
        <v>14</v>
      </c>
      <c r="C22" s="70">
        <f>VLOOKUP(B22,Log!$B$2:$C$8,2,)</f>
        <v>0.45</v>
      </c>
      <c r="D22" s="5">
        <v>18</v>
      </c>
      <c r="E22" s="34">
        <f>D22-D21</f>
        <v>0.39999999999999858</v>
      </c>
      <c r="F22" s="109">
        <f t="shared" si="4"/>
        <v>0.33199999999999885</v>
      </c>
      <c r="H22" s="66">
        <v>90</v>
      </c>
      <c r="I22" s="72" t="s">
        <v>12</v>
      </c>
      <c r="J22" s="70">
        <f>VLOOKUP(I22,Log!$B$2:$C$8,2,)</f>
        <v>1</v>
      </c>
      <c r="K22" s="4">
        <v>15.92</v>
      </c>
      <c r="L22" s="34">
        <f>IF(OR(AND(I22="Motorbike",K22-K21&lt;Log!$C$13),AND(I22&lt;&gt;"Motorbike",K22-K21&lt;Log!$C$12)),0,IF(L21&lt;&gt;0,K22-K21,IF(L20=0,K22-K19,K22-K20)))</f>
        <v>2.2400000000000002</v>
      </c>
      <c r="M22" s="34">
        <f t="shared" si="5"/>
        <v>2.2400000000000002</v>
      </c>
      <c r="N22" s="15"/>
      <c r="O22" s="78">
        <v>92</v>
      </c>
      <c r="P22" s="4" t="s">
        <v>12</v>
      </c>
      <c r="Q22" s="70">
        <f>VLOOKUP(P22,Log!$B$2:$C$8,2,)</f>
        <v>1</v>
      </c>
      <c r="R22" s="4">
        <v>22.72</v>
      </c>
      <c r="S22" s="34">
        <f>IF(OR(AND(P22="Motorbike",R22-R21&lt;Log!$C$13),AND(P22&lt;&gt;"Motorbike",R22-R21&lt;Log!$C$12)),0,IF(S21&lt;&gt;0,R22-R21,IF(S20=0,R22-R19,R22-R20)))</f>
        <v>4.84</v>
      </c>
      <c r="T22" s="34">
        <f t="shared" si="6"/>
        <v>4.84</v>
      </c>
    </row>
    <row r="23" spans="1:23" ht="15.75" thickBot="1" x14ac:dyDescent="0.3">
      <c r="A23" s="60">
        <v>95</v>
      </c>
      <c r="B23" s="61" t="s">
        <v>13</v>
      </c>
      <c r="C23" s="70">
        <f>VLOOKUP(B23,Log!$B$2:$C$8,2,)</f>
        <v>0.38</v>
      </c>
      <c r="D23" s="5">
        <v>18.399999999999999</v>
      </c>
      <c r="E23" s="34">
        <f>IF(OR(AND(OR(B23="Motorbike",B23="CNG",B23="Bicycle",B23="NMV"),D23-D22&lt;Log!$C$13),AND(NOT(OR(B23="Motorbike",B23="CNG",B23="Bicycle",B23="NMV")),D23-D22&lt;Log!$C$12)),0,IF(E22&lt;&gt;0,D23-D22,IF(E21=0,D23-D20,D23-D21)))</f>
        <v>0</v>
      </c>
      <c r="F23" s="109">
        <f t="shared" si="4"/>
        <v>0</v>
      </c>
      <c r="H23" s="90">
        <v>72</v>
      </c>
      <c r="I23" s="56" t="s">
        <v>12</v>
      </c>
      <c r="J23" s="70">
        <f>VLOOKUP(I23,Log!$B$2:$C$8,2,)</f>
        <v>1</v>
      </c>
      <c r="K23" s="4">
        <v>22.8</v>
      </c>
      <c r="L23" s="34">
        <f>IF(OR(AND(I23="Motorbike",K23-K22&lt;Log!$C$13),AND(I23&lt;&gt;"Motorbike",K23-K22&lt;Log!$C$12)),0,IF(L22&lt;&gt;0,K23-K22,IF(L21=0,K23-K20,K23-K21)))</f>
        <v>6.8800000000000008</v>
      </c>
      <c r="M23" s="34">
        <f t="shared" si="5"/>
        <v>6.8800000000000008</v>
      </c>
      <c r="N23" s="15"/>
      <c r="O23" s="59">
        <v>136</v>
      </c>
      <c r="P23" s="62" t="s">
        <v>12</v>
      </c>
      <c r="Q23" s="70">
        <f>VLOOKUP(P23,Log!$B$2:$C$8,2,)</f>
        <v>1</v>
      </c>
      <c r="R23" s="4">
        <v>26.32</v>
      </c>
      <c r="S23" s="34">
        <f>IF(OR(AND(P23="Motorbike",R23-R22&lt;Log!$C$13),AND(P23&lt;&gt;"Motorbike",R23-R22&lt;Log!$C$12)),0,IF(S22&lt;&gt;0,R23-R22,IF(S21=0,R23-R20,R23-R21)))</f>
        <v>3.6000000000000014</v>
      </c>
      <c r="T23" s="34">
        <f t="shared" si="6"/>
        <v>3.6000000000000014</v>
      </c>
    </row>
    <row r="24" spans="1:23" x14ac:dyDescent="0.25">
      <c r="A24" s="60">
        <v>106</v>
      </c>
      <c r="B24" s="72" t="s">
        <v>12</v>
      </c>
      <c r="C24" s="70">
        <f>VLOOKUP(B24,Log!$B$2:$C$8,2,)</f>
        <v>1</v>
      </c>
      <c r="D24" s="5">
        <v>19.88</v>
      </c>
      <c r="E24" s="34">
        <f>IF(OR(AND(OR(B24="Motorbike",B24="CNG",B24="Bicycle",B24="NMV"),D24-D23&lt;Log!$C$13),AND(NOT(OR(B24="Motorbike",B24="CNG",B24="Bicycle",B24="NMV")),D24-D23&lt;Log!$C$12)),0,IF(E23&lt;&gt;0,D24-D23,IF(E22=0,D24-D21,D24-D22)))</f>
        <v>1.879999999999999</v>
      </c>
      <c r="F24" s="109">
        <f t="shared" si="4"/>
        <v>3.759999999999998</v>
      </c>
      <c r="H24" s="65">
        <v>129</v>
      </c>
      <c r="I24" s="56" t="s">
        <v>12</v>
      </c>
      <c r="J24" s="5">
        <f>VLOOKUP(I24,Log!$B$2:$C$8,2,)</f>
        <v>1</v>
      </c>
      <c r="K24" s="4">
        <v>27.12</v>
      </c>
      <c r="L24" s="34">
        <f>IF(OR(AND(I24="Motorbike",K24-K23&lt;Log!$C$13),AND(I24&lt;&gt;"Motorbike",K24-K23&lt;Log!$C$12)),0,IF(L23&lt;&gt;0,K24-K23,IF(L22=0,K24-K21,K24-K22)))</f>
        <v>4.32</v>
      </c>
      <c r="M24" s="34">
        <f t="shared" si="5"/>
        <v>4.32</v>
      </c>
      <c r="N24" s="15"/>
      <c r="O24" s="60">
        <v>146</v>
      </c>
      <c r="P24" s="56" t="s">
        <v>12</v>
      </c>
      <c r="Q24" s="70">
        <f>VLOOKUP(P24,Log!$B$2:$C$8,2,)</f>
        <v>1</v>
      </c>
      <c r="R24" s="4">
        <v>28.68</v>
      </c>
      <c r="S24" s="34">
        <f>IF(OR(AND(P24="Motorbike",R24-R23&lt;Log!$C$13),AND(P24&lt;&gt;"Motorbike",R24-R23&lt;Log!$C$12)),0,IF(S23&lt;&gt;0,R24-R23,IF(S22=0,R24-R21,R24-R22)))</f>
        <v>2.3599999999999994</v>
      </c>
      <c r="T24" s="34">
        <f t="shared" si="6"/>
        <v>2.3599999999999994</v>
      </c>
    </row>
    <row r="25" spans="1:23" x14ac:dyDescent="0.25">
      <c r="A25" s="60">
        <v>89</v>
      </c>
      <c r="B25" s="56" t="s">
        <v>12</v>
      </c>
      <c r="C25" s="70">
        <f>VLOOKUP(B25,Log!$B$2:$C$8,2,)</f>
        <v>1</v>
      </c>
      <c r="D25" s="5">
        <v>20.6</v>
      </c>
      <c r="E25" s="34">
        <f>IF(OR(AND(OR(B25="Motorbike",B25="CNG",B25="Bicycle",B25="NMV"),D25-D24&lt;Log!$C$13),AND(NOT(OR(B25="Motorbike",B25="CNG",B25="Bicycle",B25="NMV")),D25-D24&lt;Log!$C$12)),0,IF(E24&lt;&gt;0,D25-D24,IF(E23=0,D25-D22,D25-D23)))</f>
        <v>0</v>
      </c>
      <c r="F25" s="109">
        <f t="shared" si="4"/>
        <v>0</v>
      </c>
      <c r="H25" s="73">
        <v>159</v>
      </c>
      <c r="I25" s="56" t="s">
        <v>12</v>
      </c>
      <c r="J25" s="5">
        <f>VLOOKUP(I25,Log!$B$2:$C$8,2,)</f>
        <v>1</v>
      </c>
      <c r="K25" s="4">
        <v>28.52</v>
      </c>
      <c r="L25" s="34">
        <f>IF(OR(AND(I25="Motorbike",K25-K24&lt;Log!$C$13),AND(I25&lt;&gt;"Motorbike",K25-K24&lt;Log!$C$12)),0,IF(L24&lt;&gt;0,K25-K24,IF(L23=0,K25-K22,K25-K23)))</f>
        <v>1.3999999999999986</v>
      </c>
      <c r="M25" s="34">
        <f t="shared" si="5"/>
        <v>1.3999999999999986</v>
      </c>
      <c r="N25" s="15"/>
      <c r="O25" s="60">
        <v>145</v>
      </c>
      <c r="P25" s="56" t="s">
        <v>12</v>
      </c>
      <c r="Q25" s="70">
        <f>VLOOKUP(P25,Log!$B$2:$C$8,2,)</f>
        <v>1</v>
      </c>
      <c r="R25" s="4">
        <v>31</v>
      </c>
      <c r="S25" s="34">
        <f>IF(OR(AND(P25="Motorbike",R25-R24&lt;Log!$C$13),AND(P25&lt;&gt;"Motorbike",R25-R24&lt;Log!$C$12)),0,IF(S24&lt;&gt;0,R25-R24,IF(S23=0,R25-R22,R25-R23)))</f>
        <v>2.3200000000000003</v>
      </c>
      <c r="T25" s="34">
        <f t="shared" si="6"/>
        <v>2.3200000000000003</v>
      </c>
    </row>
    <row r="26" spans="1:23" x14ac:dyDescent="0.25">
      <c r="A26" s="60">
        <v>102</v>
      </c>
      <c r="B26" s="56" t="s">
        <v>14</v>
      </c>
      <c r="C26" s="70">
        <f>VLOOKUP(B26,Log!$B$2:$C$8,2,)</f>
        <v>0.45</v>
      </c>
      <c r="D26" s="5">
        <v>21.72</v>
      </c>
      <c r="E26" s="34">
        <f>IF(OR(AND(OR(B26="Motorbike",B26="CNG",B26="Bicycle",B26="NMV"),D26-D25&lt;Log!$C$13),AND(NOT(OR(B26="Motorbike",B26="CNG",B26="Bicycle",B26="NMV")),D26-D25&lt;Log!$C$12)),0,IF(E25&lt;&gt;0,D26-D25,IF(E24=0,D26-D23,D26-D24)))</f>
        <v>1.8399999999999999</v>
      </c>
      <c r="F26" s="109">
        <f t="shared" si="4"/>
        <v>2.6679999999999997</v>
      </c>
      <c r="H26" s="73">
        <v>148</v>
      </c>
      <c r="I26" s="56" t="s">
        <v>12</v>
      </c>
      <c r="J26" s="5">
        <f>VLOOKUP(I26,Log!$B$2:$C$8,2,)</f>
        <v>1</v>
      </c>
      <c r="K26" s="4">
        <v>30.32</v>
      </c>
      <c r="L26" s="34">
        <f>IF(OR(AND(I26="Motorbike",K26-K25&lt;Log!$C$13),AND(I26&lt;&gt;"Motorbike",K26-K25&lt;Log!$C$12)),0,IF(L25&lt;&gt;0,K26-K25,IF(L24=0,K26-K23,K26-K24)))</f>
        <v>1.8000000000000007</v>
      </c>
      <c r="M26" s="34">
        <f t="shared" si="5"/>
        <v>1.8000000000000007</v>
      </c>
      <c r="N26" s="15"/>
      <c r="O26" s="60">
        <v>181</v>
      </c>
      <c r="P26" s="56" t="s">
        <v>12</v>
      </c>
      <c r="Q26" s="70">
        <f>VLOOKUP(P26,Log!$B$2:$C$8,2,)</f>
        <v>1</v>
      </c>
      <c r="R26" s="4">
        <v>32.479999999999997</v>
      </c>
      <c r="S26" s="34">
        <f>IF(OR(AND(P26="Motorbike",R26-R25&lt;Log!$C$13),AND(P26&lt;&gt;"Motorbike",R26-R25&lt;Log!$C$12)),0,IF(S25&lt;&gt;0,R26-R25,IF(S24=0,R26-R23,R26-R24)))</f>
        <v>1.4799999999999969</v>
      </c>
      <c r="T26" s="34">
        <f t="shared" si="6"/>
        <v>1.4799999999999969</v>
      </c>
    </row>
    <row r="27" spans="1:23" ht="15.75" thickBot="1" x14ac:dyDescent="0.3">
      <c r="A27" s="60">
        <v>84</v>
      </c>
      <c r="B27" s="71" t="s">
        <v>12</v>
      </c>
      <c r="C27" s="70">
        <f>VLOOKUP(B27,Log!$B$2:$C$8,2,)</f>
        <v>1</v>
      </c>
      <c r="D27" s="5">
        <v>22.4</v>
      </c>
      <c r="E27" s="34">
        <f>IF(OR(AND(OR(B27="Motorbike",B27="CNG",B27="Bicycle",B27="NMV"),D27-D26&lt;Log!$C$13),AND(NOT(OR(B27="Motorbike",B27="CNG",B27="Bicycle",B27="NMV")),D27-D26&lt;Log!$C$12)),0,IF(E26&lt;&gt;0,D27-D26,IF(E25=0,D27-D24,D27-D25)))</f>
        <v>0</v>
      </c>
      <c r="F27" s="109">
        <f t="shared" si="4"/>
        <v>0</v>
      </c>
      <c r="H27" s="66">
        <v>166</v>
      </c>
      <c r="I27" s="56" t="s">
        <v>12</v>
      </c>
      <c r="J27" s="5">
        <f>VLOOKUP(I27,Log!$B$2:$C$8,2,)</f>
        <v>1</v>
      </c>
      <c r="K27" s="4">
        <v>34</v>
      </c>
      <c r="L27" s="34">
        <f>IF(OR(AND(I27="Motorbike",K27-K26&lt;Log!$C$13),AND(I27&lt;&gt;"Motorbike",K27-K26&lt;Log!$C$12)),0,IF(L26&lt;&gt;0,K27-K26,IF(L25=0,K27-K24,K27-K25)))</f>
        <v>3.6799999999999997</v>
      </c>
      <c r="M27" s="34">
        <f t="shared" si="5"/>
        <v>3.6799999999999997</v>
      </c>
      <c r="N27" s="15"/>
      <c r="O27" s="60">
        <v>199</v>
      </c>
      <c r="P27" s="56" t="s">
        <v>13</v>
      </c>
      <c r="Q27" s="70">
        <f>VLOOKUP(P27,Log!$B$2:$C$8,2,)</f>
        <v>0.38</v>
      </c>
      <c r="R27" s="4">
        <v>34.119999999999997</v>
      </c>
      <c r="S27" s="34">
        <f>IF(OR(AND(P27="Motorbike",R27-R26&lt;Log!$C$13),AND(P27&lt;&gt;"Motorbike",R27-R26&lt;Log!$C$12)),0,IF(S26&lt;&gt;0,R27-R26,IF(S25=0,R27-R24,R27-R25)))</f>
        <v>1.6400000000000006</v>
      </c>
      <c r="T27" s="34">
        <f t="shared" si="6"/>
        <v>0.6232000000000002</v>
      </c>
    </row>
    <row r="28" spans="1:23" ht="15.75" thickBot="1" x14ac:dyDescent="0.3">
      <c r="A28" s="60">
        <v>125</v>
      </c>
      <c r="B28" s="59" t="s">
        <v>12</v>
      </c>
      <c r="C28" s="70">
        <f>VLOOKUP(B28,Log!$B$2:$C$8,2,)</f>
        <v>1</v>
      </c>
      <c r="D28" s="5">
        <v>24.4</v>
      </c>
      <c r="E28" s="34">
        <f>IF(OR(AND(OR(B28="Motorbike",B28="CNG",B28="Bicycle",B28="NMV"),D28-D27&lt;Log!$C$13),AND(NOT(OR(B28="Motorbike",B28="CNG",B28="Bicycle",B28="NMV")),D28-D27&lt;Log!$C$12)),0,IF(E27&lt;&gt;0,D28-D27,IF(E26=0,D28-D25,D28-D26)))</f>
        <v>2.6799999999999997</v>
      </c>
      <c r="F28" s="109">
        <f t="shared" si="4"/>
        <v>3.8859999999999997</v>
      </c>
      <c r="N28" s="15"/>
      <c r="O28" s="61">
        <v>179</v>
      </c>
      <c r="P28" s="56" t="s">
        <v>12</v>
      </c>
      <c r="Q28" s="70">
        <f>VLOOKUP(P28,Log!$B$2:$C$8,2,)</f>
        <v>1</v>
      </c>
      <c r="R28" s="4">
        <v>35.28</v>
      </c>
      <c r="S28" s="34">
        <f>IF(OR(AND(P28="Motorbike",R28-R27&lt;Log!$C$13),AND(P28&lt;&gt;"Motorbike",R28-R27&lt;Log!$C$12)),0,IF(S27&lt;&gt;0,R28-R27,IF(S26=0,R28-R25,R28-R26)))</f>
        <v>1.1600000000000037</v>
      </c>
      <c r="T28" s="34">
        <f t="shared" si="6"/>
        <v>1.1600000000000037</v>
      </c>
    </row>
    <row r="29" spans="1:23" ht="15.75" thickBot="1" x14ac:dyDescent="0.3">
      <c r="A29" s="60">
        <v>121</v>
      </c>
      <c r="B29" s="61" t="s">
        <v>14</v>
      </c>
      <c r="C29" s="70">
        <f>VLOOKUP(B29,Log!$B$2:$C$8,2,)</f>
        <v>0.45</v>
      </c>
      <c r="D29" s="5">
        <v>24.88</v>
      </c>
      <c r="E29" s="34">
        <f>IF(OR(AND(OR(B29="Motorbike",B29="CNG",B29="Bicycle",B29="NMV"),D29-D28&lt;Log!$C$13),AND(NOT(OR(B29="Motorbike",B29="CNG",B29="Bicycle",B29="NMV")),D29-D28&lt;Log!$C$12)),0,IF(E28&lt;&gt;0,D29-D28,IF(E27=0,D29-D26,D29-D27)))</f>
        <v>0</v>
      </c>
      <c r="F29" s="109">
        <f t="shared" si="4"/>
        <v>0</v>
      </c>
      <c r="N29" s="15"/>
      <c r="W29" s="11"/>
    </row>
    <row r="30" spans="1:23" x14ac:dyDescent="0.25">
      <c r="A30" s="60">
        <v>140</v>
      </c>
      <c r="B30" s="72" t="s">
        <v>14</v>
      </c>
      <c r="C30" s="70">
        <f>VLOOKUP(B30,Log!$B$2:$C$8,2,)</f>
        <v>0.45</v>
      </c>
      <c r="D30" s="5">
        <v>25.92</v>
      </c>
      <c r="E30" s="34">
        <f>IF(OR(AND(OR(B30="Motorbike",B30="CNG",B30="Bicycle",B30="NMV"),D30-D29&lt;Log!$C$13),AND(NOT(OR(B30="Motorbike",B30="CNG",B30="Bicycle",B30="NMV")),D30-D29&lt;Log!$C$12)),0,IF(E29&lt;&gt;0,D30-D29,IF(E28=0,D30-D27,D30-D28)))</f>
        <v>1.5200000000000031</v>
      </c>
      <c r="F30" s="109">
        <f t="shared" si="4"/>
        <v>0.68400000000000138</v>
      </c>
      <c r="N30" s="15"/>
      <c r="W30" s="11"/>
    </row>
    <row r="31" spans="1:23" x14ac:dyDescent="0.25">
      <c r="A31" s="60">
        <v>154</v>
      </c>
      <c r="B31" s="56" t="s">
        <v>13</v>
      </c>
      <c r="C31" s="70">
        <f>VLOOKUP(B31,Log!$B$2:$C$8,2,)</f>
        <v>0.38</v>
      </c>
      <c r="D31" s="5">
        <v>26.6</v>
      </c>
      <c r="E31" s="34">
        <f>IF(OR(AND(OR(B31="Motorbike",B31="CNG",B31="Bicycle",B31="NMV"),D31-D30&lt;Log!$C$13),AND(NOT(OR(B31="Motorbike",B31="CNG",B31="Bicycle",B31="NMV")),D31-D30&lt;Log!$C$12)),0,IF(E30&lt;&gt;0,D31-D30,IF(E29=0,D31-D28,D31-D29)))</f>
        <v>0.67999999999999972</v>
      </c>
      <c r="F31" s="109">
        <f t="shared" si="4"/>
        <v>0.25839999999999991</v>
      </c>
      <c r="N31" s="15"/>
      <c r="W31" s="11"/>
    </row>
    <row r="32" spans="1:23" x14ac:dyDescent="0.25">
      <c r="A32" s="60">
        <v>130</v>
      </c>
      <c r="B32" s="56" t="s">
        <v>12</v>
      </c>
      <c r="C32" s="70">
        <f>VLOOKUP(B32,Log!$B$2:$C$8,2,)</f>
        <v>1</v>
      </c>
      <c r="D32" s="5">
        <v>27.68</v>
      </c>
      <c r="E32" s="34">
        <f>IF(OR(AND(OR(B32="Motorbike",B32="CNG",B32="Bicycle",B32="NMV"),D32-D31&lt;Log!$C$13),AND(NOT(OR(B32="Motorbike",B32="CNG",B32="Bicycle",B32="NMV")),D32-D31&lt;Log!$C$12)),0,IF(E31&lt;&gt;0,D32-D31,IF(E30=0,D32-D29,D32-D30)))</f>
        <v>1.0799999999999983</v>
      </c>
      <c r="F32" s="109">
        <f t="shared" si="4"/>
        <v>1.0799999999999983</v>
      </c>
      <c r="N32" s="15"/>
      <c r="W32" s="11"/>
    </row>
    <row r="33" spans="1:23" x14ac:dyDescent="0.25">
      <c r="A33" s="60">
        <v>144</v>
      </c>
      <c r="B33" s="56" t="s">
        <v>12</v>
      </c>
      <c r="C33" s="70">
        <f>VLOOKUP(B33,Log!$B$2:$C$8,2,)</f>
        <v>1</v>
      </c>
      <c r="D33" s="5">
        <v>29.68</v>
      </c>
      <c r="E33" s="34">
        <f>IF(OR(AND(OR(B33="Motorbike",B33="CNG",B33="Bicycle",B33="NMV"),D33-D32&lt;Log!$C$13),AND(NOT(OR(B33="Motorbike",B33="CNG",B33="Bicycle",B33="NMV")),D33-D32&lt;Log!$C$12)),0,IF(E32&lt;&gt;0,D33-D32,IF(E31=0,D33-D30,D33-D31)))</f>
        <v>2</v>
      </c>
      <c r="F33" s="109">
        <f t="shared" si="4"/>
        <v>2</v>
      </c>
      <c r="N33" s="15"/>
      <c r="W33" s="11"/>
    </row>
    <row r="34" spans="1:23" ht="15.75" thickBot="1" x14ac:dyDescent="0.3">
      <c r="A34" s="60">
        <v>161</v>
      </c>
      <c r="B34" s="56" t="s">
        <v>12</v>
      </c>
      <c r="C34" s="70">
        <f>VLOOKUP(B34,Log!$B$2:$C$8,2,)</f>
        <v>1</v>
      </c>
      <c r="D34" s="5">
        <v>32.32</v>
      </c>
      <c r="E34" s="34">
        <f>IF(OR(AND(OR(B34="Motorbike",B34="CNG",B34="Bicycle",B34="NMV"),D34-D33&lt;Log!$C$13),AND(NOT(OR(B34="Motorbike",B34="CNG",B34="Bicycle",B34="NMV")),D34-D33&lt;Log!$C$12)),0,IF(E33&lt;&gt;0,D34-D33,IF(E32=0,D34-D31,D34-D32)))</f>
        <v>2.6400000000000006</v>
      </c>
      <c r="F34" s="109">
        <f t="shared" si="4"/>
        <v>2.6400000000000006</v>
      </c>
      <c r="H34" s="52"/>
      <c r="I34" s="53"/>
      <c r="J34" s="15"/>
      <c r="L34" s="54"/>
      <c r="M34" s="54"/>
      <c r="N34" s="15"/>
      <c r="W34" s="11"/>
    </row>
    <row r="35" spans="1:23" ht="15.75" thickBot="1" x14ac:dyDescent="0.3">
      <c r="A35" s="60">
        <v>167</v>
      </c>
      <c r="B35" s="56" t="s">
        <v>12</v>
      </c>
      <c r="C35" s="70">
        <f>VLOOKUP(B35,Log!$B$2:$C$8,2,)</f>
        <v>1</v>
      </c>
      <c r="D35" s="5">
        <v>34.08</v>
      </c>
      <c r="E35" s="34">
        <f>IF(OR(AND(OR(B35="Motorbike",B35="CNG",B35="Bicycle",B35="NMV"),D35-D34&lt;Log!$C$13),AND(NOT(OR(B35="Motorbike",B35="CNG",B35="Bicycle",B35="NMV")),D35-D34&lt;Log!$C$12)),0,IF(E34&lt;&gt;0,D35-D34,IF(E33=0,D35-D32,D35-D33)))</f>
        <v>1.759999999999998</v>
      </c>
      <c r="F35" s="109">
        <f t="shared" si="4"/>
        <v>1.759999999999998</v>
      </c>
      <c r="H35" s="55"/>
      <c r="I35" s="76"/>
      <c r="J35" s="15"/>
      <c r="L35" s="54"/>
      <c r="M35" s="54"/>
      <c r="W35" s="11"/>
    </row>
    <row r="36" spans="1:23" ht="15.75" thickBot="1" x14ac:dyDescent="0.3">
      <c r="A36" s="61">
        <v>164</v>
      </c>
      <c r="B36" s="56" t="s">
        <v>12</v>
      </c>
      <c r="C36" s="70">
        <f>VLOOKUP(B36,Log!$B$2:$C$8,2,)</f>
        <v>1</v>
      </c>
      <c r="D36" s="5">
        <v>36.479999999999997</v>
      </c>
      <c r="E36" s="34">
        <f>IF(OR(AND(OR(B36="Motorbike",B36="CNG",B36="Bicycle",B36="NMV"),D36-D35&lt;Log!$C$13),AND(NOT(OR(B36="Motorbike",B36="CNG",B36="Bicycle",B36="NMV")),D36-D35&lt;Log!$C$12)),0,IF(E35&lt;&gt;0,D36-D35,IF(E34=0,D36-D33,D36-D34)))</f>
        <v>2.3999999999999986</v>
      </c>
      <c r="F36" s="109">
        <f t="shared" si="4"/>
        <v>2.3999999999999986</v>
      </c>
      <c r="H36" s="55"/>
      <c r="J36" s="15"/>
      <c r="L36" s="54"/>
      <c r="M36" s="54"/>
      <c r="W36" s="11"/>
    </row>
    <row r="37" spans="1:23" x14ac:dyDescent="0.25">
      <c r="H37" s="55"/>
      <c r="J37" s="15"/>
      <c r="L37" s="54"/>
      <c r="M37" s="54"/>
      <c r="W37" s="11"/>
    </row>
    <row r="38" spans="1:23" x14ac:dyDescent="0.25"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 t="e">
        <f>AVERAGE(S30:S34)</f>
        <v>#DIV/0!</v>
      </c>
      <c r="T52" s="9" t="e">
        <f>AVERAGE(T30:T34)</f>
        <v>#DIV/0!</v>
      </c>
    </row>
    <row r="53" spans="19:20" x14ac:dyDescent="0.25">
      <c r="S53" s="10" t="e">
        <f>3600/S52</f>
        <v>#DIV/0!</v>
      </c>
      <c r="T53" s="10" t="e">
        <f>3600/T52</f>
        <v>#DIV/0!</v>
      </c>
    </row>
  </sheetData>
  <mergeCells count="4">
    <mergeCell ref="C1:D1"/>
    <mergeCell ref="A11:F11"/>
    <mergeCell ref="H11:M11"/>
    <mergeCell ref="O11:T11"/>
  </mergeCells>
  <conditionalFormatting sqref="E16:E36">
    <cfRule type="cellIs" dxfId="49" priority="2" operator="greaterThanOrEqual">
      <formula>4</formula>
    </cfRule>
  </conditionalFormatting>
  <conditionalFormatting sqref="E13:F13">
    <cfRule type="cellIs" dxfId="48" priority="41" operator="greaterThan">
      <formula>4</formula>
    </cfRule>
  </conditionalFormatting>
  <conditionalFormatting sqref="F14:F36">
    <cfRule type="cellIs" dxfId="47" priority="21" operator="greaterThan">
      <formula>4</formula>
    </cfRule>
  </conditionalFormatting>
  <conditionalFormatting sqref="L14:L27">
    <cfRule type="cellIs" dxfId="46" priority="12" operator="greaterThanOrEqual">
      <formula>4</formula>
    </cfRule>
  </conditionalFormatting>
  <conditionalFormatting sqref="L13:M13">
    <cfRule type="cellIs" dxfId="45" priority="38" operator="greaterThan">
      <formula>4</formula>
    </cfRule>
  </conditionalFormatting>
  <conditionalFormatting sqref="L34:M37">
    <cfRule type="cellIs" dxfId="44" priority="43" operator="greaterThan">
      <formula>4</formula>
    </cfRule>
  </conditionalFormatting>
  <conditionalFormatting sqref="M14:M27">
    <cfRule type="cellIs" dxfId="43" priority="14" operator="greaterThan">
      <formula>4</formula>
    </cfRule>
  </conditionalFormatting>
  <conditionalFormatting sqref="S14:S28">
    <cfRule type="cellIs" dxfId="42" priority="5" operator="greaterThanOrEqual">
      <formula>4</formula>
    </cfRule>
  </conditionalFormatting>
  <conditionalFormatting sqref="S13:T13">
    <cfRule type="cellIs" dxfId="41" priority="36" operator="greaterThan">
      <formula>4</formula>
    </cfRule>
  </conditionalFormatting>
  <conditionalFormatting sqref="T14:T28">
    <cfRule type="cellIs" dxfId="40" priority="7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417B07-02DC-48FF-A829-A33EE729132A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3" id="{4D7EC32A-6124-4A72-B81B-D9F888E1ACDE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E14:E36</xm:sqref>
        </x14:conditionalFormatting>
        <x14:conditionalFormatting xmlns:xm="http://schemas.microsoft.com/office/excel/2006/main">
          <x14:cfRule type="expression" priority="44" id="{3CBE6909-FE33-4D60-93A1-9B092922D0C1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L14:L15</xm:sqref>
        </x14:conditionalFormatting>
        <x14:conditionalFormatting xmlns:xm="http://schemas.microsoft.com/office/excel/2006/main">
          <x14:cfRule type="expression" priority="13" id="{4AD6B235-967B-488F-A9FB-04A9A67CD0E7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L14:L27</xm:sqref>
        </x14:conditionalFormatting>
        <x14:conditionalFormatting xmlns:xm="http://schemas.microsoft.com/office/excel/2006/main">
          <x14:cfRule type="expression" priority="11" id="{F85EB7D2-99EB-446F-AE8B-EEEC302B2745}">
            <xm:f>AND(OFFSET(L15,0,-3)="Motorbike", L15&lt;Log!$C$13)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L15:L27</xm:sqref>
        </x14:conditionalFormatting>
        <x14:conditionalFormatting xmlns:xm="http://schemas.microsoft.com/office/excel/2006/main">
          <x14:cfRule type="expression" priority="6" id="{C1732371-8A0D-45A1-BE71-EB35B11D9F60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S14:S28</xm:sqref>
        </x14:conditionalFormatting>
        <x14:conditionalFormatting xmlns:xm="http://schemas.microsoft.com/office/excel/2006/main">
          <x14:cfRule type="expression" priority="4" id="{B0A22EE2-DB83-4E52-B9D9-392EEE3C38D2}">
            <xm:f>AND(OFFSET(S16,0,-3)="Motorbike", S16&lt;Log!$C$13)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S16:S28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C5DE-8D8D-4115-A229-FC0BFEDD6CA1}">
  <sheetPr codeName="Sheet14"/>
  <dimension ref="A1:W53"/>
  <sheetViews>
    <sheetView workbookViewId="0">
      <selection activeCell="Q16" sqref="Q16:Q32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54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21.88</v>
      </c>
      <c r="M2" s="19">
        <f>SUM(M20:M28)</f>
        <v>28.598399999999994</v>
      </c>
      <c r="R2" s="4" t="s">
        <v>20</v>
      </c>
      <c r="S2" s="8">
        <f>SUM(S25:S28)</f>
        <v>2.84</v>
      </c>
      <c r="T2" s="8">
        <f>SUM(T25:T28)</f>
        <v>2.2579999999999991</v>
      </c>
    </row>
    <row r="3" spans="1:20" x14ac:dyDescent="0.25">
      <c r="K3" s="4" t="s">
        <v>21</v>
      </c>
      <c r="L3" s="20">
        <f>AVERAGE(L24:L26)</f>
        <v>5.333333333333333</v>
      </c>
      <c r="M3" s="67">
        <f>AVERAGE(M17:M20)</f>
        <v>1.8096000000000001</v>
      </c>
      <c r="R3" s="4" t="s">
        <v>21</v>
      </c>
      <c r="S3" s="9">
        <f>AVERAGE(S25:S28)</f>
        <v>0.71</v>
      </c>
      <c r="T3" s="9">
        <f>AVERAGE(T23:T28)</f>
        <v>0.89659999999999984</v>
      </c>
    </row>
    <row r="4" spans="1:20" x14ac:dyDescent="0.25">
      <c r="A4" s="4" t="s">
        <v>12</v>
      </c>
      <c r="B4" s="144">
        <f>100*COUNTIF($B$13:$B$43,A4)/COUNTA($B$13:$B$43)</f>
        <v>50</v>
      </c>
      <c r="H4" s="4" t="s">
        <v>12</v>
      </c>
      <c r="I4" s="144">
        <f>100*COUNTIF($I$13:$I$35,H4)/COUNTA($I$13:$I$35)</f>
        <v>78.260869565217391</v>
      </c>
      <c r="K4" s="4" t="s">
        <v>7</v>
      </c>
      <c r="L4" s="23">
        <f>3600/L3</f>
        <v>675</v>
      </c>
      <c r="M4" s="68">
        <f>3600/M3</f>
        <v>1989.389920424403</v>
      </c>
      <c r="O4" s="4" t="s">
        <v>12</v>
      </c>
      <c r="P4" s="144">
        <f>100*COUNTIF($P$13:$P$43,O4)/COUNTA($P$13:$P$43)</f>
        <v>32.258064516129032</v>
      </c>
      <c r="R4" s="4" t="s">
        <v>7</v>
      </c>
      <c r="S4" s="10">
        <f>3600/S3</f>
        <v>5070.422535211268</v>
      </c>
      <c r="T4" s="10">
        <f>3600/T3</f>
        <v>4015.1684140084772</v>
      </c>
    </row>
    <row r="5" spans="1:20" x14ac:dyDescent="0.25">
      <c r="A5" s="4" t="s">
        <v>14</v>
      </c>
      <c r="B5" s="144">
        <f t="shared" ref="B5:B7" si="0">100*COUNTIF($B$13:$B$43,A5)/COUNTA($B$13:$B$43)</f>
        <v>26.923076923076923</v>
      </c>
      <c r="H5" s="4" t="s">
        <v>14</v>
      </c>
      <c r="I5" s="144">
        <f t="shared" ref="I5:I7" si="1">100*COUNTIF($I$13:$I$35,H5)/COUNTA($I$13:$I$35)</f>
        <v>4.3478260869565215</v>
      </c>
      <c r="O5" s="4" t="s">
        <v>14</v>
      </c>
      <c r="P5" s="144">
        <f t="shared" ref="P5:P7" si="2">100*COUNTIF($P$13:$P$43,O5)/COUNTA($P$13:$P$43)</f>
        <v>19.35483870967742</v>
      </c>
    </row>
    <row r="6" spans="1:20" x14ac:dyDescent="0.25">
      <c r="A6" s="4" t="s">
        <v>13</v>
      </c>
      <c r="B6" s="144">
        <f t="shared" si="0"/>
        <v>19.23076923076923</v>
      </c>
      <c r="E6" s="29" t="s">
        <v>32</v>
      </c>
      <c r="F6" s="29" t="s">
        <v>31</v>
      </c>
      <c r="H6" s="4" t="s">
        <v>13</v>
      </c>
      <c r="I6" s="144">
        <f t="shared" si="1"/>
        <v>8.695652173913043</v>
      </c>
      <c r="L6" s="29" t="s">
        <v>32</v>
      </c>
      <c r="M6" s="29" t="s">
        <v>31</v>
      </c>
      <c r="O6" s="4" t="s">
        <v>13</v>
      </c>
      <c r="P6" s="144">
        <f t="shared" si="2"/>
        <v>48.387096774193552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0</v>
      </c>
      <c r="D7" s="30" t="s">
        <v>30</v>
      </c>
      <c r="E7" s="25">
        <f>SUM(E14:E30)</f>
        <v>17.8</v>
      </c>
      <c r="F7" s="25">
        <f>SUM(F14:F30)</f>
        <v>19.474399999999999</v>
      </c>
      <c r="H7" s="4" t="s">
        <v>28</v>
      </c>
      <c r="I7" s="144">
        <f t="shared" si="1"/>
        <v>4.3478260869565215</v>
      </c>
      <c r="K7" s="30" t="s">
        <v>30</v>
      </c>
      <c r="L7" s="25">
        <f>SUM(L14:L37)</f>
        <v>38.919999999999995</v>
      </c>
      <c r="M7" s="25">
        <f>SUM(M14:M37)</f>
        <v>50.405999999999999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8.120000000000001</v>
      </c>
      <c r="T7" s="25">
        <f>SUM(T13:T23)</f>
        <v>6.3647999999999998</v>
      </c>
    </row>
    <row r="8" spans="1:20" ht="15.75" thickBot="1" x14ac:dyDescent="0.3">
      <c r="D8" s="30" t="s">
        <v>21</v>
      </c>
      <c r="E8" s="28">
        <f>AVERAGEIF(E17:E20,"&lt;&gt;0")</f>
        <v>1.5999999999999999</v>
      </c>
      <c r="F8" s="28">
        <f>AVERAGEIF(F15:F26,"&lt;&gt;0")</f>
        <v>1.8591999999999997</v>
      </c>
      <c r="K8" s="30" t="s">
        <v>21</v>
      </c>
      <c r="L8" s="28">
        <f>AVERAGEIF(L26:L33,"&lt;&gt;0")</f>
        <v>2.1999999999999993</v>
      </c>
      <c r="M8" s="28">
        <f>AVERAGEIF(M26:M35,"&lt;&gt;0")</f>
        <v>3.4382285714285703</v>
      </c>
      <c r="O8" s="4" t="s">
        <v>15</v>
      </c>
      <c r="P8" s="144">
        <f t="shared" ref="P8:P9" si="3">100*COUNTIF($P$13:$P$39,O8)/COUNTA($P$13:$P$39)</f>
        <v>0</v>
      </c>
      <c r="R8" s="30" t="s">
        <v>21</v>
      </c>
      <c r="S8" s="28">
        <f>AVERAGEIF(S36:S41,"&lt;&gt;0")</f>
        <v>2.1199999999999997</v>
      </c>
      <c r="T8" s="28">
        <f>AVERAGEIF(T16:T31,"&lt;&gt;0")</f>
        <v>0.90025454545454542</v>
      </c>
    </row>
    <row r="9" spans="1:20" ht="15.75" thickBot="1" x14ac:dyDescent="0.3">
      <c r="D9" s="30" t="s">
        <v>7</v>
      </c>
      <c r="E9" s="27">
        <f>3600/E8</f>
        <v>2250</v>
      </c>
      <c r="F9" s="31">
        <f>3600/F8</f>
        <v>1936.3166953528403</v>
      </c>
      <c r="K9" s="30" t="s">
        <v>7</v>
      </c>
      <c r="L9" s="27">
        <f>3600/L8</f>
        <v>1636.3636363636369</v>
      </c>
      <c r="M9" s="31">
        <f>3600/M8</f>
        <v>1047.0508068939157</v>
      </c>
      <c r="O9" s="4" t="s">
        <v>33</v>
      </c>
      <c r="P9" s="144">
        <f t="shared" si="3"/>
        <v>0</v>
      </c>
      <c r="R9" s="30" t="s">
        <v>7</v>
      </c>
      <c r="S9" s="27">
        <f>3600/S8</f>
        <v>1698.1132075471701</v>
      </c>
      <c r="T9" s="31">
        <f>3600/T8</f>
        <v>3998.8690067455673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57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57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79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59">
        <v>1</v>
      </c>
      <c r="B13" s="56" t="s">
        <v>14</v>
      </c>
      <c r="C13" s="70">
        <f>VLOOKUP(B13,Log!$B$2:$C$8,2,)</f>
        <v>0.45</v>
      </c>
      <c r="D13" s="5">
        <v>3.8</v>
      </c>
      <c r="E13" s="34">
        <v>0</v>
      </c>
      <c r="F13" s="34">
        <v>0</v>
      </c>
      <c r="H13" s="65">
        <v>4</v>
      </c>
      <c r="I13" s="65" t="s">
        <v>14</v>
      </c>
      <c r="J13" s="70">
        <f>VLOOKUP(I13,Log!$B$2:$C$8,2,)</f>
        <v>0.45</v>
      </c>
      <c r="K13" s="4">
        <v>2.4</v>
      </c>
      <c r="L13" s="34">
        <v>0</v>
      </c>
      <c r="M13" s="34">
        <v>0</v>
      </c>
      <c r="N13" s="15"/>
      <c r="O13" s="114">
        <v>10</v>
      </c>
      <c r="P13" s="115" t="s">
        <v>13</v>
      </c>
      <c r="Q13" s="121">
        <f>VLOOKUP(P13,Log!$B$2:$C$8,2,)</f>
        <v>0.38</v>
      </c>
      <c r="R13" s="118">
        <v>1.4</v>
      </c>
      <c r="S13" s="119">
        <v>0</v>
      </c>
      <c r="T13" s="119">
        <v>0</v>
      </c>
    </row>
    <row r="14" spans="1:20" ht="15.75" thickBot="1" x14ac:dyDescent="0.3">
      <c r="A14" s="60">
        <v>30</v>
      </c>
      <c r="B14" s="56" t="s">
        <v>13</v>
      </c>
      <c r="C14" s="70">
        <f>VLOOKUP(B14,Log!$B$2:$C$8,2,)</f>
        <v>0.38</v>
      </c>
      <c r="D14" s="5">
        <v>4.4000000000000004</v>
      </c>
      <c r="E14" s="34">
        <f>IF(OR(AND(B14="Motorbike",D14-D13&lt;Log!$C$13),AND(B14&lt;&gt;"Motorbike",D14-D13&lt;Log!$C$12)),0,D14-D13)</f>
        <v>0.60000000000000053</v>
      </c>
      <c r="F14" s="34">
        <f>IF(E15&lt;&gt;0,C14*E14,IF(E16=0,(C14+C15+C16)*E14,(C14+C15)*E14))</f>
        <v>0.2280000000000002</v>
      </c>
      <c r="H14" s="73">
        <v>3</v>
      </c>
      <c r="I14" s="66" t="s">
        <v>12</v>
      </c>
      <c r="J14" s="70">
        <f>VLOOKUP(I14,Log!$B$2:$C$8,2,)</f>
        <v>1</v>
      </c>
      <c r="K14" s="4">
        <v>2.88</v>
      </c>
      <c r="L14" s="34">
        <f>IF(OR(AND(I14="Motorbike",K14-K13&lt;Log!$C$13),AND(I14&lt;&gt;"Motorbike",K14-K13&lt;Log!$C$12)),0,K14-K13)</f>
        <v>0</v>
      </c>
      <c r="M14" s="34">
        <f>IF(L15&lt;&gt;0,J14*L14,IF(L16=0,(J14+J15+J16)*L14,(J14+J15)*L14))</f>
        <v>0</v>
      </c>
      <c r="N14" s="15"/>
      <c r="O14" s="116">
        <v>9</v>
      </c>
      <c r="P14" s="115" t="s">
        <v>13</v>
      </c>
      <c r="Q14" s="121">
        <f>VLOOKUP(P14,Log!$B$2:$C$8,2,)</f>
        <v>0.38</v>
      </c>
      <c r="R14" s="118">
        <v>2.12</v>
      </c>
      <c r="S14" s="119">
        <f>IF(OR(AND(P14="Motorbike",R14-R13&lt;Log!$C$13),AND(P14&lt;&gt;"Motorbike",R14-R13&lt;Log!$C$12)),0,R14-R13)</f>
        <v>0.7200000000000002</v>
      </c>
      <c r="T14" s="119">
        <f>IF(S15&lt;&gt;0,Q14*S14,IF(S16=0,(Q14+Q15+Q16)*S14,(Q14+Q15)*S14))</f>
        <v>0.59760000000000024</v>
      </c>
    </row>
    <row r="15" spans="1:20" x14ac:dyDescent="0.25">
      <c r="A15" s="60">
        <v>2</v>
      </c>
      <c r="B15" s="56" t="s">
        <v>12</v>
      </c>
      <c r="C15" s="70">
        <f>VLOOKUP(B15,Log!$B$2:$C$8,2,)</f>
        <v>1</v>
      </c>
      <c r="D15" s="5">
        <v>6.72</v>
      </c>
      <c r="E15" s="34">
        <f>IF(OR(AND(B15="Motorbike",D15-D14&lt;Log!$C$13),AND(B15&lt;&gt;"Motorbike",D15-D14&lt;Log!$C$12)),0,D15-D14)</f>
        <v>2.3199999999999994</v>
      </c>
      <c r="F15" s="109">
        <f t="shared" ref="F15:F38" si="4">IF(E16&lt;&gt;0,C15*E15,IF(E17=0,(C15+C16+C17)*E15,(C15+C16)*E15))</f>
        <v>2.3199999999999994</v>
      </c>
      <c r="H15" s="73">
        <v>5</v>
      </c>
      <c r="I15" s="65" t="s">
        <v>12</v>
      </c>
      <c r="J15" s="70">
        <f>VLOOKUP(I15,Log!$B$2:$C$8,2,)</f>
        <v>1</v>
      </c>
      <c r="K15" s="4">
        <v>3.88</v>
      </c>
      <c r="L15" s="34">
        <f>IF(OR(AND(I15="Motorbike",K15-K14&lt;Log!$C$13),AND(I15&lt;&gt;"Motorbike",K15-K14&lt;Log!$C$12)),0,K15-K14)</f>
        <v>1</v>
      </c>
      <c r="M15" s="34">
        <f t="shared" ref="M15:M35" si="5">IF(L16&lt;&gt;0,J15*L15,IF(L17=0,(J15+J16+J17)*L15,(J15+J16)*L15))</f>
        <v>1.38</v>
      </c>
      <c r="N15" s="15"/>
      <c r="O15" s="116">
        <v>4</v>
      </c>
      <c r="P15" s="115" t="s">
        <v>14</v>
      </c>
      <c r="Q15" s="121">
        <f>VLOOKUP(P15,Log!$B$2:$C$8,2,)</f>
        <v>0.45</v>
      </c>
      <c r="R15" s="118">
        <v>2.72</v>
      </c>
      <c r="S15" s="119">
        <f>IF(OR(AND(P15="Motorbike",R15-R14&lt;Log!$C$13),AND(P15&lt;&gt;"Motorbike",R15-R14&lt;Log!$C$12)),0,R15-R14)</f>
        <v>0</v>
      </c>
      <c r="T15" s="119">
        <f t="shared" ref="T15:T43" si="6">IF(S16&lt;&gt;0,Q15*S15,IF(S17=0,(Q15+Q16+Q17)*S15,(Q15+Q16)*S15))</f>
        <v>0</v>
      </c>
    </row>
    <row r="16" spans="1:20" ht="15.75" thickBot="1" x14ac:dyDescent="0.3">
      <c r="A16" s="60">
        <v>53</v>
      </c>
      <c r="B16" s="56" t="s">
        <v>12</v>
      </c>
      <c r="C16" s="70">
        <f>VLOOKUP(B16,Log!$B$2:$C$8,2,)</f>
        <v>1</v>
      </c>
      <c r="D16" s="5">
        <v>7.72</v>
      </c>
      <c r="E16" s="34">
        <f>IF(OR(AND(OR(B16="Motorbike",B16="CNG",B16="Bicycle",B16="NMV"),D16-D15&lt;Log!$C$13),AND(NOT(OR(B16="Motorbike",B16="CNG",B16="Bicycle",B16="NMV")),D16-D15&lt;Log!$C$12)),0,IF(E15&lt;&gt;0,D16-D15,IF(E14=0,D16-D13,D16-D14)))</f>
        <v>1</v>
      </c>
      <c r="F16" s="109">
        <f t="shared" si="4"/>
        <v>1</v>
      </c>
      <c r="H16" s="73">
        <v>42</v>
      </c>
      <c r="I16" s="66" t="s">
        <v>13</v>
      </c>
      <c r="J16" s="70">
        <f>VLOOKUP(I16,Log!$B$2:$C$8,2,)</f>
        <v>0.38</v>
      </c>
      <c r="K16" s="4">
        <v>4.28</v>
      </c>
      <c r="L16" s="34">
        <f>IF(OR(AND(OR(I16="Motorbike",I16="CNG",I16="Bicycle",I16="NMV"),K16-K15&lt;Log!$C$13),AND(NOT(OR(I16="Motorbike",I16="CNG",I16="Bicycle",I16="NMV")),K16-K15&lt;Log!$C$12)),0,IF(L15&lt;&gt;0,K16-K15,IF(L14=0,K16-K13,K16-K14)))</f>
        <v>0</v>
      </c>
      <c r="M16" s="34">
        <f t="shared" si="5"/>
        <v>0</v>
      </c>
      <c r="N16" s="15"/>
      <c r="O16" s="60">
        <v>18</v>
      </c>
      <c r="P16" s="56" t="s">
        <v>13</v>
      </c>
      <c r="Q16" s="70">
        <f>VLOOKUP(P16,Log!$B$2:$C$8,2,)</f>
        <v>0.38</v>
      </c>
      <c r="R16" s="4">
        <v>3.88</v>
      </c>
      <c r="S16" s="34">
        <f>IF(OR(AND(OR(P16="Motorbike",P16="CNG",P16="Bicycle",P16="NMV"),R16-R15&lt;Log!$C$13),AND(NOT(OR(P16="Motorbike",P16="CNG",P16="Bicycle",P16="NMV")),R16-R15&lt;Log!$C$12)),0,IF(S15&lt;&gt;0,R16-R15,IF(S14=0,R16-R13,R16-R14)))</f>
        <v>1.7599999999999998</v>
      </c>
      <c r="T16" s="109">
        <f t="shared" si="6"/>
        <v>0.66879999999999995</v>
      </c>
    </row>
    <row r="17" spans="1:23" ht="15.75" thickBot="1" x14ac:dyDescent="0.3">
      <c r="A17" s="60">
        <v>46</v>
      </c>
      <c r="B17" s="56" t="s">
        <v>12</v>
      </c>
      <c r="C17" s="70">
        <f>VLOOKUP(B17,Log!$B$2:$C$8,2,)</f>
        <v>1</v>
      </c>
      <c r="D17" s="5">
        <v>9.7200000000000006</v>
      </c>
      <c r="E17" s="34">
        <f>IF(OR(AND(OR(B17="Motorbike",B17="CNG",B17="Bicycle",B17="NMV"),D17-D16&lt;Log!$C$13),AND(NOT(OR(B17="Motorbike",B17="CNG",B17="Bicycle",B17="NMV")),D17-D16&lt;Log!$C$12)),0,IF(E16&lt;&gt;0,D17-D16,IF(E15=0,D17-D14,D17-D15)))</f>
        <v>2.0000000000000009</v>
      </c>
      <c r="F17" s="109">
        <f t="shared" si="4"/>
        <v>2.0000000000000009</v>
      </c>
      <c r="H17" s="73">
        <v>7</v>
      </c>
      <c r="I17" s="72" t="s">
        <v>12</v>
      </c>
      <c r="J17" s="70">
        <f>VLOOKUP(I17,Log!$B$2:$C$8,2,)</f>
        <v>1</v>
      </c>
      <c r="K17" s="4">
        <v>5.6</v>
      </c>
      <c r="L17" s="34">
        <f>IF(OR(AND(OR(I17="Motorbike",I17="CNG",I17="Bicycle",I17="NMV"),K17-K16&lt;Log!$C$13),AND(NOT(OR(I17="Motorbike",I17="CNG",I17="Bicycle",I17="NMV")),K17-K16&lt;Log!$C$12)),0,IF(L16&lt;&gt;0,K17-K16,IF(L15=0,K17-K14,K17-K15)))</f>
        <v>1.7199999999999998</v>
      </c>
      <c r="M17" s="34">
        <f t="shared" si="5"/>
        <v>1.7199999999999998</v>
      </c>
      <c r="N17" s="15"/>
      <c r="O17" s="60">
        <v>17</v>
      </c>
      <c r="P17" s="71" t="s">
        <v>14</v>
      </c>
      <c r="Q17" s="70">
        <f>VLOOKUP(P17,Log!$B$2:$C$8,2,)</f>
        <v>0.45</v>
      </c>
      <c r="R17" s="4">
        <v>4.5999999999999996</v>
      </c>
      <c r="S17" s="34">
        <f>IF(OR(AND(OR(P17="Motorbike",P17="CNG",P17="Bicycle",P17="NMV"),R17-R16&lt;Log!$C$13),AND(NOT(OR(P17="Motorbike",P17="CNG",P17="Bicycle",P17="NMV")),R17-R16&lt;Log!$C$12)),0,IF(S16&lt;&gt;0,R17-R16,IF(S15=0,R17-R14,R17-R15)))</f>
        <v>0.71999999999999975</v>
      </c>
      <c r="T17" s="109">
        <f t="shared" si="6"/>
        <v>0.3239999999999999</v>
      </c>
    </row>
    <row r="18" spans="1:23" x14ac:dyDescent="0.25">
      <c r="A18" s="60">
        <v>63</v>
      </c>
      <c r="B18" s="56" t="s">
        <v>14</v>
      </c>
      <c r="C18" s="70">
        <f>VLOOKUP(B18,Log!$B$2:$C$8,2,)</f>
        <v>0.45</v>
      </c>
      <c r="D18" s="5">
        <v>11.08</v>
      </c>
      <c r="E18" s="34">
        <f>IF(OR(AND(OR(B18="Motorbike",B18="CNG",B18="Bicycle",B18="NMV"),D18-D17&lt;Log!$C$13),AND(NOT(OR(B18="Motorbike",B18="CNG",B18="Bicycle",B18="NMV")),D18-D17&lt;Log!$C$12)),0,IF(E17&lt;&gt;0,D18-D17,IF(E16=0,D18-D15,D18-D16)))</f>
        <v>1.3599999999999994</v>
      </c>
      <c r="F18" s="109">
        <f t="shared" si="4"/>
        <v>0.61199999999999977</v>
      </c>
      <c r="H18" s="73">
        <v>12</v>
      </c>
      <c r="I18" s="56" t="s">
        <v>12</v>
      </c>
      <c r="J18" s="70">
        <f>VLOOKUP(I18,Log!$B$2:$C$8,2,)</f>
        <v>1</v>
      </c>
      <c r="K18" s="4">
        <v>7.4</v>
      </c>
      <c r="L18" s="34">
        <f>IF(OR(AND(OR(I18="Motorbike",I18="CNG",I18="Bicycle",I18="NMV"),K18-K17&lt;Log!$C$13),AND(NOT(OR(I18="Motorbike",I18="CNG",I18="Bicycle",I18="NMV")),K18-K17&lt;Log!$C$12)),0,IF(L17&lt;&gt;0,K18-K17,IF(L16=0,K18-K15,K18-K16)))</f>
        <v>1.8000000000000007</v>
      </c>
      <c r="M18" s="34">
        <f t="shared" si="5"/>
        <v>1.8000000000000007</v>
      </c>
      <c r="N18" s="15"/>
      <c r="O18" s="60">
        <v>38</v>
      </c>
      <c r="P18" s="87" t="s">
        <v>13</v>
      </c>
      <c r="Q18" s="70">
        <f>VLOOKUP(P18,Log!$B$2:$C$8,2,)</f>
        <v>0.38</v>
      </c>
      <c r="R18" s="4">
        <v>5.72</v>
      </c>
      <c r="S18" s="34">
        <f>IF(OR(AND(OR(P18="Motorbike",P18="CNG",P18="Bicycle",P18="NMV"),R18-R17&lt;Log!$C$13),AND(NOT(OR(P18="Motorbike",P18="CNG",P18="Bicycle",P18="NMV")),R18-R17&lt;Log!$C$12)),0,IF(S17&lt;&gt;0,R18-R17,IF(S16=0,R18-R15,R18-R16)))</f>
        <v>1.1200000000000001</v>
      </c>
      <c r="T18" s="109">
        <f t="shared" si="6"/>
        <v>1.5456000000000001</v>
      </c>
    </row>
    <row r="19" spans="1:23" ht="15.75" thickBot="1" x14ac:dyDescent="0.3">
      <c r="A19" s="60">
        <v>84</v>
      </c>
      <c r="B19" s="71" t="s">
        <v>12</v>
      </c>
      <c r="C19" s="70">
        <f>VLOOKUP(B19,Log!$B$2:$C$8,2,)</f>
        <v>1</v>
      </c>
      <c r="D19" s="5">
        <v>12.48</v>
      </c>
      <c r="E19" s="34">
        <f>IF(OR(AND(OR(B19="Motorbike",B19="CNG",B19="Bicycle",B19="NMV"),D19-D18&lt;Log!$C$13),AND(NOT(OR(B19="Motorbike",B19="CNG",B19="Bicycle",B19="NMV")),D19-D18&lt;Log!$C$12)),0,IF(E18&lt;&gt;0,D19-D18,IF(E17=0,D19-D16,D19-D17)))</f>
        <v>1.4000000000000004</v>
      </c>
      <c r="F19" s="109">
        <f t="shared" si="4"/>
        <v>1.4000000000000004</v>
      </c>
      <c r="H19" s="73">
        <v>36</v>
      </c>
      <c r="I19" s="71" t="s">
        <v>12</v>
      </c>
      <c r="J19" s="70">
        <f>VLOOKUP(I19,Log!$B$2:$C$8,2,)</f>
        <v>1</v>
      </c>
      <c r="K19" s="4">
        <v>8.8000000000000007</v>
      </c>
      <c r="L19" s="34">
        <f>IF(OR(AND(OR(I19="Motorbike",I19="CNG",I19="Bicycle",I19="NMV"),K19-K18&lt;Log!$C$13),AND(NOT(OR(I19="Motorbike",I19="CNG",I19="Bicycle",I19="NMV")),K19-K18&lt;Log!$C$12)),0,IF(L18&lt;&gt;0,K19-K18,IF(L17=0,K19-K16,K19-K17)))</f>
        <v>1.4000000000000004</v>
      </c>
      <c r="M19" s="34">
        <f t="shared" si="5"/>
        <v>1.4000000000000004</v>
      </c>
      <c r="N19" s="15"/>
      <c r="O19" s="60">
        <v>6</v>
      </c>
      <c r="P19" s="88" t="s">
        <v>12</v>
      </c>
      <c r="Q19" s="70">
        <f>VLOOKUP(P19,Log!$B$2:$C$8,2,)</f>
        <v>1</v>
      </c>
      <c r="R19" s="4">
        <v>5.8</v>
      </c>
      <c r="S19" s="34">
        <f>IF(OR(AND(OR(P19="Motorbike",P19="CNG",P19="Bicycle",P19="NMV"),R19-R18&lt;Log!$C$13),AND(NOT(OR(P19="Motorbike",P19="CNG",P19="Bicycle",P19="NMV")),R19-R18&lt;Log!$C$12)),0,IF(S18&lt;&gt;0,R19-R18,IF(S17=0,R19-R16,R19-R17)))</f>
        <v>0</v>
      </c>
      <c r="T19" s="109">
        <f t="shared" si="6"/>
        <v>0</v>
      </c>
    </row>
    <row r="20" spans="1:23" ht="15.75" thickBot="1" x14ac:dyDescent="0.3">
      <c r="A20" s="60">
        <v>102</v>
      </c>
      <c r="B20" s="87" t="s">
        <v>14</v>
      </c>
      <c r="C20" s="70">
        <f>VLOOKUP(B20,Log!$B$2:$C$8,2,)</f>
        <v>0.45</v>
      </c>
      <c r="D20" s="5">
        <v>14.12</v>
      </c>
      <c r="E20" s="34">
        <f>IF(OR(AND(OR(B20="Motorbike",B20="CNG",B20="Bicycle",B20="NMV"),D20-D19&lt;Log!$C$13),AND(NOT(OR(B20="Motorbike",B20="CNG",B20="Bicycle",B20="NMV")),D20-D19&lt;Log!$C$12)),0,IF(E19&lt;&gt;0,D20-D19,IF(E18=0,D20-D17,D20-D18)))</f>
        <v>1.6399999999999988</v>
      </c>
      <c r="F20" s="109">
        <f t="shared" si="4"/>
        <v>2.3779999999999983</v>
      </c>
      <c r="H20" s="73">
        <v>37</v>
      </c>
      <c r="I20" s="59" t="s">
        <v>12</v>
      </c>
      <c r="J20" s="70">
        <f>VLOOKUP(I20,Log!$B$2:$C$8,2,)</f>
        <v>1</v>
      </c>
      <c r="K20" s="4">
        <v>10.48</v>
      </c>
      <c r="L20" s="34">
        <f>IF(OR(AND(OR(I20="Motorbike",I20="CNG",I20="Bicycle",I20="NMV"),K20-K19&lt;Log!$C$13),AND(NOT(OR(I20="Motorbike",I20="CNG",I20="Bicycle",I20="NMV")),K20-K19&lt;Log!$C$12)),0,IF(L19&lt;&gt;0,K20-K19,IF(L18=0,K20-K17,K20-K18)))</f>
        <v>1.6799999999999997</v>
      </c>
      <c r="M20" s="34">
        <f t="shared" si="5"/>
        <v>2.3183999999999996</v>
      </c>
      <c r="N20" s="15"/>
      <c r="O20" s="85">
        <v>52</v>
      </c>
      <c r="P20" s="83" t="s">
        <v>13</v>
      </c>
      <c r="Q20" s="86">
        <f>VLOOKUP(P20,Log!$B$2:$C$8,2,)</f>
        <v>0.38</v>
      </c>
      <c r="R20" s="51">
        <v>6.4</v>
      </c>
      <c r="S20" s="34">
        <f>IF(OR(AND(OR(P20="Motorbike",P20="CNG",P20="Bicycle",P20="NMV"),R20-R19&lt;Log!$C$13),AND(NOT(OR(P20="Motorbike",P20="CNG",P20="Bicycle",P20="NMV")),R20-R19&lt;Log!$C$12)),0,IF(S19&lt;&gt;0,R20-R19,IF(S18=0,R20-R17,R20-R18)))</f>
        <v>0.6800000000000006</v>
      </c>
      <c r="T20" s="109">
        <f t="shared" si="6"/>
        <v>0.25840000000000024</v>
      </c>
    </row>
    <row r="21" spans="1:23" ht="15.75" thickBot="1" x14ac:dyDescent="0.3">
      <c r="A21" s="60">
        <v>101</v>
      </c>
      <c r="B21" s="88" t="s">
        <v>12</v>
      </c>
      <c r="C21" s="70">
        <f>VLOOKUP(B21,Log!$B$2:$C$8,2,)</f>
        <v>1</v>
      </c>
      <c r="D21" s="5">
        <v>14.48</v>
      </c>
      <c r="E21" s="34">
        <f>IF(OR(AND(OR(B21="Motorbike",B21="CNG",B21="Bicycle",B21="NMV"),D21-D20&lt;Log!$C$13),AND(NOT(OR(B21="Motorbike",B21="CNG",B21="Bicycle",B21="NMV")),D21-D20&lt;Log!$C$12)),0,IF(E20&lt;&gt;0,D21-D20,IF(E19=0,D21-D18,D21-D19)))</f>
        <v>0</v>
      </c>
      <c r="F21" s="109">
        <f t="shared" si="4"/>
        <v>0</v>
      </c>
      <c r="H21" s="73">
        <v>95</v>
      </c>
      <c r="I21" s="61" t="s">
        <v>13</v>
      </c>
      <c r="J21" s="70">
        <f>VLOOKUP(I21,Log!$B$2:$C$8,2,)</f>
        <v>0.38</v>
      </c>
      <c r="K21" s="4">
        <v>10.88</v>
      </c>
      <c r="L21" s="34">
        <f>IF(OR(AND(OR(I21="Motorbike",I21="CNG",I21="Bicycle",I21="NMV"),K21-K20&lt;Log!$C$13),AND(NOT(OR(I21="Motorbike",I21="CNG",I21="Bicycle",I21="NMV")),K21-K20&lt;Log!$C$12)),0,IF(L20&lt;&gt;0,K21-K20,IF(L19=0,K21-K18,K21-K19)))</f>
        <v>0</v>
      </c>
      <c r="M21" s="34">
        <f t="shared" si="5"/>
        <v>0</v>
      </c>
      <c r="N21" s="15"/>
      <c r="O21" s="60">
        <v>40</v>
      </c>
      <c r="P21" s="87" t="s">
        <v>14</v>
      </c>
      <c r="Q21" s="70">
        <f>VLOOKUP(P21,Log!$B$2:$C$8,2,)</f>
        <v>0.45</v>
      </c>
      <c r="R21" s="4">
        <v>7.28</v>
      </c>
      <c r="S21" s="34">
        <f>IF(OR(AND(OR(P21="Motorbike",P21="CNG",P21="Bicycle",P21="NMV"),R21-R20&lt;Log!$C$13),AND(NOT(OR(P21="Motorbike",P21="CNG",P21="Bicycle",P21="NMV")),R21-R20&lt;Log!$C$12)),0,IF(S20&lt;&gt;0,R21-R20,IF(S19=0,R21-R18,R21-R19)))</f>
        <v>0.87999999999999989</v>
      </c>
      <c r="T21" s="109">
        <f t="shared" si="6"/>
        <v>0.73039999999999994</v>
      </c>
    </row>
    <row r="22" spans="1:23" ht="15.75" thickBot="1" x14ac:dyDescent="0.3">
      <c r="A22" s="60">
        <v>86</v>
      </c>
      <c r="B22" s="87" t="s">
        <v>12</v>
      </c>
      <c r="C22" s="70">
        <f>VLOOKUP(B22,Log!$B$2:$C$8,2,)</f>
        <v>1</v>
      </c>
      <c r="D22" s="5">
        <v>16.079999999999998</v>
      </c>
      <c r="E22" s="34">
        <f>IF(OR(AND(OR(B22="Motorbike",B22="CNG",B22="Bicycle",B22="NMV"),D22-D21&lt;Log!$C$13),AND(NOT(OR(B22="Motorbike",B22="CNG",B22="Bicycle",B22="NMV")),D22-D21&lt;Log!$C$12)),0,IF(E21&lt;&gt;0,D22-D21,IF(E20=0,D22-D19,D22-D20)))</f>
        <v>1.9599999999999991</v>
      </c>
      <c r="F22" s="109">
        <f t="shared" si="4"/>
        <v>2.8419999999999987</v>
      </c>
      <c r="H22" s="73">
        <v>49</v>
      </c>
      <c r="I22" s="59" t="s">
        <v>12</v>
      </c>
      <c r="J22" s="70">
        <f>VLOOKUP(I22,Log!$B$2:$C$8,2,)</f>
        <v>1</v>
      </c>
      <c r="K22" s="4">
        <v>13.08</v>
      </c>
      <c r="L22" s="34">
        <f>IF(OR(AND(OR(I22="Motorbike",I22="CNG",I22="Bicycle",I22="NMV"),K22-K21&lt;Log!$C$13),AND(NOT(OR(I22="Motorbike",I22="CNG",I22="Bicycle",I22="NMV")),K22-K21&lt;Log!$C$12)),0,IF(L21&lt;&gt;0,K22-K21,IF(L20=0,K22-K19,K22-K20)))</f>
        <v>2.5999999999999996</v>
      </c>
      <c r="M22" s="34">
        <f t="shared" si="5"/>
        <v>5.1999999999999993</v>
      </c>
      <c r="N22" s="15"/>
      <c r="O22" s="60">
        <v>39</v>
      </c>
      <c r="P22" s="88" t="s">
        <v>13</v>
      </c>
      <c r="Q22" s="70">
        <f>VLOOKUP(P22,Log!$B$2:$C$8,2,)</f>
        <v>0.38</v>
      </c>
      <c r="R22" s="4">
        <v>7.32</v>
      </c>
      <c r="S22" s="34">
        <f>IF(OR(AND(OR(P22="Motorbike",P22="CNG",P22="Bicycle",P22="NMV"),R22-R21&lt;Log!$C$13),AND(NOT(OR(P22="Motorbike",P22="CNG",P22="Bicycle",P22="NMV")),R22-R21&lt;Log!$C$12)),0,IF(S21&lt;&gt;0,R22-R21,IF(S20=0,R22-R19,R22-R20)))</f>
        <v>0</v>
      </c>
      <c r="T22" s="109">
        <f t="shared" si="6"/>
        <v>0</v>
      </c>
    </row>
    <row r="23" spans="1:23" ht="15.75" thickBot="1" x14ac:dyDescent="0.3">
      <c r="A23" s="61">
        <v>80</v>
      </c>
      <c r="B23" s="88" t="s">
        <v>14</v>
      </c>
      <c r="C23" s="70">
        <f>VLOOKUP(B23,Log!$B$2:$C$8,2,)</f>
        <v>0.45</v>
      </c>
      <c r="D23" s="5">
        <v>16.399999999999999</v>
      </c>
      <c r="E23" s="34">
        <f>IF(OR(AND(OR(B23="Motorbike",B23="CNG",B23="Bicycle",B23="NMV"),D23-D22&lt;Log!$C$13),AND(NOT(OR(B23="Motorbike",B23="CNG",B23="Bicycle",B23="NMV")),D23-D22&lt;Log!$C$12)),0,IF(E22&lt;&gt;0,D23-D22,IF(E21=0,D23-D20,D23-D21)))</f>
        <v>0</v>
      </c>
      <c r="F23" s="109">
        <f t="shared" si="4"/>
        <v>0</v>
      </c>
      <c r="H23" s="66">
        <v>68</v>
      </c>
      <c r="I23" s="61" t="s">
        <v>12</v>
      </c>
      <c r="J23" s="70">
        <f>VLOOKUP(I23,Log!$B$2:$C$8,2,)</f>
        <v>1</v>
      </c>
      <c r="K23" s="4">
        <v>13.32</v>
      </c>
      <c r="L23" s="34">
        <f>IF(OR(AND(OR(I23="Motorbike",I23="CNG",I23="Bicycle",I23="NMV"),K23-K22&lt;Log!$C$13),AND(NOT(OR(I23="Motorbike",I23="CNG",I23="Bicycle",I23="NMV")),K23-K22&lt;Log!$C$12)),0,IF(L22&lt;&gt;0,K23-K22,IF(L21=0,K23-K20,K23-K21)))</f>
        <v>0</v>
      </c>
      <c r="M23" s="34">
        <f t="shared" si="5"/>
        <v>0</v>
      </c>
      <c r="N23" s="15"/>
      <c r="O23" s="60">
        <v>48</v>
      </c>
      <c r="P23" s="84" t="s">
        <v>12</v>
      </c>
      <c r="Q23" s="5">
        <f>VLOOKUP(P23,Log!$B$2:$C$8,2,)</f>
        <v>1</v>
      </c>
      <c r="R23" s="4">
        <v>9.52</v>
      </c>
      <c r="S23" s="34">
        <f>IF(OR(AND(OR(P23="Motorbike",P23="CNG",P23="Bicycle",P23="NMV"),R23-R22&lt;Log!$C$13),AND(NOT(OR(P23="Motorbike",P23="CNG",P23="Bicycle",P23="NMV")),R23-R22&lt;Log!$C$12)),0,IF(S22&lt;&gt;0,R23-R22,IF(S21=0,R23-R20,R23-R21)))</f>
        <v>2.2399999999999993</v>
      </c>
      <c r="T23" s="109">
        <f t="shared" si="6"/>
        <v>2.2399999999999993</v>
      </c>
    </row>
    <row r="24" spans="1:23" ht="15.75" thickBot="1" x14ac:dyDescent="0.3">
      <c r="A24" s="58">
        <v>92</v>
      </c>
      <c r="B24" s="43" t="s">
        <v>12</v>
      </c>
      <c r="C24" s="70">
        <f>VLOOKUP(B24,Log!$B$2:$C$8,2,)</f>
        <v>1</v>
      </c>
      <c r="D24" s="5">
        <v>17.920000000000002</v>
      </c>
      <c r="E24" s="34">
        <f>IF(OR(AND(OR(B24="Motorbike",B24="CNG",B24="Bicycle",B24="NMV"),D24-D23&lt;Log!$C$13),AND(NOT(OR(B24="Motorbike",B24="CNG",B24="Bicycle",B24="NMV")),D24-D23&lt;Log!$C$12)),0,IF(E23&lt;&gt;0,D24-D23,IF(E22=0,D24-D21,D24-D22)))</f>
        <v>1.8400000000000034</v>
      </c>
      <c r="F24" s="109">
        <f t="shared" si="4"/>
        <v>1.8400000000000034</v>
      </c>
      <c r="H24" s="64">
        <v>92</v>
      </c>
      <c r="I24" s="58" t="s">
        <v>12</v>
      </c>
      <c r="J24" s="70">
        <f>VLOOKUP(I24,Log!$B$2:$C$8,2,)</f>
        <v>1</v>
      </c>
      <c r="K24" s="4">
        <v>18.2</v>
      </c>
      <c r="L24" s="34">
        <f>IF(OR(AND(OR(I24="Motorbike",I24="CNG",I24="Bicycle",I24="NMV"),K24-K23&lt;Log!$C$13),AND(NOT(OR(I24="Motorbike",I24="CNG",I24="Bicycle",I24="NMV")),K24-K23&lt;Log!$C$12)),0,IF(L23&lt;&gt;0,K24-K23,IF(L22=0,K24-K21,K24-K22)))</f>
        <v>5.1199999999999992</v>
      </c>
      <c r="M24" s="34">
        <f t="shared" si="5"/>
        <v>5.1199999999999992</v>
      </c>
      <c r="N24" s="15"/>
      <c r="O24" s="60">
        <v>59</v>
      </c>
      <c r="P24" s="87" t="s">
        <v>13</v>
      </c>
      <c r="Q24" s="70">
        <f>VLOOKUP(P24,Log!$B$2:$C$8,2,)</f>
        <v>0.38</v>
      </c>
      <c r="R24" s="4">
        <v>10.68</v>
      </c>
      <c r="S24" s="34">
        <f>IF(OR(AND(OR(P24="Motorbike",P24="CNG",P24="Bicycle",P24="NMV"),R24-R23&lt;Log!$C$13),AND(NOT(OR(P24="Motorbike",P24="CNG",P24="Bicycle",P24="NMV")),R24-R23&lt;Log!$C$12)),0,IF(S23&lt;&gt;0,R24-R23,IF(S22=0,R24-R21,R24-R22)))</f>
        <v>1.1600000000000001</v>
      </c>
      <c r="T24" s="109">
        <f t="shared" si="6"/>
        <v>0.88160000000000016</v>
      </c>
    </row>
    <row r="25" spans="1:23" ht="15.75" thickBot="1" x14ac:dyDescent="0.3">
      <c r="A25" s="19">
        <v>78</v>
      </c>
      <c r="B25" s="59" t="s">
        <v>12</v>
      </c>
      <c r="C25" s="70">
        <f>VLOOKUP(B25,Log!$B$2:$C$8,2,)</f>
        <v>1</v>
      </c>
      <c r="D25" s="5">
        <v>19.68</v>
      </c>
      <c r="E25" s="34">
        <f>IF(OR(AND(OR(B25="Motorbike",B25="CNG",B25="Bicycle",B25="NMV"),D25-D24&lt;Log!$C$13),AND(NOT(OR(B25="Motorbike",B25="CNG",B25="Bicycle",B25="NMV")),D25-D24&lt;Log!$C$12)),0,IF(E24&lt;&gt;0,D25-D24,IF(E23=0,D25-D22,D25-D23)))</f>
        <v>1.759999999999998</v>
      </c>
      <c r="F25" s="109">
        <f t="shared" si="4"/>
        <v>2.3407999999999975</v>
      </c>
      <c r="H25" s="63">
        <v>124</v>
      </c>
      <c r="I25" s="51" t="s">
        <v>12</v>
      </c>
      <c r="J25" s="70">
        <f>VLOOKUP(I25,Log!$B$2:$C$8,2,)</f>
        <v>1</v>
      </c>
      <c r="K25" s="4">
        <v>25.6</v>
      </c>
      <c r="L25" s="34">
        <f>IF(OR(AND(OR(I25="Motorbike",I25="CNG",I25="Bicycle",I25="NMV"),K25-K24&lt;Log!$C$13),AND(NOT(OR(I25="Motorbike",I25="CNG",I25="Bicycle",I25="NMV")),K25-K24&lt;Log!$C$12)),0,IF(L24&lt;&gt;0,K25-K24,IF(L23=0,K25-K22,K25-K23)))</f>
        <v>7.4000000000000021</v>
      </c>
      <c r="M25" s="34">
        <f t="shared" si="5"/>
        <v>7.4000000000000021</v>
      </c>
      <c r="N25" s="15"/>
      <c r="O25" s="60">
        <v>93</v>
      </c>
      <c r="P25" s="88" t="s">
        <v>13</v>
      </c>
      <c r="Q25" s="70">
        <f>VLOOKUP(P25,Log!$B$2:$C$8,2,)</f>
        <v>0.38</v>
      </c>
      <c r="R25" s="4">
        <v>10.8</v>
      </c>
      <c r="S25" s="34">
        <f>IF(OR(AND(OR(P25="Motorbike",P25="CNG",P25="Bicycle",P25="NMV"),R25-R24&lt;Log!$C$13),AND(NOT(OR(P25="Motorbike",P25="CNG",P25="Bicycle",P25="NMV")),R25-R24&lt;Log!$C$12)),0,IF(S24&lt;&gt;0,R25-R24,IF(S23=0,R25-R22,R25-R23)))</f>
        <v>0</v>
      </c>
      <c r="T25" s="109">
        <f t="shared" si="6"/>
        <v>0</v>
      </c>
    </row>
    <row r="26" spans="1:23" ht="15.75" thickBot="1" x14ac:dyDescent="0.3">
      <c r="A26" s="19">
        <v>161</v>
      </c>
      <c r="B26" s="61" t="s">
        <v>15</v>
      </c>
      <c r="C26" s="70">
        <f>VLOOKUP(B26,Log!$B$2:$C$8,2,)</f>
        <v>0.33</v>
      </c>
      <c r="D26" s="5">
        <v>20.079999999999998</v>
      </c>
      <c r="E26" s="34">
        <f>IF(OR(AND(OR(B26="Motorbike",B26="CNG",B26="Bicycle",B26="NMV"),D26-D25&lt;Log!$C$13),AND(NOT(OR(B26="Motorbike",B26="CNG",B26="Bicycle",B26="NMV")),D26-D25&lt;Log!$C$12)),0,IF(E25&lt;&gt;0,D26-D25,IF(E24=0,D26-D23,D26-D24)))</f>
        <v>0</v>
      </c>
      <c r="F26" s="109">
        <f t="shared" si="4"/>
        <v>0</v>
      </c>
      <c r="H26" s="65">
        <v>189</v>
      </c>
      <c r="I26" s="59" t="s">
        <v>12</v>
      </c>
      <c r="J26" s="70">
        <f>VLOOKUP(I26,Log!$B$2:$C$8,2,)</f>
        <v>1</v>
      </c>
      <c r="K26" s="4">
        <v>29.08</v>
      </c>
      <c r="L26" s="34">
        <f>IF(OR(AND(OR(I26="Motorbike",I26="CNG",I26="Bicycle",I26="NMV"),K26-K25&lt;Log!$C$13),AND(NOT(OR(I26="Motorbike",I26="CNG",I26="Bicycle",I26="NMV")),K26-K25&lt;Log!$C$12)),0,IF(L25&lt;&gt;0,K26-K25,IF(L24=0,K26-K23,K26-K24)))</f>
        <v>3.4799999999999969</v>
      </c>
      <c r="M26" s="34">
        <f t="shared" si="5"/>
        <v>6.9599999999999937</v>
      </c>
      <c r="N26" s="15"/>
      <c r="O26" s="60">
        <v>70</v>
      </c>
      <c r="P26" s="72" t="s">
        <v>14</v>
      </c>
      <c r="Q26" s="5">
        <f>VLOOKUP(P26,Log!$B$2:$C$8,2,)</f>
        <v>0.45</v>
      </c>
      <c r="R26" s="4">
        <v>11.52</v>
      </c>
      <c r="S26" s="34">
        <f>IF(OR(AND(OR(P26="Motorbike",P26="CNG",P26="Bicycle",P26="NMV"),R26-R25&lt;Log!$C$13),AND(NOT(OR(P26="Motorbike",P26="CNG",P26="Bicycle",P26="NMV")),R26-R25&lt;Log!$C$12)),0,IF(S25&lt;&gt;0,R26-R25,IF(S24=0,R26-R23,R26-R24)))</f>
        <v>0.83999999999999986</v>
      </c>
      <c r="T26" s="109">
        <f t="shared" si="6"/>
        <v>0.37799999999999995</v>
      </c>
    </row>
    <row r="27" spans="1:23" ht="15.75" thickBot="1" x14ac:dyDescent="0.3">
      <c r="A27" s="19">
        <v>125</v>
      </c>
      <c r="B27" s="59" t="s">
        <v>14</v>
      </c>
      <c r="C27" s="70">
        <f>VLOOKUP(B27,Log!$B$2:$C$8,2,)</f>
        <v>0.45</v>
      </c>
      <c r="D27" s="5">
        <v>20.68</v>
      </c>
      <c r="E27" s="34">
        <f>IF(OR(AND(OR(B27="Motorbike",B27="CNG",B27="Bicycle",B27="NMV"),D27-D26&lt;Log!$C$13),AND(NOT(OR(B27="Motorbike",B27="CNG",B27="Bicycle",B27="NMV")),D27-D26&lt;Log!$C$12)),0,IF(E26&lt;&gt;0,D27-D26,IF(E25=0,D27-D24,D27-D25)))</f>
        <v>1</v>
      </c>
      <c r="F27" s="34">
        <f t="shared" si="4"/>
        <v>0.83000000000000007</v>
      </c>
      <c r="H27" s="73">
        <v>144</v>
      </c>
      <c r="I27" s="61" t="s">
        <v>12</v>
      </c>
      <c r="J27" s="70">
        <f>VLOOKUP(I27,Log!$B$2:$C$8,2,)</f>
        <v>1</v>
      </c>
      <c r="K27" s="4">
        <v>29.28</v>
      </c>
      <c r="L27" s="34">
        <f>IF(OR(AND(OR(I27="Motorbike",I27="CNG",I27="Bicycle",I27="NMV"),K27-K26&lt;Log!$C$13),AND(NOT(OR(I27="Motorbike",I27="CNG",I27="Bicycle",I27="NMV")),K27-K26&lt;Log!$C$12)),0,IF(L26&lt;&gt;0,K27-K26,IF(L25=0,K27-K24,K27-K25)))</f>
        <v>0</v>
      </c>
      <c r="M27" s="34">
        <f t="shared" si="5"/>
        <v>0</v>
      </c>
      <c r="N27" s="15"/>
      <c r="O27" s="60">
        <v>89</v>
      </c>
      <c r="P27" s="71" t="s">
        <v>13</v>
      </c>
      <c r="Q27" s="5">
        <f>VLOOKUP(P27,Log!$B$2:$C$8,2,)</f>
        <v>0.38</v>
      </c>
      <c r="R27" s="4">
        <v>12.4</v>
      </c>
      <c r="S27" s="34">
        <f>IF(OR(AND(OR(P27="Motorbike",P27="CNG",P27="Bicycle",P27="NMV"),R27-R26&lt;Log!$C$13),AND(NOT(OR(P27="Motorbike",P27="CNG",P27="Bicycle",P27="NMV")),R27-R26&lt;Log!$C$12)),0,IF(S26&lt;&gt;0,R27-R26,IF(S25=0,R27-R24,R27-R25)))</f>
        <v>0.88000000000000078</v>
      </c>
      <c r="T27" s="109">
        <f t="shared" si="6"/>
        <v>0.33440000000000031</v>
      </c>
    </row>
    <row r="28" spans="1:23" ht="15.75" thickBot="1" x14ac:dyDescent="0.3">
      <c r="A28" s="19">
        <v>154</v>
      </c>
      <c r="B28" s="61" t="s">
        <v>13</v>
      </c>
      <c r="C28" s="70">
        <f>VLOOKUP(B28,Log!$B$2:$C$8,2,)</f>
        <v>0.38</v>
      </c>
      <c r="D28" s="5">
        <v>20.72</v>
      </c>
      <c r="E28" s="34">
        <f>IF(OR(AND(OR(B28="Motorbike",B28="CNG",B28="Bicycle",B28="NMV"),D28-D27&lt;Log!$C$13),AND(NOT(OR(B28="Motorbike",B28="CNG",B28="Bicycle",B28="NMV")),D28-D27&lt;Log!$C$12)),0,IF(E27&lt;&gt;0,D28-D27,IF(E26=0,D28-D25,D28-D26)))</f>
        <v>0</v>
      </c>
      <c r="F28" s="34">
        <f t="shared" si="4"/>
        <v>0</v>
      </c>
      <c r="H28" s="60">
        <v>210</v>
      </c>
      <c r="I28" s="72" t="s">
        <v>12</v>
      </c>
      <c r="J28" s="5">
        <f>VLOOKUP(I28,Log!$B$2:$C$8,2,)</f>
        <v>1</v>
      </c>
      <c r="K28" s="4">
        <v>30.68</v>
      </c>
      <c r="L28" s="34">
        <f>IF(OR(AND(OR(I28="Motorbike",I28="CNG",I28="Bicycle",I28="NMV"),K28-K27&lt;Log!$C$13),AND(NOT(OR(I28="Motorbike",I28="CNG",I28="Bicycle",I28="NMV")),K28-K27&lt;Log!$C$12)),0,IF(L27&lt;&gt;0,K28-K27,IF(L26=0,K28-K25,K28-K26)))</f>
        <v>1.6000000000000014</v>
      </c>
      <c r="M28" s="34">
        <f t="shared" si="5"/>
        <v>1.6000000000000014</v>
      </c>
      <c r="N28" s="15"/>
      <c r="O28" s="60">
        <v>49</v>
      </c>
      <c r="P28" s="87" t="s">
        <v>12</v>
      </c>
      <c r="Q28" s="70">
        <f>VLOOKUP(P28,Log!$B$2:$C$8,2,)</f>
        <v>1</v>
      </c>
      <c r="R28" s="4">
        <v>13.52</v>
      </c>
      <c r="S28" s="34">
        <f>IF(OR(AND(OR(P28="Motorbike",P28="CNG",P28="Bicycle",P28="NMV"),R28-R27&lt;Log!$C$13),AND(NOT(OR(P28="Motorbike",P28="CNG",P28="Bicycle",P28="NMV")),R28-R27&lt;Log!$C$12)),0,IF(S27&lt;&gt;0,R28-R27,IF(S26=0,R28-R25,R28-R26)))</f>
        <v>1.1199999999999992</v>
      </c>
      <c r="T28" s="109">
        <f t="shared" si="6"/>
        <v>1.5455999999999988</v>
      </c>
    </row>
    <row r="29" spans="1:23" ht="15.75" thickBot="1" x14ac:dyDescent="0.3">
      <c r="A29" s="4">
        <v>136</v>
      </c>
      <c r="B29" s="58" t="s">
        <v>14</v>
      </c>
      <c r="C29" s="70">
        <f>VLOOKUP(B29,Log!$B$2:$C$8,2,)</f>
        <v>0.45</v>
      </c>
      <c r="D29" s="5">
        <v>21.6</v>
      </c>
      <c r="E29" s="34">
        <f>IF(OR(AND(OR(B29="Motorbike",B29="CNG",B29="Bicycle",B29="NMV"),D29-D28&lt;Log!$C$13),AND(NOT(OR(B29="Motorbike",B29="CNG",B29="Bicycle",B29="NMV")),D29-D28&lt;Log!$C$12)),0,IF(E28&lt;&gt;0,D29-D28,IF(E27=0,D29-D26,D29-D27)))</f>
        <v>0.92000000000000171</v>
      </c>
      <c r="F29" s="34">
        <f t="shared" si="4"/>
        <v>1.6836000000000031</v>
      </c>
      <c r="H29" s="60">
        <v>213</v>
      </c>
      <c r="I29" s="71" t="s">
        <v>12</v>
      </c>
      <c r="J29" s="5">
        <f>VLOOKUP(I29,Log!$B$2:$C$8,2,)</f>
        <v>1</v>
      </c>
      <c r="K29" s="4">
        <v>32.32</v>
      </c>
      <c r="L29" s="34">
        <f>IF(OR(AND(OR(I29="Motorbike",I29="CNG",I29="Bicycle",I29="NMV"),K29-K28&lt;Log!$C$13),AND(NOT(OR(I29="Motorbike",I29="CNG",I29="Bicycle",I29="NMV")),K29-K28&lt;Log!$C$12)),0,IF(L28&lt;&gt;0,K29-K28,IF(L27=0,K29-K26,K29-K27)))</f>
        <v>1.6400000000000006</v>
      </c>
      <c r="M29" s="34">
        <f t="shared" si="5"/>
        <v>1.6400000000000006</v>
      </c>
      <c r="N29" s="15"/>
      <c r="O29" s="60">
        <v>103</v>
      </c>
      <c r="P29" s="88" t="s">
        <v>13</v>
      </c>
      <c r="Q29" s="70">
        <f>VLOOKUP(P29,Log!$B$2:$C$8,2,)</f>
        <v>0.38</v>
      </c>
      <c r="R29" s="4">
        <v>13.6</v>
      </c>
      <c r="S29" s="34">
        <f>IF(OR(AND(OR(P29="Motorbike",P29="CNG",P29="Bicycle",P29="NMV"),R29-R28&lt;Log!$C$13),AND(NOT(OR(P29="Motorbike",P29="CNG",P29="Bicycle",P29="NMV")),R29-R28&lt;Log!$C$12)),0,IF(S28&lt;&gt;0,R29-R28,IF(S27=0,R29-R26,R29-R27)))</f>
        <v>0</v>
      </c>
      <c r="T29" s="109">
        <f t="shared" si="6"/>
        <v>0</v>
      </c>
      <c r="W29" s="11"/>
    </row>
    <row r="30" spans="1:23" x14ac:dyDescent="0.25">
      <c r="A30" s="4">
        <v>169</v>
      </c>
      <c r="B30" s="4" t="s">
        <v>13</v>
      </c>
      <c r="C30" s="70">
        <f>VLOOKUP(B30,Log!$B$2:$C$8,2,)</f>
        <v>0.38</v>
      </c>
      <c r="D30" s="5">
        <v>22.08</v>
      </c>
      <c r="E30" s="34">
        <f>IF(OR(AND(OR(B30="Motorbike",B30="CNG",B30="Bicycle",B30="NMV"),D30-D29&lt;Log!$C$13),AND(NOT(OR(B30="Motorbike",B30="CNG",B30="Bicycle",B30="NMV")),D30-D29&lt;Log!$C$12)),0,IF(E29&lt;&gt;0,D30-D29,IF(E28=0,D30-D27,D30-D28)))</f>
        <v>0</v>
      </c>
      <c r="F30" s="34">
        <f t="shared" si="4"/>
        <v>0</v>
      </c>
      <c r="H30" s="60">
        <v>229</v>
      </c>
      <c r="I30" s="59" t="s">
        <v>12</v>
      </c>
      <c r="J30" s="70">
        <f>VLOOKUP(I30,Log!$B$2:$C$8,2,)</f>
        <v>1</v>
      </c>
      <c r="K30" s="4">
        <v>34.799999999999997</v>
      </c>
      <c r="L30" s="34">
        <f>IF(OR(AND(OR(I30="Motorbike",I30="CNG",I30="Bicycle",I30="NMV"),K30-K29&lt;Log!$C$13),AND(NOT(OR(I30="Motorbike",I30="CNG",I30="Bicycle",I30="NMV")),K30-K29&lt;Log!$C$12)),0,IF(L29&lt;&gt;0,K30-K29,IF(L28=0,K30-K27,K30-K28)))</f>
        <v>2.4799999999999969</v>
      </c>
      <c r="M30" s="34">
        <f t="shared" si="5"/>
        <v>4.9599999999999937</v>
      </c>
      <c r="N30" s="15"/>
      <c r="O30" s="60">
        <v>118</v>
      </c>
      <c r="P30" s="72" t="s">
        <v>13</v>
      </c>
      <c r="Q30" s="5">
        <f>VLOOKUP(P30,Log!$B$2:$C$8,2,)</f>
        <v>0.38</v>
      </c>
      <c r="R30" s="4">
        <v>14.72</v>
      </c>
      <c r="S30" s="34">
        <f>IF(OR(AND(OR(P30="Motorbike",P30="CNG",P30="Bicycle",P30="NMV"),R30-R29&lt;Log!$C$13),AND(NOT(OR(P30="Motorbike",P30="CNG",P30="Bicycle",P30="NMV")),R30-R29&lt;Log!$C$12)),0,IF(S29&lt;&gt;0,R30-R29,IF(S28=0,R30-R27,R30-R28)))</f>
        <v>1.2000000000000011</v>
      </c>
      <c r="T30" s="109">
        <f t="shared" si="6"/>
        <v>0.996000000000001</v>
      </c>
      <c r="W30" s="11"/>
    </row>
    <row r="31" spans="1:23" ht="15.75" thickBot="1" x14ac:dyDescent="0.3">
      <c r="A31" s="4">
        <v>117</v>
      </c>
      <c r="B31" s="4" t="s">
        <v>12</v>
      </c>
      <c r="C31" s="70">
        <f>VLOOKUP(B31,Log!$B$2:$C$8,2,)</f>
        <v>1</v>
      </c>
      <c r="D31" s="5">
        <v>22.52</v>
      </c>
      <c r="E31" s="34">
        <f>IF(OR(AND(OR(B31="Motorbike",B31="CNG",B31="Bicycle",B31="NMV"),D31-D30&lt;Log!$C$13),AND(NOT(OR(B31="Motorbike",B31="CNG",B31="Bicycle",B31="NMV")),D31-D30&lt;Log!$C$12)),0,IF(E30&lt;&gt;0,D31-D30,IF(E29=0,D31-D28,D31-D29)))</f>
        <v>0</v>
      </c>
      <c r="F31" s="34">
        <f t="shared" si="4"/>
        <v>0</v>
      </c>
      <c r="H31" s="60">
        <v>226</v>
      </c>
      <c r="I31" s="61" t="s">
        <v>12</v>
      </c>
      <c r="J31" s="70">
        <f>VLOOKUP(I31,Log!$B$2:$C$8,2,)</f>
        <v>1</v>
      </c>
      <c r="K31" s="4">
        <v>35.200000000000003</v>
      </c>
      <c r="L31" s="34">
        <f>IF(OR(AND(OR(I31="Motorbike",I31="CNG",I31="Bicycle",I31="NMV"),K31-K30&lt;Log!$C$13),AND(NOT(OR(I31="Motorbike",I31="CNG",I31="Bicycle",I31="NMV")),K31-K30&lt;Log!$C$12)),0,IF(L30&lt;&gt;0,K31-K30,IF(L29=0,K31-K28,K31-K29)))</f>
        <v>0</v>
      </c>
      <c r="M31" s="34">
        <f t="shared" si="5"/>
        <v>0</v>
      </c>
      <c r="N31" s="15"/>
      <c r="O31" s="60">
        <v>110</v>
      </c>
      <c r="P31" s="56" t="s">
        <v>14</v>
      </c>
      <c r="Q31" s="5">
        <f>VLOOKUP(P31,Log!$B$2:$C$8,2,)</f>
        <v>0.45</v>
      </c>
      <c r="R31" s="4">
        <v>15.12</v>
      </c>
      <c r="S31" s="34">
        <f>IF(OR(AND(OR(P31="Motorbike",P31="CNG",P31="Bicycle",P31="NMV"),R31-R30&lt;Log!$C$13),AND(NOT(OR(P31="Motorbike",P31="CNG",P31="Bicycle",P31="NMV")),R31-R30&lt;Log!$C$12)),0,IF(S30&lt;&gt;0,R31-R30,IF(S29=0,R31-R28,R31-R29)))</f>
        <v>0</v>
      </c>
      <c r="T31" s="109">
        <f t="shared" si="6"/>
        <v>0</v>
      </c>
      <c r="W31" s="11"/>
    </row>
    <row r="32" spans="1:23" ht="15.75" thickBot="1" x14ac:dyDescent="0.3">
      <c r="A32" s="4">
        <v>184</v>
      </c>
      <c r="B32" s="51" t="s">
        <v>13</v>
      </c>
      <c r="C32" s="70">
        <f>VLOOKUP(B32,Log!$B$2:$C$8,2,)</f>
        <v>0.38</v>
      </c>
      <c r="D32" s="5">
        <v>24.28</v>
      </c>
      <c r="E32" s="34">
        <f>IF(OR(AND(OR(B32="Motorbike",B32="CNG",B32="Bicycle",B32="NMV"),D32-D31&lt;Log!$C$13),AND(NOT(OR(B32="Motorbike",B32="CNG",B32="Bicycle",B32="NMV")),D32-D31&lt;Log!$C$12)),0,IF(E31&lt;&gt;0,D32-D31,IF(E30=0,D32-D29,D32-D30)))</f>
        <v>2.6799999999999997</v>
      </c>
      <c r="F32" s="34">
        <f t="shared" si="4"/>
        <v>1.0184</v>
      </c>
      <c r="H32" s="60">
        <v>237</v>
      </c>
      <c r="I32" s="72" t="s">
        <v>12</v>
      </c>
      <c r="J32" s="5">
        <f>VLOOKUP(I32,Log!$B$2:$C$8,2,)</f>
        <v>1</v>
      </c>
      <c r="K32" s="4">
        <v>37.08</v>
      </c>
      <c r="L32" s="34">
        <f>IF(OR(AND(OR(I32="Motorbike",I32="CNG",I32="Bicycle",I32="NMV"),K32-K31&lt;Log!$C$13),AND(NOT(OR(I32="Motorbike",I32="CNG",I32="Bicycle",I32="NMV")),K32-K31&lt;Log!$C$12)),0,IF(L31&lt;&gt;0,K32-K31,IF(L30=0,K32-K29,K32-K30)))</f>
        <v>2.2800000000000011</v>
      </c>
      <c r="M32" s="34">
        <f t="shared" si="5"/>
        <v>2.2800000000000011</v>
      </c>
      <c r="N32" s="15"/>
      <c r="O32" s="99">
        <v>134</v>
      </c>
      <c r="P32" s="56" t="s">
        <v>13</v>
      </c>
      <c r="Q32" s="5">
        <f>VLOOKUP(P32,Log!$B$2:$C$8,2,)</f>
        <v>0.38</v>
      </c>
      <c r="R32" s="4">
        <v>16.72</v>
      </c>
      <c r="S32" s="34">
        <f>IF(OR(AND(OR(P32="Motorbike",P32="CNG",P32="Bicycle",P32="NMV"),R32-R31&lt;Log!$C$13),AND(NOT(OR(P32="Motorbike",P32="CNG",P32="Bicycle",P32="NMV")),R32-R31&lt;Log!$C$12)),0,IF(S31&lt;&gt;0,R32-R31,IF(S30=0,R32-R29,R32-R30)))</f>
        <v>1.9999999999999982</v>
      </c>
      <c r="T32" s="109">
        <f t="shared" si="6"/>
        <v>0.75999999999999934</v>
      </c>
      <c r="W32" s="11"/>
    </row>
    <row r="33" spans="1:23" x14ac:dyDescent="0.25">
      <c r="A33" s="19">
        <v>153</v>
      </c>
      <c r="B33" s="59" t="s">
        <v>12</v>
      </c>
      <c r="C33" s="70">
        <f>VLOOKUP(B33,Log!$B$2:$C$8,2,)</f>
        <v>1</v>
      </c>
      <c r="D33" s="5">
        <v>27.28</v>
      </c>
      <c r="E33" s="34">
        <f>IF(OR(AND(OR(B33="Motorbike",B33="CNG",B33="Bicycle",B33="NMV"),D33-D32&lt;Log!$C$13),AND(NOT(OR(B33="Motorbike",B33="CNG",B33="Bicycle",B33="NMV")),D33-D32&lt;Log!$C$12)),0,IF(E32&lt;&gt;0,D33-D32,IF(E31=0,D33-D30,D33-D31)))</f>
        <v>3</v>
      </c>
      <c r="F33" s="34">
        <f t="shared" si="4"/>
        <v>5.49</v>
      </c>
      <c r="H33" s="60">
        <v>228</v>
      </c>
      <c r="I33" s="56" t="s">
        <v>15</v>
      </c>
      <c r="J33" s="5">
        <f>VLOOKUP(I33,Log!$B$2:$C$8,2,)</f>
        <v>0.33</v>
      </c>
      <c r="K33" s="4">
        <v>38.799999999999997</v>
      </c>
      <c r="L33" s="34">
        <f>IF(OR(AND(OR(I33="Motorbike",I33="CNG",I33="Bicycle",I33="NMV"),K33-K32&lt;Log!$C$13),AND(NOT(OR(I33="Motorbike",I33="CNG",I33="Bicycle",I33="NMV")),K33-K32&lt;Log!$C$12)),0,IF(L32&lt;&gt;0,K33-K32,IF(L31=0,K33-K30,K33-K31)))</f>
        <v>1.7199999999999989</v>
      </c>
      <c r="M33" s="34">
        <f t="shared" si="5"/>
        <v>0.56759999999999966</v>
      </c>
      <c r="N33" s="15"/>
      <c r="O33" s="58">
        <v>109</v>
      </c>
      <c r="P33" s="56" t="s">
        <v>13</v>
      </c>
      <c r="Q33" s="5">
        <f>VLOOKUP(P33,Log!$B$2:$C$8,2,)</f>
        <v>0.38</v>
      </c>
      <c r="R33" s="4">
        <v>18.8</v>
      </c>
      <c r="S33" s="34">
        <f>IF(OR(AND(OR(P33="Motorbike",P33="CNG",P33="Bicycle",P33="NMV"),R33-R32&lt;Log!$C$13),AND(NOT(OR(P33="Motorbike",P33="CNG",P33="Bicycle",P33="NMV")),R33-R32&lt;Log!$C$12)),0,IF(S32&lt;&gt;0,R33-R32,IF(S31=0,R33-R30,R33-R31)))</f>
        <v>2.0800000000000018</v>
      </c>
      <c r="T33" s="34">
        <f t="shared" si="6"/>
        <v>0.79040000000000066</v>
      </c>
      <c r="W33" s="11"/>
    </row>
    <row r="34" spans="1:23" ht="15.75" thickBot="1" x14ac:dyDescent="0.3">
      <c r="A34" s="19">
        <v>165</v>
      </c>
      <c r="B34" s="60" t="s">
        <v>14</v>
      </c>
      <c r="C34" s="70">
        <f>VLOOKUP(B34,Log!$B$2:$C$8,2,)</f>
        <v>0.45</v>
      </c>
      <c r="D34" s="5">
        <v>27.4</v>
      </c>
      <c r="E34" s="34">
        <f>IF(OR(AND(OR(B34="Motorbike",B34="CNG",B34="Bicycle",B34="NMV"),D34-D33&lt;Log!$C$13),AND(NOT(OR(B34="Motorbike",B34="CNG",B34="Bicycle",B34="NMV")),D34-D33&lt;Log!$C$12)),0,IF(E33&lt;&gt;0,D34-D33,IF(E32=0,D34-D31,D34-D32)))</f>
        <v>0</v>
      </c>
      <c r="F34" s="34">
        <f t="shared" si="4"/>
        <v>0</v>
      </c>
      <c r="H34" s="81">
        <v>256</v>
      </c>
      <c r="I34" s="80" t="s">
        <v>28</v>
      </c>
      <c r="J34" s="5">
        <f>VLOOKUP(I34,Log!$B$2:$C$8,2,)</f>
        <v>1.02</v>
      </c>
      <c r="K34" s="4">
        <v>41.8</v>
      </c>
      <c r="L34" s="34">
        <f>IF(OR(AND(OR(I34="Motorbike",I34="CNG",I34="Bicycle",I34="NMV"),K34-K33&lt;Log!$C$13),AND(NOT(OR(I34="Motorbike",I34="CNG",I34="Bicycle",I34="NMV")),K34-K33&lt;Log!$C$12)),0,IF(L33&lt;&gt;0,K34-K33,IF(L32=0,K34-K31,K34-K32)))</f>
        <v>3</v>
      </c>
      <c r="M34" s="34">
        <f t="shared" si="5"/>
        <v>6.0600000000000005</v>
      </c>
      <c r="N34" s="15"/>
      <c r="O34" s="43">
        <v>148</v>
      </c>
      <c r="P34" s="4" t="s">
        <v>12</v>
      </c>
      <c r="Q34" s="5">
        <f>VLOOKUP(P34,Log!$B$2:$C$8,2,)</f>
        <v>1</v>
      </c>
      <c r="R34" s="4">
        <v>24</v>
      </c>
      <c r="S34" s="34">
        <f>IF(OR(AND(OR(P34="Motorbike",P34="CNG",P34="Bicycle",P34="NMV"),R34-R33&lt;Log!$C$13),AND(NOT(OR(P34="Motorbike",P34="CNG",P34="Bicycle",P34="NMV")),R34-R33&lt;Log!$C$12)),0,IF(S33&lt;&gt;0,R34-R33,IF(S32=0,R34-R31,R34-R32)))</f>
        <v>5.1999999999999993</v>
      </c>
      <c r="T34" s="34">
        <f t="shared" si="6"/>
        <v>5.1999999999999993</v>
      </c>
      <c r="W34" s="11"/>
    </row>
    <row r="35" spans="1:23" ht="15.75" thickBot="1" x14ac:dyDescent="0.3">
      <c r="A35" s="19">
        <v>209</v>
      </c>
      <c r="B35" s="61" t="s">
        <v>13</v>
      </c>
      <c r="C35" s="70">
        <f>VLOOKUP(B35,Log!$B$2:$C$8,2,)</f>
        <v>0.38</v>
      </c>
      <c r="D35" s="5">
        <v>27.72</v>
      </c>
      <c r="E35" s="34">
        <f>IF(OR(AND(OR(B35="Motorbike",B35="CNG",B35="Bicycle",B35="NMV"),D35-D34&lt;Log!$C$13),AND(NOT(OR(B35="Motorbike",B35="CNG",B35="Bicycle",B35="NMV")),D35-D34&lt;Log!$C$12)),0,IF(E34&lt;&gt;0,D35-D34,IF(E33=0,D35-D32,D35-D33)))</f>
        <v>0</v>
      </c>
      <c r="F35" s="34">
        <f t="shared" si="4"/>
        <v>0</v>
      </c>
      <c r="H35" s="82">
        <v>267</v>
      </c>
      <c r="I35" s="56" t="s">
        <v>12</v>
      </c>
      <c r="J35" s="5">
        <f>VLOOKUP(I35,Log!$B$2:$C$8,2,)</f>
        <v>1</v>
      </c>
      <c r="K35" s="4">
        <v>42.6</v>
      </c>
      <c r="L35" s="34">
        <f>IF(OR(AND(OR(I35="Motorbike",I35="CNG",I35="Bicycle",I35="NMV"),K35-K34&lt;Log!$C$13),AND(NOT(OR(I35="Motorbike",I35="CNG",I35="Bicycle",I35="NMV")),K35-K34&lt;Log!$C$12)),0,IF(L34&lt;&gt;0,K35-K34,IF(L33=0,K35-K32,K35-K33)))</f>
        <v>0</v>
      </c>
      <c r="M35" s="34">
        <f t="shared" si="5"/>
        <v>0</v>
      </c>
      <c r="O35" s="59">
        <v>176</v>
      </c>
      <c r="P35" s="56" t="s">
        <v>12</v>
      </c>
      <c r="Q35" s="5">
        <f>VLOOKUP(P35,Log!$B$2:$C$8,2,)</f>
        <v>1</v>
      </c>
      <c r="R35" s="4">
        <v>27.12</v>
      </c>
      <c r="S35" s="34">
        <f>IF(OR(AND(OR(P35="Motorbike",P35="CNG",P35="Bicycle",P35="NMV"),R35-R34&lt;Log!$C$13),AND(NOT(OR(P35="Motorbike",P35="CNG",P35="Bicycle",P35="NMV")),R35-R34&lt;Log!$C$12)),0,IF(S34&lt;&gt;0,R35-R34,IF(S33=0,R35-R32,R35-R33)))</f>
        <v>3.120000000000001</v>
      </c>
      <c r="T35" s="34">
        <f t="shared" si="6"/>
        <v>3.120000000000001</v>
      </c>
      <c r="W35" s="11"/>
    </row>
    <row r="36" spans="1:23" x14ac:dyDescent="0.25">
      <c r="A36" s="4">
        <v>191</v>
      </c>
      <c r="B36" s="58" t="s">
        <v>12</v>
      </c>
      <c r="C36" s="70">
        <f>VLOOKUP(B36,Log!$B$2:$C$8,2,)</f>
        <v>1</v>
      </c>
      <c r="D36" s="5">
        <v>29.88</v>
      </c>
      <c r="E36" s="34">
        <f>IF(OR(AND(OR(B36="Motorbike",B36="CNG",B36="Bicycle",B36="NMV"),D36-D35&lt;Log!$C$13),AND(NOT(OR(B36="Motorbike",B36="CNG",B36="Bicycle",B36="NMV")),D36-D35&lt;Log!$C$12)),0,IF(E35&lt;&gt;0,D36-D35,IF(E34=0,D36-D33,D36-D34)))</f>
        <v>2.5999999999999979</v>
      </c>
      <c r="F36" s="34">
        <f t="shared" si="4"/>
        <v>2.5999999999999979</v>
      </c>
      <c r="H36" s="55"/>
      <c r="J36" s="15"/>
      <c r="L36" s="54"/>
      <c r="M36" s="54"/>
      <c r="O36" s="60">
        <v>202</v>
      </c>
      <c r="P36" s="56" t="s">
        <v>14</v>
      </c>
      <c r="Q36" s="5">
        <f>VLOOKUP(P36,Log!$B$2:$C$8,2,)</f>
        <v>0.45</v>
      </c>
      <c r="R36" s="4">
        <v>30.08</v>
      </c>
      <c r="S36" s="34">
        <f>IF(OR(AND(OR(P36="Motorbike",P36="CNG",P36="Bicycle",P36="NMV"),R36-R35&lt;Log!$C$13),AND(NOT(OR(P36="Motorbike",P36="CNG",P36="Bicycle",P36="NMV")),R36-R35&lt;Log!$C$12)),0,IF(S35&lt;&gt;0,R36-R35,IF(S34=0,R36-R33,R36-R34)))</f>
        <v>2.9599999999999973</v>
      </c>
      <c r="T36" s="34">
        <f t="shared" si="6"/>
        <v>1.3319999999999987</v>
      </c>
      <c r="W36" s="11"/>
    </row>
    <row r="37" spans="1:23" x14ac:dyDescent="0.25">
      <c r="A37" s="4">
        <v>186</v>
      </c>
      <c r="B37" s="4" t="s">
        <v>12</v>
      </c>
      <c r="C37" s="70">
        <f>VLOOKUP(B37,Log!$B$2:$C$8,2,)</f>
        <v>1</v>
      </c>
      <c r="D37" s="5">
        <v>30.88</v>
      </c>
      <c r="E37" s="34">
        <f>IF(OR(AND(OR(B37="Motorbike",B37="CNG",B37="Bicycle",B37="NMV"),D37-D36&lt;Log!$C$13),AND(NOT(OR(B37="Motorbike",B37="CNG",B37="Bicycle",B37="NMV")),D37-D36&lt;Log!$C$12)),0,IF(E36&lt;&gt;0,D37-D36,IF(E35=0,D37-D34,D37-D35)))</f>
        <v>1</v>
      </c>
      <c r="F37" s="34">
        <f t="shared" si="4"/>
        <v>1</v>
      </c>
      <c r="H37" s="55"/>
      <c r="J37" s="15"/>
      <c r="L37" s="54"/>
      <c r="M37" s="54"/>
      <c r="O37" s="60">
        <v>208</v>
      </c>
      <c r="P37" s="56" t="s">
        <v>12</v>
      </c>
      <c r="Q37" s="5">
        <f>VLOOKUP(P37,Log!$B$2:$C$8,2,)</f>
        <v>1</v>
      </c>
      <c r="R37" s="4">
        <v>31.52</v>
      </c>
      <c r="S37" s="34">
        <f>IF(OR(AND(OR(P37="Motorbike",P37="CNG",P37="Bicycle",P37="NMV"),R37-R36&lt;Log!$C$13),AND(NOT(OR(P37="Motorbike",P37="CNG",P37="Bicycle",P37="NMV")),R37-R36&lt;Log!$C$12)),0,IF(S36&lt;&gt;0,R37-R36,IF(S35=0,R37-R34,R37-R35)))</f>
        <v>1.4400000000000013</v>
      </c>
      <c r="T37" s="34">
        <f t="shared" si="6"/>
        <v>1.4400000000000013</v>
      </c>
      <c r="W37" s="11"/>
    </row>
    <row r="38" spans="1:23" ht="15.75" thickBot="1" x14ac:dyDescent="0.3">
      <c r="A38" s="4">
        <v>212</v>
      </c>
      <c r="B38" s="4" t="s">
        <v>12</v>
      </c>
      <c r="C38" s="70">
        <f>VLOOKUP(B38,Log!$B$2:$C$8,2,)</f>
        <v>1</v>
      </c>
      <c r="D38" s="5">
        <v>33.520000000000003</v>
      </c>
      <c r="E38" s="34">
        <f>IF(OR(AND(OR(B38="Motorbike",B38="CNG",B38="Bicycle",B38="NMV"),D38-D37&lt;Log!$C$13),AND(NOT(OR(B38="Motorbike",B38="CNG",B38="Bicycle",B38="NMV")),D38-D37&lt;Log!$C$12)),0,IF(E37&lt;&gt;0,D38-D37,IF(E36=0,D38-D35,D38-D36)))</f>
        <v>2.6400000000000041</v>
      </c>
      <c r="F38" s="34">
        <f t="shared" si="4"/>
        <v>2.6400000000000041</v>
      </c>
      <c r="O38" s="60">
        <v>222</v>
      </c>
      <c r="P38" s="71" t="s">
        <v>12</v>
      </c>
      <c r="Q38" s="5">
        <f>VLOOKUP(P38,Log!$B$2:$C$8,2,)</f>
        <v>1</v>
      </c>
      <c r="R38" s="4">
        <v>33.6</v>
      </c>
      <c r="S38" s="34">
        <f>IF(OR(AND(OR(P38="Motorbike",P38="CNG",P38="Bicycle",P38="NMV"),R38-R37&lt;Log!$C$13),AND(NOT(OR(P38="Motorbike",P38="CNG",P38="Bicycle",P38="NMV")),R38-R37&lt;Log!$C$12)),0,IF(S37&lt;&gt;0,R38-R37,IF(S36=0,R38-R35,R38-R36)))</f>
        <v>2.0800000000000018</v>
      </c>
      <c r="T38" s="34">
        <f t="shared" si="6"/>
        <v>2.0800000000000018</v>
      </c>
      <c r="W38" s="11"/>
    </row>
    <row r="39" spans="1:23" x14ac:dyDescent="0.25">
      <c r="O39" s="60">
        <v>226</v>
      </c>
      <c r="P39" s="59" t="s">
        <v>12</v>
      </c>
      <c r="Q39" s="70">
        <f>VLOOKUP(P39,Log!$B$2:$C$8,2,)</f>
        <v>1</v>
      </c>
      <c r="R39" s="4">
        <v>35.4</v>
      </c>
      <c r="S39" s="34">
        <f>IF(OR(AND(OR(P39="Motorbike",P39="CNG",P39="Bicycle",P39="NMV"),R39-R38&lt;Log!$C$13),AND(NOT(OR(P39="Motorbike",P39="CNG",P39="Bicycle",P39="NMV")),R39-R38&lt;Log!$C$12)),0,IF(S38&lt;&gt;0,R39-R38,IF(S37=0,R39-R36,R39-R37)))</f>
        <v>1.7999999999999972</v>
      </c>
      <c r="T39" s="34">
        <f t="shared" si="6"/>
        <v>2.483999999999996</v>
      </c>
      <c r="W39" s="11"/>
    </row>
    <row r="40" spans="1:23" ht="15.75" thickBot="1" x14ac:dyDescent="0.3">
      <c r="O40" s="60">
        <v>233</v>
      </c>
      <c r="P40" s="61" t="s">
        <v>13</v>
      </c>
      <c r="Q40" s="70">
        <f>VLOOKUP(P40,Log!$B$2:$C$8,2,)</f>
        <v>0.38</v>
      </c>
      <c r="R40" s="4">
        <v>35.479999999999997</v>
      </c>
      <c r="S40" s="34">
        <f>IF(OR(AND(OR(P40="Motorbike",P40="CNG",P40="Bicycle",P40="NMV"),R40-R39&lt;Log!$C$13),AND(NOT(OR(P40="Motorbike",P40="CNG",P40="Bicycle",P40="NMV")),R40-R39&lt;Log!$C$12)),0,IF(S39&lt;&gt;0,R40-R39,IF(S38=0,R40-R37,R40-R38)))</f>
        <v>0</v>
      </c>
      <c r="T40" s="34">
        <f t="shared" si="6"/>
        <v>0</v>
      </c>
      <c r="W40" s="11"/>
    </row>
    <row r="41" spans="1:23" ht="15.75" thickBot="1" x14ac:dyDescent="0.3">
      <c r="O41" s="61">
        <v>266</v>
      </c>
      <c r="P41" s="72" t="s">
        <v>13</v>
      </c>
      <c r="Q41" s="5">
        <f>VLOOKUP(P41,Log!$B$2:$C$8,2,)</f>
        <v>0.38</v>
      </c>
      <c r="R41" s="4">
        <v>37.72</v>
      </c>
      <c r="S41" s="34">
        <f>IF(OR(AND(OR(P41="Motorbike",P41="CNG",P41="Bicycle",P41="NMV"),R41-R40&lt;Log!$C$13),AND(NOT(OR(P41="Motorbike",P41="CNG",P41="Bicycle",P41="NMV")),R41-R40&lt;Log!$C$12)),0,IF(S40&lt;&gt;0,R41-R40,IF(S39=0,R41-R38,R41-R39)))</f>
        <v>2.3200000000000003</v>
      </c>
      <c r="T41" s="34">
        <f t="shared" si="6"/>
        <v>0.88160000000000016</v>
      </c>
      <c r="W41" s="11"/>
    </row>
    <row r="42" spans="1:23" x14ac:dyDescent="0.25">
      <c r="O42" s="58">
        <v>256</v>
      </c>
      <c r="P42" s="4" t="s">
        <v>12</v>
      </c>
      <c r="Q42" s="5">
        <f>VLOOKUP(P42,Log!$B$2:$C$8,2,)</f>
        <v>1</v>
      </c>
      <c r="R42" s="4">
        <v>42.08</v>
      </c>
      <c r="S42" s="34">
        <f>IF(OR(AND(OR(P42="Motorbike",P42="CNG",P42="Bicycle",P42="NMV"),R42-R41&lt;Log!$C$13),AND(NOT(OR(P42="Motorbike",P42="CNG",P42="Bicycle",P42="NMV")),R42-R41&lt;Log!$C$12)),0,IF(S41&lt;&gt;0,R42-R41,IF(S40=0,R42-R39,R42-R40)))</f>
        <v>4.3599999999999994</v>
      </c>
      <c r="T42" s="34">
        <f t="shared" si="6"/>
        <v>4.3599999999999994</v>
      </c>
      <c r="W42" s="11"/>
    </row>
    <row r="43" spans="1:23" x14ac:dyDescent="0.25">
      <c r="O43" s="4">
        <v>300</v>
      </c>
      <c r="P43" s="4" t="s">
        <v>12</v>
      </c>
      <c r="Q43" s="5">
        <f>VLOOKUP(P43,Log!$B$2:$C$8,2,)</f>
        <v>1</v>
      </c>
      <c r="R43" s="4">
        <v>45.32</v>
      </c>
      <c r="S43" s="34">
        <f>IF(OR(AND(OR(P43="Motorbike",P43="CNG",P43="Bicycle",P43="NMV"),R43-R42&lt;Log!$C$13),AND(NOT(OR(P43="Motorbike",P43="CNG",P43="Bicycle",P43="NMV")),R43-R42&lt;Log!$C$12)),0,IF(S42&lt;&gt;0,R43-R42,IF(S41=0,R43-R40,R43-R41)))</f>
        <v>3.240000000000002</v>
      </c>
      <c r="T43" s="34">
        <f t="shared" si="6"/>
        <v>3.240000000000002</v>
      </c>
      <c r="W43" s="11"/>
    </row>
    <row r="44" spans="1:23" x14ac:dyDescent="0.25">
      <c r="W44" s="11"/>
    </row>
    <row r="52" spans="19:20" x14ac:dyDescent="0.25">
      <c r="S52" s="9">
        <f>AVERAGE(S30:S34)</f>
        <v>2.0960000000000001</v>
      </c>
      <c r="T52" s="9">
        <f>AVERAGE(T30:T34)</f>
        <v>1.54928</v>
      </c>
    </row>
    <row r="53" spans="19:20" x14ac:dyDescent="0.25">
      <c r="S53" s="10">
        <f>3600/S52</f>
        <v>1717.5572519083969</v>
      </c>
      <c r="T53" s="10">
        <f>3600/T52</f>
        <v>2323.6600227202312</v>
      </c>
    </row>
  </sheetData>
  <mergeCells count="4">
    <mergeCell ref="C1:D1"/>
    <mergeCell ref="A11:F11"/>
    <mergeCell ref="H11:M11"/>
    <mergeCell ref="O11:T11"/>
  </mergeCells>
  <conditionalFormatting sqref="E14:E38">
    <cfRule type="cellIs" dxfId="32" priority="8" operator="greaterThanOrEqual">
      <formula>4</formula>
    </cfRule>
  </conditionalFormatting>
  <conditionalFormatting sqref="E13:F13">
    <cfRule type="cellIs" dxfId="31" priority="68" operator="greaterThan">
      <formula>4</formula>
    </cfRule>
  </conditionalFormatting>
  <conditionalFormatting sqref="F14:F38">
    <cfRule type="cellIs" dxfId="30" priority="27" operator="greaterThan">
      <formula>4</formula>
    </cfRule>
  </conditionalFormatting>
  <conditionalFormatting sqref="L14:L35">
    <cfRule type="cellIs" dxfId="29" priority="5" operator="greaterThanOrEqual">
      <formula>4</formula>
    </cfRule>
  </conditionalFormatting>
  <conditionalFormatting sqref="L13:M13 L36:M37">
    <cfRule type="cellIs" dxfId="28" priority="65" operator="greaterThan">
      <formula>4</formula>
    </cfRule>
  </conditionalFormatting>
  <conditionalFormatting sqref="M14:M35">
    <cfRule type="cellIs" dxfId="27" priority="20" operator="greaterThan">
      <formula>4</formula>
    </cfRule>
  </conditionalFormatting>
  <conditionalFormatting sqref="S14:S43">
    <cfRule type="cellIs" dxfId="26" priority="2" operator="greaterThanOrEqual">
      <formula>4</formula>
    </cfRule>
  </conditionalFormatting>
  <conditionalFormatting sqref="S13:T13">
    <cfRule type="cellIs" dxfId="25" priority="63" operator="greaterThan">
      <formula>4</formula>
    </cfRule>
  </conditionalFormatting>
  <conditionalFormatting sqref="T14:T43">
    <cfRule type="cellIs" dxfId="24" priority="13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id="{671DC409-4BBA-4C8B-9974-07B4A6B26351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E14:E15</xm:sqref>
        </x14:conditionalFormatting>
        <x14:conditionalFormatting xmlns:xm="http://schemas.microsoft.com/office/excel/2006/main">
          <x14:cfRule type="expression" priority="9" id="{0F885453-46F6-4429-B0F5-9F523ECAFDE5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E14:E38</xm:sqref>
        </x14:conditionalFormatting>
        <x14:conditionalFormatting xmlns:xm="http://schemas.microsoft.com/office/excel/2006/main">
          <x14:cfRule type="expression" priority="7" id="{90E5DC66-02C5-4ADC-8E05-37B7ECE80CAD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E15:E38</xm:sqref>
        </x14:conditionalFormatting>
        <x14:conditionalFormatting xmlns:xm="http://schemas.microsoft.com/office/excel/2006/main">
          <x14:cfRule type="expression" priority="6" id="{9628A941-4C89-4A0B-81B4-72A6334C5C24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L14:L35</xm:sqref>
        </x14:conditionalFormatting>
        <x14:conditionalFormatting xmlns:xm="http://schemas.microsoft.com/office/excel/2006/main">
          <x14:cfRule type="expression" priority="4" id="{C234FF74-E362-474A-A0CF-BA4C8DC7AC53}">
            <xm:f>AND(OFFSET(L15,0,-3)="Motorbike", L15&lt;Log!$C$13)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L15:L35</xm:sqref>
        </x14:conditionalFormatting>
        <x14:conditionalFormatting xmlns:xm="http://schemas.microsoft.com/office/excel/2006/main">
          <x14:cfRule type="expression" priority="70" id="{2EA44E22-64DE-43B4-AC2B-403E2106DB7B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S14:S15</xm:sqref>
        </x14:conditionalFormatting>
        <x14:conditionalFormatting xmlns:xm="http://schemas.microsoft.com/office/excel/2006/main">
          <x14:cfRule type="expression" priority="3" id="{A162592B-5852-4E71-B345-D15DD947DDB7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S14:S43</xm:sqref>
        </x14:conditionalFormatting>
        <x14:conditionalFormatting xmlns:xm="http://schemas.microsoft.com/office/excel/2006/main">
          <x14:cfRule type="expression" priority="1" id="{2402E2A5-6D29-4D8E-A2E0-8D74DBFCCBA0}">
            <xm:f>AND(OFFSET(S15,0,-3)="Motorbike", S15&lt;Log!$C$13)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S15:S43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59C04-D3B1-4825-A7AA-0ABB4C97D655}">
  <sheetPr codeName="Sheet15"/>
  <dimension ref="A1:W53"/>
  <sheetViews>
    <sheetView workbookViewId="0">
      <selection activeCell="F59" sqref="F5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55" t="s">
        <v>35</v>
      </c>
      <c r="D1" s="155"/>
      <c r="E1" s="35" t="s">
        <v>53</v>
      </c>
      <c r="F1" s="35"/>
      <c r="G1" s="35"/>
      <c r="H1" s="35"/>
      <c r="I1" s="35"/>
      <c r="J1" s="35"/>
    </row>
    <row r="2" spans="1:20" x14ac:dyDescent="0.25">
      <c r="K2" s="4" t="s">
        <v>20</v>
      </c>
      <c r="L2" s="4">
        <f>SUM(L20:L28)</f>
        <v>24.159999999999997</v>
      </c>
      <c r="M2" s="19">
        <f>SUM(M20:M28)</f>
        <v>20.9208</v>
      </c>
      <c r="R2" s="4" t="s">
        <v>20</v>
      </c>
      <c r="S2" s="8">
        <f>SUM(S25:S28)</f>
        <v>4.9200000000000017</v>
      </c>
      <c r="T2" s="8">
        <f>SUM(T25:T28)</f>
        <v>3.2264000000000017</v>
      </c>
    </row>
    <row r="3" spans="1:20" x14ac:dyDescent="0.25">
      <c r="K3" s="4" t="s">
        <v>21</v>
      </c>
      <c r="L3" s="20">
        <f>AVERAGE(L24:L26)</f>
        <v>4.2533333333333339</v>
      </c>
      <c r="M3" s="67">
        <f>AVERAGE(M17:M20)</f>
        <v>1.8320000000000005</v>
      </c>
      <c r="R3" s="4" t="s">
        <v>21</v>
      </c>
      <c r="S3" s="9">
        <f>AVERAGE(S25:S28)</f>
        <v>1.2300000000000004</v>
      </c>
      <c r="T3" s="9">
        <f>AVERAGE(T23:T28)</f>
        <v>1.0621333333333334</v>
      </c>
    </row>
    <row r="4" spans="1:20" x14ac:dyDescent="0.25">
      <c r="A4" s="4" t="s">
        <v>12</v>
      </c>
      <c r="B4" s="144">
        <f>100*COUNTIF($B$13:$B$43,A4)/COUNTA($B$13:$B$43)</f>
        <v>48.387096774193552</v>
      </c>
      <c r="H4" s="4" t="s">
        <v>12</v>
      </c>
      <c r="I4" s="144">
        <f>100*COUNTIF($I$13:$I$35,H4)/COUNTA($I$13:$I$35)</f>
        <v>75</v>
      </c>
      <c r="K4" s="4" t="s">
        <v>7</v>
      </c>
      <c r="L4" s="23">
        <f>3600/L3</f>
        <v>846.39498432601874</v>
      </c>
      <c r="M4" s="68">
        <f>3600/M3</f>
        <v>1965.0655021834057</v>
      </c>
      <c r="O4" s="4" t="s">
        <v>12</v>
      </c>
      <c r="P4" s="144">
        <f>100*COUNTIF($P$13:$P$43,O4)/COUNTA($P$13:$P$43)</f>
        <v>28.571428571428573</v>
      </c>
      <c r="R4" s="4" t="s">
        <v>7</v>
      </c>
      <c r="S4" s="10">
        <f>3600/S3</f>
        <v>2926.8292682926817</v>
      </c>
      <c r="T4" s="10">
        <f>3600/T3</f>
        <v>3389.404971127291</v>
      </c>
    </row>
    <row r="5" spans="1:20" x14ac:dyDescent="0.25">
      <c r="A5" s="4" t="s">
        <v>14</v>
      </c>
      <c r="B5" s="144">
        <f t="shared" ref="B5:B7" si="0">100*COUNTIF($B$13:$B$43,A5)/COUNTA($B$13:$B$43)</f>
        <v>19.35483870967742</v>
      </c>
      <c r="H5" s="4" t="s">
        <v>14</v>
      </c>
      <c r="I5" s="144">
        <f t="shared" ref="I5:I7" si="1">100*COUNTIF($I$13:$I$35,H5)/COUNTA($I$13:$I$35)</f>
        <v>12.5</v>
      </c>
      <c r="O5" s="4" t="s">
        <v>14</v>
      </c>
      <c r="P5" s="144">
        <f t="shared" ref="P5:P9" si="2">100*COUNTIF($P$13:$P$43,O5)/COUNTA($P$13:$P$43)</f>
        <v>21.428571428571427</v>
      </c>
    </row>
    <row r="6" spans="1:20" x14ac:dyDescent="0.25">
      <c r="A6" s="4" t="s">
        <v>13</v>
      </c>
      <c r="B6" s="144">
        <f t="shared" si="0"/>
        <v>32.258064516129032</v>
      </c>
      <c r="E6" s="29" t="s">
        <v>32</v>
      </c>
      <c r="F6" s="29" t="s">
        <v>31</v>
      </c>
      <c r="H6" s="4" t="s">
        <v>13</v>
      </c>
      <c r="I6" s="144">
        <f t="shared" si="1"/>
        <v>12.5</v>
      </c>
      <c r="L6" s="29" t="s">
        <v>32</v>
      </c>
      <c r="M6" s="29" t="s">
        <v>31</v>
      </c>
      <c r="O6" s="4" t="s">
        <v>13</v>
      </c>
      <c r="P6" s="144">
        <f t="shared" si="2"/>
        <v>42.857142857142854</v>
      </c>
      <c r="S6" s="29" t="s">
        <v>32</v>
      </c>
      <c r="T6" s="29" t="s">
        <v>31</v>
      </c>
    </row>
    <row r="7" spans="1:20" x14ac:dyDescent="0.25">
      <c r="A7" s="4" t="s">
        <v>28</v>
      </c>
      <c r="B7" s="144">
        <f t="shared" si="0"/>
        <v>0</v>
      </c>
      <c r="D7" s="30" t="s">
        <v>30</v>
      </c>
      <c r="E7" s="25">
        <f>SUM(E14:E30)</f>
        <v>25.8</v>
      </c>
      <c r="F7" s="25">
        <f>SUM(F14:F30)</f>
        <v>23.2408</v>
      </c>
      <c r="H7" s="4" t="s">
        <v>28</v>
      </c>
      <c r="I7" s="144">
        <f t="shared" si="1"/>
        <v>0</v>
      </c>
      <c r="K7" s="30" t="s">
        <v>30</v>
      </c>
      <c r="L7" s="25">
        <f>SUM(L14:L37)</f>
        <v>37.160000000000004</v>
      </c>
      <c r="M7" s="25">
        <f>SUM(M14:M37)</f>
        <v>30.774800000000003</v>
      </c>
      <c r="O7" s="4" t="s">
        <v>28</v>
      </c>
      <c r="P7" s="144">
        <f t="shared" si="2"/>
        <v>0</v>
      </c>
      <c r="R7" s="30" t="s">
        <v>20</v>
      </c>
      <c r="S7" s="25">
        <f>SUM(S14:S23)</f>
        <v>9.4</v>
      </c>
      <c r="T7" s="25">
        <f>SUM(T13:T23)</f>
        <v>7.1727999999999996</v>
      </c>
    </row>
    <row r="8" spans="1:20" ht="15.75" thickBot="1" x14ac:dyDescent="0.3">
      <c r="D8" s="30" t="s">
        <v>21</v>
      </c>
      <c r="E8" s="28">
        <f>AVERAGEIF(E26:E29,"&lt;&gt;0")</f>
        <v>2.0100000000000007</v>
      </c>
      <c r="F8" s="28">
        <f>AVERAGEIF(F28:F43,"&lt;&gt;0")</f>
        <v>2.0535200000000002</v>
      </c>
      <c r="K8" s="30" t="s">
        <v>21</v>
      </c>
      <c r="L8" s="28">
        <f>AVERAGEIF(L14:L20,"&lt;&gt;0")</f>
        <v>2.0285714285714289</v>
      </c>
      <c r="M8" s="28">
        <f>AVERAGEIF(M14:M21,"&lt;&gt;0")</f>
        <v>1.7505714285714291</v>
      </c>
      <c r="O8" s="4" t="s">
        <v>15</v>
      </c>
      <c r="P8" s="144">
        <f t="shared" si="2"/>
        <v>3.5714285714285716</v>
      </c>
      <c r="R8" s="30" t="s">
        <v>21</v>
      </c>
      <c r="S8" s="28">
        <f>AVERAGEIF(S14:S24,"&lt;&gt;0")</f>
        <v>1.2977777777777777</v>
      </c>
      <c r="T8" s="28">
        <f>AVERAGEIF(T18:T35,"&lt;&gt;0")</f>
        <v>1.8357666666666661</v>
      </c>
    </row>
    <row r="9" spans="1:20" ht="15.75" thickBot="1" x14ac:dyDescent="0.3">
      <c r="D9" s="30" t="s">
        <v>7</v>
      </c>
      <c r="E9" s="27">
        <f>3600/E8</f>
        <v>1791.0447761194023</v>
      </c>
      <c r="F9" s="31">
        <f>3600/F8</f>
        <v>1753.0873816666015</v>
      </c>
      <c r="K9" s="30" t="s">
        <v>7</v>
      </c>
      <c r="L9" s="27">
        <f>3600/L8</f>
        <v>1774.6478873239435</v>
      </c>
      <c r="M9" s="31">
        <f>3600/M8</f>
        <v>2056.4713562918223</v>
      </c>
      <c r="O9" s="4" t="s">
        <v>33</v>
      </c>
      <c r="P9" s="144">
        <f t="shared" si="2"/>
        <v>3.5714285714285716</v>
      </c>
      <c r="R9" s="30" t="s">
        <v>7</v>
      </c>
      <c r="S9" s="27">
        <f>3600/S8</f>
        <v>2773.9726027397264</v>
      </c>
      <c r="T9" s="31">
        <f>3600/T8</f>
        <v>1961.033537305032</v>
      </c>
    </row>
    <row r="11" spans="1:20" x14ac:dyDescent="0.25">
      <c r="A11" s="156" t="s">
        <v>26</v>
      </c>
      <c r="B11" s="156"/>
      <c r="C11" s="156"/>
      <c r="D11" s="156"/>
      <c r="E11" s="156"/>
      <c r="F11" s="156"/>
      <c r="H11" s="156" t="s">
        <v>18</v>
      </c>
      <c r="I11" s="156"/>
      <c r="J11" s="156"/>
      <c r="K11" s="156"/>
      <c r="L11" s="156"/>
      <c r="M11" s="156"/>
      <c r="O11" s="156" t="s">
        <v>23</v>
      </c>
      <c r="P11" s="156"/>
      <c r="Q11" s="156"/>
      <c r="R11" s="156"/>
      <c r="S11" s="156"/>
      <c r="T11" s="156"/>
    </row>
    <row r="12" spans="1:20" ht="56.25" customHeight="1" thickBot="1" x14ac:dyDescent="0.3">
      <c r="A12" s="57" t="s">
        <v>16</v>
      </c>
      <c r="B12" s="57" t="s">
        <v>17</v>
      </c>
      <c r="C12" s="3" t="s">
        <v>11</v>
      </c>
      <c r="D12" s="3" t="s">
        <v>10</v>
      </c>
      <c r="E12" s="6" t="s">
        <v>22</v>
      </c>
      <c r="F12" s="6" t="s">
        <v>19</v>
      </c>
      <c r="H12" s="57" t="s">
        <v>16</v>
      </c>
      <c r="I12" s="57" t="s">
        <v>17</v>
      </c>
      <c r="J12" s="3" t="s">
        <v>11</v>
      </c>
      <c r="K12" s="3" t="s">
        <v>10</v>
      </c>
      <c r="L12" s="6" t="s">
        <v>22</v>
      </c>
      <c r="M12" s="6" t="s">
        <v>19</v>
      </c>
      <c r="N12" s="2"/>
      <c r="O12" s="57" t="s">
        <v>16</v>
      </c>
      <c r="P12" s="79" t="s">
        <v>38</v>
      </c>
      <c r="Q12" s="3" t="s">
        <v>11</v>
      </c>
      <c r="R12" s="3" t="s">
        <v>10</v>
      </c>
      <c r="S12" s="6" t="s">
        <v>22</v>
      </c>
      <c r="T12" s="6" t="s">
        <v>19</v>
      </c>
    </row>
    <row r="13" spans="1:20" x14ac:dyDescent="0.25">
      <c r="A13" s="4">
        <v>5</v>
      </c>
      <c r="B13" s="56" t="s">
        <v>14</v>
      </c>
      <c r="C13" s="70">
        <f>VLOOKUP(B13,Log!$B$2:$C$8,2,)</f>
        <v>0.45</v>
      </c>
      <c r="D13" s="5">
        <v>2.12</v>
      </c>
      <c r="E13" s="34">
        <v>0</v>
      </c>
      <c r="F13" s="34">
        <v>0</v>
      </c>
      <c r="H13" s="65">
        <v>2</v>
      </c>
      <c r="I13" s="62" t="s">
        <v>12</v>
      </c>
      <c r="J13" s="70">
        <f>VLOOKUP(I13,Log!$B$2:$C$8,2,)</f>
        <v>1</v>
      </c>
      <c r="K13" s="4">
        <v>1.92</v>
      </c>
      <c r="L13" s="34">
        <v>0</v>
      </c>
      <c r="M13" s="34">
        <v>0</v>
      </c>
      <c r="N13" s="15"/>
      <c r="O13" s="65">
        <v>11</v>
      </c>
      <c r="P13" s="122" t="s">
        <v>13</v>
      </c>
      <c r="Q13" s="70">
        <f>VLOOKUP(P13,Log!$B$2:$C$8,2,)</f>
        <v>0.38</v>
      </c>
      <c r="R13" s="4">
        <v>3.52</v>
      </c>
      <c r="S13" s="34">
        <v>0</v>
      </c>
      <c r="T13" s="34">
        <v>0</v>
      </c>
    </row>
    <row r="14" spans="1:20" x14ac:dyDescent="0.25">
      <c r="A14" s="4">
        <v>9</v>
      </c>
      <c r="B14" s="56" t="s">
        <v>13</v>
      </c>
      <c r="C14" s="70">
        <f>VLOOKUP(B14,Log!$B$2:$C$8,2,)</f>
        <v>0.38</v>
      </c>
      <c r="D14" s="5">
        <v>3.52</v>
      </c>
      <c r="E14" s="34">
        <f>IF(OR(AND(B14="Motorbike",D14-D13&lt;Log!$C$13),AND(B14&lt;&gt;"Motorbike",D14-D13&lt;Log!$C$12)),0,D14-D13)</f>
        <v>1.4</v>
      </c>
      <c r="F14" s="34">
        <f>IF(E15&lt;&gt;0,C14*E14,IF(E16=0,(C14+C15+C16)*E14,(C14+C15)*E14))</f>
        <v>0.53199999999999992</v>
      </c>
      <c r="H14" s="73">
        <v>4</v>
      </c>
      <c r="I14" s="62" t="s">
        <v>12</v>
      </c>
      <c r="J14" s="70">
        <f>VLOOKUP(I14,Log!$B$2:$C$8,2,)</f>
        <v>1</v>
      </c>
      <c r="K14" s="4">
        <v>4.08</v>
      </c>
      <c r="L14" s="34">
        <f>IF(OR(AND(I14="Motorbike",K14-K13&lt;Log!$C$13),AND(I14&lt;&gt;"Motorbike",K14-K13&lt;Log!$C$12)),0,K14-K13)</f>
        <v>2.16</v>
      </c>
      <c r="M14" s="34">
        <f>IF(L15&lt;&gt;0,J14*L14,IF(L16=0,(J14+J15+J16)*L14,(J14+J15)*L14))</f>
        <v>2.16</v>
      </c>
      <c r="N14" s="15"/>
      <c r="O14" s="73">
        <v>12</v>
      </c>
      <c r="P14" s="122" t="s">
        <v>13</v>
      </c>
      <c r="Q14" s="70">
        <f>VLOOKUP(P14,Log!$B$2:$C$8,2,)</f>
        <v>0.38</v>
      </c>
      <c r="R14" s="4">
        <v>4.12</v>
      </c>
      <c r="S14" s="34">
        <f>IF(OR(AND(P14="Motorbike",R14-R13&lt;Log!$C$13),AND(P14&lt;&gt;"Motorbike",R14-R13&lt;Log!$C$12)),0,R14-R13)</f>
        <v>0.60000000000000009</v>
      </c>
      <c r="T14" s="34">
        <f>IF(S15&lt;&gt;0,Q14*S14,IF(S16=0,(Q14+Q15+Q16)*S14,(Q14+Q15)*S14))</f>
        <v>0.22800000000000004</v>
      </c>
    </row>
    <row r="15" spans="1:20" x14ac:dyDescent="0.25">
      <c r="A15" s="4">
        <v>37</v>
      </c>
      <c r="B15" s="56" t="s">
        <v>13</v>
      </c>
      <c r="C15" s="70">
        <f>VLOOKUP(B15,Log!$B$2:$C$8,2,)</f>
        <v>0.38</v>
      </c>
      <c r="D15" s="5">
        <v>4.32</v>
      </c>
      <c r="E15" s="34">
        <f>IF(OR(AND(B15="Motorbike",D15-D14&lt;Log!$C$13),AND(B15&lt;&gt;"Motorbike",D15-D14&lt;Log!$C$12)),0,D15-D14)</f>
        <v>0.80000000000000027</v>
      </c>
      <c r="F15" s="34">
        <f t="shared" ref="F15:F43" si="3">IF(E16&lt;&gt;0,C15*E15,IF(E17=0,(C15+C16+C17)*E15,(C15+C16)*E15))</f>
        <v>0.3040000000000001</v>
      </c>
      <c r="H15" s="73">
        <v>7</v>
      </c>
      <c r="I15" s="62" t="s">
        <v>12</v>
      </c>
      <c r="J15" s="70">
        <f>VLOOKUP(I15,Log!$B$2:$C$8,2,)</f>
        <v>1</v>
      </c>
      <c r="K15" s="4">
        <v>6</v>
      </c>
      <c r="L15" s="34">
        <f>IF(OR(AND(I15="Motorbike",K15-K14&lt;Log!$C$13),AND(I15&lt;&gt;"Motorbike",K15-K14&lt;Log!$C$12)),0,K15-K14)</f>
        <v>1.92</v>
      </c>
      <c r="M15" s="34">
        <f t="shared" ref="M15:M28" si="4">IF(L16&lt;&gt;0,J15*L15,IF(L17=0,(J15+J16+J17)*L15,(J15+J16)*L15))</f>
        <v>1.92</v>
      </c>
      <c r="N15" s="15"/>
      <c r="O15" s="73">
        <v>44</v>
      </c>
      <c r="P15" s="122" t="s">
        <v>13</v>
      </c>
      <c r="Q15" s="70">
        <f>VLOOKUP(P15,Log!$B$2:$C$8,2,)</f>
        <v>0.38</v>
      </c>
      <c r="R15" s="4">
        <v>4.88</v>
      </c>
      <c r="S15" s="34">
        <f>IF(OR(AND(P15="Motorbike",R15-R14&lt;Log!$C$13),AND(P15&lt;&gt;"Motorbike",R15-R14&lt;Log!$C$12)),0,R15-R14)</f>
        <v>0.75999999999999979</v>
      </c>
      <c r="T15" s="34">
        <f t="shared" ref="T15:T40" si="5">IF(S16&lt;&gt;0,Q15*S15,IF(S17=0,(Q15+Q16+Q17)*S15,(Q15+Q16)*S15))</f>
        <v>0.28879999999999995</v>
      </c>
    </row>
    <row r="16" spans="1:20" ht="15.75" thickBot="1" x14ac:dyDescent="0.3">
      <c r="A16" s="4">
        <v>32</v>
      </c>
      <c r="B16" s="56" t="s">
        <v>13</v>
      </c>
      <c r="C16" s="70">
        <f>VLOOKUP(B16,Log!$B$2:$C$8,2,)</f>
        <v>0.38</v>
      </c>
      <c r="D16" s="5">
        <v>5.2</v>
      </c>
      <c r="E16" s="34">
        <f>IF(OR(AND(OR(B16="Motorbike",B16="CNG",B16="Bicycle",B16="NMV"),D16-D15&lt;Log!$C$13),AND(NOT(OR(B16="Motorbike",B16="CNG",B16="Bicycle",B16="NMV")),D16-D15&lt;Log!$C$12)),0,IF(E15&lt;&gt;0,D16-D15,IF(E14=0,D16-D13,D16-D14)))</f>
        <v>0.87999999999999989</v>
      </c>
      <c r="F16" s="34">
        <f t="shared" si="3"/>
        <v>0.33439999999999998</v>
      </c>
      <c r="H16" s="66">
        <v>24</v>
      </c>
      <c r="I16" s="62" t="s">
        <v>14</v>
      </c>
      <c r="J16" s="70">
        <f>VLOOKUP(I16,Log!$B$2:$C$8,2,)</f>
        <v>0.45</v>
      </c>
      <c r="K16" s="4">
        <v>7.88</v>
      </c>
      <c r="L16" s="34">
        <f>IF(OR(AND(OR(I16="Motorbike",I16="CNG",I16="Bicycle",I16="NMV"),K16-K15&lt;Log!$C$13),AND(NOT(OR(I16="Motorbike",I16="CNG",I16="Bicycle",I16="NMV")),K16-K15&lt;Log!$C$12)),0,IF(L15&lt;&gt;0,K16-K15,IF(L14=0,K16-K13,K16-K14)))</f>
        <v>1.88</v>
      </c>
      <c r="M16" s="34">
        <f t="shared" si="4"/>
        <v>0.84599999999999997</v>
      </c>
      <c r="N16" s="15"/>
      <c r="O16" s="60">
        <v>30</v>
      </c>
      <c r="P16" s="122" t="s">
        <v>13</v>
      </c>
      <c r="Q16" s="70">
        <f>VLOOKUP(P16,Log!$B$2:$C$8,2,)</f>
        <v>0.38</v>
      </c>
      <c r="R16" s="4">
        <v>5.68</v>
      </c>
      <c r="S16" s="34">
        <f>IF(OR(AND(OR(P16="Motorbike",P16="CNG",P16="Bicycle",P16="NMV"),R16-R15&lt;Log!$C$13),AND(NOT(OR(P16="Motorbike",P16="CNG",P16="Bicycle",P16="NMV")),R16-R15&lt;Log!$C$12)),0,IF(S15&lt;&gt;0,R16-R15,IF(S14=0,R16-R13,R16-R14)))</f>
        <v>0.79999999999999982</v>
      </c>
      <c r="T16" s="34">
        <f t="shared" si="5"/>
        <v>0.30399999999999994</v>
      </c>
    </row>
    <row r="17" spans="1:23" ht="15.75" thickBot="1" x14ac:dyDescent="0.3">
      <c r="A17" s="4">
        <v>42</v>
      </c>
      <c r="B17" s="56" t="s">
        <v>13</v>
      </c>
      <c r="C17" s="70">
        <f>VLOOKUP(B17,Log!$B$2:$C$8,2,)</f>
        <v>0.38</v>
      </c>
      <c r="D17" s="5">
        <v>6.2</v>
      </c>
      <c r="E17" s="34">
        <f>IF(OR(AND(OR(B17="Motorbike",B17="CNG",B17="Bicycle",B17="NMV"),D17-D16&lt;Log!$C$13),AND(NOT(OR(B17="Motorbike",B17="CNG",B17="Bicycle",B17="NMV")),D17-D16&lt;Log!$C$12)),0,IF(E16&lt;&gt;0,D17-D16,IF(E15=0,D17-D14,D17-D15)))</f>
        <v>1</v>
      </c>
      <c r="F17" s="34">
        <f t="shared" si="3"/>
        <v>0.38</v>
      </c>
      <c r="H17" s="90">
        <v>47</v>
      </c>
      <c r="I17" s="4" t="s">
        <v>14</v>
      </c>
      <c r="J17" s="70">
        <f>VLOOKUP(I17,Log!$B$2:$C$8,2,)</f>
        <v>0.45</v>
      </c>
      <c r="K17" s="4">
        <v>11.72</v>
      </c>
      <c r="L17" s="34">
        <f>IF(OR(AND(OR(I17="Motorbike",I17="CNG",I17="Bicycle",I17="NMV"),K17-K16&lt;Log!$C$13),AND(NOT(OR(I17="Motorbike",I17="CNG",I17="Bicycle",I17="NMV")),K17-K16&lt;Log!$C$12)),0,IF(L16&lt;&gt;0,K17-K16,IF(L15=0,K17-K14,K17-K15)))</f>
        <v>3.8400000000000007</v>
      </c>
      <c r="M17" s="34">
        <f t="shared" si="4"/>
        <v>1.7280000000000004</v>
      </c>
      <c r="N17" s="15"/>
      <c r="O17" s="60">
        <v>35</v>
      </c>
      <c r="P17" s="122" t="s">
        <v>13</v>
      </c>
      <c r="Q17" s="70">
        <f>VLOOKUP(P17,Log!$B$2:$C$8,2,)</f>
        <v>0.38</v>
      </c>
      <c r="R17" s="4">
        <v>6.68</v>
      </c>
      <c r="S17" s="34">
        <f>IF(OR(AND(OR(P17="Motorbike",P17="CNG",P17="Bicycle",P17="NMV"),R17-R16&lt;Log!$C$13),AND(NOT(OR(P17="Motorbike",P17="CNG",P17="Bicycle",P17="NMV")),R17-R16&lt;Log!$C$12)),0,IF(S16&lt;&gt;0,R17-R16,IF(S15=0,R17-R14,R17-R15)))</f>
        <v>1</v>
      </c>
      <c r="T17" s="34">
        <f t="shared" si="5"/>
        <v>0.38</v>
      </c>
    </row>
    <row r="18" spans="1:23" ht="15.75" thickBot="1" x14ac:dyDescent="0.3">
      <c r="A18" s="51">
        <v>17</v>
      </c>
      <c r="B18" s="56" t="s">
        <v>12</v>
      </c>
      <c r="C18" s="70">
        <f>VLOOKUP(B18,Log!$B$2:$C$8,2,)</f>
        <v>1</v>
      </c>
      <c r="D18" s="5">
        <v>8.32</v>
      </c>
      <c r="E18" s="34">
        <f>IF(OR(AND(OR(B18="Motorbike",B18="CNG",B18="Bicycle",B18="NMV"),D18-D17&lt;Log!$C$13),AND(NOT(OR(B18="Motorbike",B18="CNG",B18="Bicycle",B18="NMV")),D18-D17&lt;Log!$C$12)),0,IF(E17&lt;&gt;0,D18-D17,IF(E16=0,D18-D15,D18-D16)))</f>
        <v>2.12</v>
      </c>
      <c r="F18" s="34">
        <f t="shared" si="3"/>
        <v>2.12</v>
      </c>
      <c r="H18" s="65">
        <v>36</v>
      </c>
      <c r="I18" s="56" t="s">
        <v>12</v>
      </c>
      <c r="J18" s="70">
        <f>VLOOKUP(I18,Log!$B$2:$C$8,2,)</f>
        <v>1</v>
      </c>
      <c r="K18" s="4">
        <v>13.2</v>
      </c>
      <c r="L18" s="34">
        <f>IF(OR(AND(OR(I18="Motorbike",I18="CNG",I18="Bicycle",I18="NMV"),K18-K17&lt;Log!$C$13),AND(NOT(OR(I18="Motorbike",I18="CNG",I18="Bicycle",I18="NMV")),K18-K17&lt;Log!$C$12)),0,IF(L17&lt;&gt;0,K18-K17,IF(L16=0,K18-K15,K18-K16)))</f>
        <v>1.4799999999999986</v>
      </c>
      <c r="M18" s="34">
        <f t="shared" si="4"/>
        <v>1.4799999999999986</v>
      </c>
      <c r="N18" s="15"/>
      <c r="O18" s="60">
        <v>24</v>
      </c>
      <c r="P18" s="71" t="s">
        <v>14</v>
      </c>
      <c r="Q18" s="70">
        <f>VLOOKUP(P18,Log!$B$2:$C$8,2,)</f>
        <v>0.45</v>
      </c>
      <c r="R18" s="4">
        <v>8</v>
      </c>
      <c r="S18" s="34">
        <f>IF(OR(AND(OR(P18="Motorbike",P18="CNG",P18="Bicycle",P18="NMV"),R18-R17&lt;Log!$C$13),AND(NOT(OR(P18="Motorbike",P18="CNG",P18="Bicycle",P18="NMV")),R18-R17&lt;Log!$C$12)),0,IF(S17&lt;&gt;0,R18-R17,IF(S16=0,R18-R15,R18-R16)))</f>
        <v>1.3200000000000003</v>
      </c>
      <c r="T18" s="109">
        <f t="shared" si="5"/>
        <v>0.59400000000000019</v>
      </c>
    </row>
    <row r="19" spans="1:23" ht="15.75" thickBot="1" x14ac:dyDescent="0.3">
      <c r="A19" s="59">
        <v>58</v>
      </c>
      <c r="B19" s="71" t="s">
        <v>13</v>
      </c>
      <c r="C19" s="70">
        <f>VLOOKUP(B19,Log!$B$2:$C$8,2,)</f>
        <v>0.38</v>
      </c>
      <c r="D19" s="5">
        <v>9.92</v>
      </c>
      <c r="E19" s="34">
        <f>IF(OR(AND(OR(B19="Motorbike",B19="CNG",B19="Bicycle",B19="NMV"),D19-D18&lt;Log!$C$13),AND(NOT(OR(B19="Motorbike",B19="CNG",B19="Bicycle",B19="NMV")),D19-D18&lt;Log!$C$12)),0,IF(E18&lt;&gt;0,D19-D18,IF(E17=0,D19-D16,D19-D17)))</f>
        <v>1.5999999999999996</v>
      </c>
      <c r="F19" s="34">
        <f t="shared" si="3"/>
        <v>0.60799999999999987</v>
      </c>
      <c r="H19" s="73">
        <v>70</v>
      </c>
      <c r="I19" s="71" t="s">
        <v>12</v>
      </c>
      <c r="J19" s="70">
        <f>VLOOKUP(I19,Log!$B$2:$C$8,2,)</f>
        <v>1</v>
      </c>
      <c r="K19" s="4">
        <v>14.92</v>
      </c>
      <c r="L19" s="34">
        <f>IF(OR(AND(OR(I19="Motorbike",I19="CNG",I19="Bicycle",I19="NMV"),K19-K18&lt;Log!$C$13),AND(NOT(OR(I19="Motorbike",I19="CNG",I19="Bicycle",I19="NMV")),K19-K18&lt;Log!$C$12)),0,IF(L18&lt;&gt;0,K19-K18,IF(L17=0,K19-K16,K19-K17)))</f>
        <v>1.7200000000000006</v>
      </c>
      <c r="M19" s="34">
        <f t="shared" si="4"/>
        <v>1.7200000000000006</v>
      </c>
      <c r="N19" s="15"/>
      <c r="O19" s="60">
        <v>20</v>
      </c>
      <c r="P19" s="87" t="s">
        <v>14</v>
      </c>
      <c r="Q19" s="70">
        <f>VLOOKUP(P19,Log!$B$2:$C$8,2,)</f>
        <v>0.45</v>
      </c>
      <c r="R19" s="4">
        <v>9.52</v>
      </c>
      <c r="S19" s="34">
        <f>IF(OR(AND(OR(P19="Motorbike",P19="CNG",P19="Bicycle",P19="NMV"),R19-R18&lt;Log!$C$13),AND(NOT(OR(P19="Motorbike",P19="CNG",P19="Bicycle",P19="NMV")),R19-R18&lt;Log!$C$12)),0,IF(S18&lt;&gt;0,R19-R18,IF(S17=0,R19-R16,R19-R17)))</f>
        <v>1.5199999999999996</v>
      </c>
      <c r="T19" s="109">
        <f t="shared" si="5"/>
        <v>1.3679999999999997</v>
      </c>
    </row>
    <row r="20" spans="1:23" ht="15.75" thickBot="1" x14ac:dyDescent="0.3">
      <c r="A20" s="60">
        <v>22</v>
      </c>
      <c r="B20" s="87" t="s">
        <v>12</v>
      </c>
      <c r="C20" s="70">
        <f>VLOOKUP(B20,Log!$B$2:$C$8,2,)</f>
        <v>1</v>
      </c>
      <c r="D20" s="5">
        <v>11</v>
      </c>
      <c r="E20" s="34">
        <f>IF(OR(AND(OR(B20="Motorbike",B20="CNG",B20="Bicycle",B20="NMV"),D20-D19&lt;Log!$C$13),AND(NOT(OR(B20="Motorbike",B20="CNG",B20="Bicycle",B20="NMV")),D20-D19&lt;Log!$C$12)),0,IF(E19&lt;&gt;0,D20-D19,IF(E18=0,D20-D17,D20-D18)))</f>
        <v>1.08</v>
      </c>
      <c r="F20" s="34">
        <f t="shared" si="3"/>
        <v>1.08</v>
      </c>
      <c r="H20" s="73">
        <v>69</v>
      </c>
      <c r="I20" s="59" t="s">
        <v>12</v>
      </c>
      <c r="J20" s="70">
        <f>VLOOKUP(I20,Log!$B$2:$C$8,2,)</f>
        <v>1</v>
      </c>
      <c r="K20" s="4">
        <v>16.12</v>
      </c>
      <c r="L20" s="34">
        <f>IF(OR(AND(OR(I20="Motorbike",I20="CNG",I20="Bicycle",I20="NMV"),K20-K19&lt;Log!$C$13),AND(NOT(OR(I20="Motorbike",I20="CNG",I20="Bicycle",I20="NMV")),K20-K19&lt;Log!$C$12)),0,IF(L19&lt;&gt;0,K20-K19,IF(L18=0,K20-K17,K20-K18)))</f>
        <v>1.2000000000000011</v>
      </c>
      <c r="M20" s="34">
        <f t="shared" si="4"/>
        <v>2.4000000000000021</v>
      </c>
      <c r="N20" s="15"/>
      <c r="O20" s="60">
        <v>56</v>
      </c>
      <c r="P20" s="88" t="s">
        <v>14</v>
      </c>
      <c r="Q20" s="86">
        <f>VLOOKUP(P20,Log!$B$2:$C$8,2,)</f>
        <v>0.45</v>
      </c>
      <c r="R20" s="51">
        <v>9.68</v>
      </c>
      <c r="S20" s="34">
        <f>IF(OR(AND(OR(P20="Motorbike",P20="CNG",P20="Bicycle",P20="NMV"),R20-R19&lt;Log!$C$13),AND(NOT(OR(P20="Motorbike",P20="CNG",P20="Bicycle",P20="NMV")),R20-R19&lt;Log!$C$12)),0,IF(S19&lt;&gt;0,R20-R19,IF(S18=0,R20-R17,R20-R18)))</f>
        <v>0</v>
      </c>
      <c r="T20" s="109">
        <f t="shared" si="5"/>
        <v>0</v>
      </c>
    </row>
    <row r="21" spans="1:23" ht="15.75" thickBot="1" x14ac:dyDescent="0.3">
      <c r="A21" s="60">
        <v>8</v>
      </c>
      <c r="B21" s="89" t="s">
        <v>12</v>
      </c>
      <c r="C21" s="70">
        <f>VLOOKUP(B21,Log!$B$2:$C$8,2,)</f>
        <v>1</v>
      </c>
      <c r="D21" s="5">
        <v>12.12</v>
      </c>
      <c r="E21" s="34">
        <f>IF(OR(AND(OR(B21="Motorbike",B21="CNG",B21="Bicycle",B21="NMV"),D21-D20&lt;Log!$C$13),AND(NOT(OR(B21="Motorbike",B21="CNG",B21="Bicycle",B21="NMV")),D21-D20&lt;Log!$C$12)),0,IF(E20&lt;&gt;0,D21-D20,IF(E19=0,D21-D18,D21-D19)))</f>
        <v>1.1199999999999992</v>
      </c>
      <c r="F21" s="34">
        <f t="shared" si="3"/>
        <v>1.6239999999999988</v>
      </c>
      <c r="H21" s="66">
        <v>93</v>
      </c>
      <c r="I21" s="61" t="s">
        <v>12</v>
      </c>
      <c r="J21" s="70">
        <f>VLOOKUP(I21,Log!$B$2:$C$8,2,)</f>
        <v>1</v>
      </c>
      <c r="K21" s="4">
        <v>16.48</v>
      </c>
      <c r="L21" s="34">
        <f>IF(OR(AND(OR(I21="Motorbike",I21="CNG",I21="Bicycle",I21="NMV"),K21-K20&lt;Log!$C$13),AND(NOT(OR(I21="Motorbike",I21="CNG",I21="Bicycle",I21="NMV")),K21-K20&lt;Log!$C$12)),0,IF(L20&lt;&gt;0,K21-K20,IF(L19=0,K21-K18,K21-K19)))</f>
        <v>0</v>
      </c>
      <c r="M21" s="34">
        <f t="shared" si="4"/>
        <v>0</v>
      </c>
      <c r="N21" s="15"/>
      <c r="O21" s="60">
        <v>60</v>
      </c>
      <c r="P21" s="83" t="s">
        <v>14</v>
      </c>
      <c r="Q21" s="70">
        <f>VLOOKUP(P21,Log!$B$2:$C$8,2,)</f>
        <v>0.45</v>
      </c>
      <c r="R21" s="4">
        <v>11.32</v>
      </c>
      <c r="S21" s="34">
        <f>IF(OR(AND(OR(P21="Motorbike",P21="CNG",P21="Bicycle",P21="NMV"),R21-R20&lt;Log!$C$13),AND(NOT(OR(P21="Motorbike",P21="CNG",P21="Bicycle",P21="NMV")),R21-R20&lt;Log!$C$12)),0,IF(S20&lt;&gt;0,R21-R20,IF(S19=0,R21-R18,R21-R19)))</f>
        <v>1.8000000000000007</v>
      </c>
      <c r="T21" s="109">
        <f t="shared" si="5"/>
        <v>0.81000000000000039</v>
      </c>
    </row>
    <row r="22" spans="1:23" ht="15.75" thickBot="1" x14ac:dyDescent="0.3">
      <c r="A22" s="60">
        <v>47</v>
      </c>
      <c r="B22" s="88" t="s">
        <v>14</v>
      </c>
      <c r="C22" s="70">
        <f>VLOOKUP(B22,Log!$B$2:$C$8,2,)</f>
        <v>0.45</v>
      </c>
      <c r="D22" s="5">
        <v>12.12</v>
      </c>
      <c r="E22" s="34">
        <f>IF(OR(AND(OR(B22="Motorbike",B22="CNG",B22="Bicycle",B22="NMV"),D22-D21&lt;Log!$C$13),AND(NOT(OR(B22="Motorbike",B22="CNG",B22="Bicycle",B22="NMV")),D22-D21&lt;Log!$C$12)),0,IF(E21&lt;&gt;0,D22-D21,IF(E20=0,D22-D19,D22-D20)))</f>
        <v>0</v>
      </c>
      <c r="F22" s="34">
        <f t="shared" si="3"/>
        <v>0</v>
      </c>
      <c r="H22" s="64">
        <v>118</v>
      </c>
      <c r="I22" s="58" t="s">
        <v>12</v>
      </c>
      <c r="J22" s="70">
        <f>VLOOKUP(I22,Log!$B$2:$C$8,2,)</f>
        <v>1</v>
      </c>
      <c r="K22" s="4">
        <v>20.8</v>
      </c>
      <c r="L22" s="34">
        <f>IF(OR(AND(OR(I22="Motorbike",I22="CNG",I22="Bicycle",I22="NMV"),K22-K21&lt;Log!$C$13),AND(NOT(OR(I22="Motorbike",I22="CNG",I22="Bicycle",I22="NMV")),K22-K21&lt;Log!$C$12)),0,IF(L21&lt;&gt;0,K22-K21,IF(L20=0,K22-K19,K22-K20)))</f>
        <v>4.68</v>
      </c>
      <c r="M22" s="34">
        <f t="shared" si="4"/>
        <v>4.68</v>
      </c>
      <c r="N22" s="15"/>
      <c r="O22" s="60">
        <v>59</v>
      </c>
      <c r="P22" s="87" t="s">
        <v>12</v>
      </c>
      <c r="Q22" s="70">
        <f>VLOOKUP(P22,Log!$B$2:$C$8,2,)</f>
        <v>1</v>
      </c>
      <c r="R22" s="4">
        <v>12.92</v>
      </c>
      <c r="S22" s="34">
        <f>IF(OR(AND(OR(P22="Motorbike",P22="CNG",P22="Bicycle",P22="NMV"),R22-R21&lt;Log!$C$13),AND(NOT(OR(P22="Motorbike",P22="CNG",P22="Bicycle",P22="NMV")),R22-R21&lt;Log!$C$12)),0,IF(S21&lt;&gt;0,R22-R21,IF(S20=0,R22-R19,R22-R20)))</f>
        <v>1.5999999999999996</v>
      </c>
      <c r="T22" s="109">
        <f t="shared" si="5"/>
        <v>3.1999999999999993</v>
      </c>
    </row>
    <row r="23" spans="1:23" ht="15.75" thickBot="1" x14ac:dyDescent="0.3">
      <c r="A23" s="60">
        <v>103</v>
      </c>
      <c r="B23" s="72" t="s">
        <v>13</v>
      </c>
      <c r="C23" s="70">
        <f>VLOOKUP(B23,Log!$B$2:$C$8,2,)</f>
        <v>0.38</v>
      </c>
      <c r="D23" s="5">
        <v>14.8</v>
      </c>
      <c r="E23" s="34">
        <f>IF(OR(AND(OR(B23="Motorbike",B23="CNG",B23="Bicycle",B23="NMV"),D23-D22&lt;Log!$C$13),AND(NOT(OR(B23="Motorbike",B23="CNG",B23="Bicycle",B23="NMV")),D23-D22&lt;Log!$C$12)),0,IF(E22&lt;&gt;0,D23-D22,IF(E21=0,D23-D20,D23-D21)))</f>
        <v>2.6800000000000015</v>
      </c>
      <c r="F23" s="34">
        <f t="shared" si="3"/>
        <v>1.0184000000000006</v>
      </c>
      <c r="H23" s="16">
        <v>104</v>
      </c>
      <c r="I23" s="4" t="s">
        <v>12</v>
      </c>
      <c r="J23" s="70">
        <f>VLOOKUP(I23,Log!$B$2:$C$8,2,)</f>
        <v>1</v>
      </c>
      <c r="K23" s="4">
        <v>22.12</v>
      </c>
      <c r="L23" s="34">
        <f>IF(OR(AND(OR(I23="Motorbike",I23="CNG",I23="Bicycle",I23="NMV"),K23-K22&lt;Log!$C$13),AND(NOT(OR(I23="Motorbike",I23="CNG",I23="Bicycle",I23="NMV")),K23-K22&lt;Log!$C$12)),0,IF(L22&lt;&gt;0,K23-K22,IF(L21=0,K23-K20,K23-K21)))</f>
        <v>1.3200000000000003</v>
      </c>
      <c r="M23" s="34">
        <f t="shared" si="4"/>
        <v>1.3200000000000003</v>
      </c>
      <c r="N23" s="15"/>
      <c r="O23" s="60">
        <v>65</v>
      </c>
      <c r="P23" s="91" t="s">
        <v>12</v>
      </c>
      <c r="Q23" s="70">
        <f>VLOOKUP(P23,Log!$B$2:$C$8,2,)</f>
        <v>1</v>
      </c>
      <c r="R23" s="4">
        <v>13.08</v>
      </c>
      <c r="S23" s="34">
        <f>IF(OR(AND(OR(P23="Motorbike",P23="CNG",P23="Bicycle",P23="NMV"),R23-R22&lt;Log!$C$13),AND(NOT(OR(P23="Motorbike",P23="CNG",P23="Bicycle",P23="NMV")),R23-R22&lt;Log!$C$12)),0,IF(S22&lt;&gt;0,R23-R22,IF(S21=0,R23-R20,R23-R21)))</f>
        <v>0</v>
      </c>
      <c r="T23" s="109">
        <f t="shared" si="5"/>
        <v>0</v>
      </c>
    </row>
    <row r="24" spans="1:23" ht="15.75" thickBot="1" x14ac:dyDescent="0.3">
      <c r="A24" s="61">
        <v>78</v>
      </c>
      <c r="B24" s="56" t="s">
        <v>12</v>
      </c>
      <c r="C24" s="70">
        <f>VLOOKUP(B24,Log!$B$2:$C$8,2,)</f>
        <v>1</v>
      </c>
      <c r="D24" s="5">
        <v>16.88</v>
      </c>
      <c r="E24" s="34">
        <f>IF(OR(AND(OR(B24="Motorbike",B24="CNG",B24="Bicycle",B24="NMV"),D24-D23&lt;Log!$C$13),AND(NOT(OR(B24="Motorbike",B24="CNG",B24="Bicycle",B24="NMV")),D24-D23&lt;Log!$C$12)),0,IF(E23&lt;&gt;0,D24-D23,IF(E22=0,D24-D21,D24-D22)))</f>
        <v>2.0799999999999983</v>
      </c>
      <c r="F24" s="34">
        <f t="shared" si="3"/>
        <v>2.0799999999999983</v>
      </c>
      <c r="H24" s="16">
        <v>163</v>
      </c>
      <c r="I24" s="4" t="s">
        <v>12</v>
      </c>
      <c r="J24" s="70">
        <f>VLOOKUP(I24,Log!$B$2:$C$8,2,)</f>
        <v>1</v>
      </c>
      <c r="K24" s="4">
        <v>26.92</v>
      </c>
      <c r="L24" s="34">
        <f>IF(OR(AND(OR(I24="Motorbike",I24="CNG",I24="Bicycle",I24="NMV"),K24-K23&lt;Log!$C$13),AND(NOT(OR(I24="Motorbike",I24="CNG",I24="Bicycle",I24="NMV")),K24-K23&lt;Log!$C$12)),0,IF(L23&lt;&gt;0,K24-K23,IF(L22=0,K24-K21,K24-K22)))</f>
        <v>4.8000000000000007</v>
      </c>
      <c r="M24" s="34">
        <f t="shared" si="4"/>
        <v>4.8000000000000007</v>
      </c>
      <c r="N24" s="15"/>
      <c r="O24" s="60">
        <v>70</v>
      </c>
      <c r="P24" s="87" t="s">
        <v>12</v>
      </c>
      <c r="Q24" s="70">
        <f>VLOOKUP(P24,Log!$B$2:$C$8,2,)</f>
        <v>1</v>
      </c>
      <c r="R24" s="4">
        <v>15.2</v>
      </c>
      <c r="S24" s="34">
        <f>IF(OR(AND(OR(P24="Motorbike",P24="CNG",P24="Bicycle",P24="NMV"),R24-R23&lt;Log!$C$13),AND(NOT(OR(P24="Motorbike",P24="CNG",P24="Bicycle",P24="NMV")),R24-R23&lt;Log!$C$12)),0,IF(S23&lt;&gt;0,R24-R23,IF(S22=0,R24-R21,R24-R22)))</f>
        <v>2.2799999999999994</v>
      </c>
      <c r="T24" s="109">
        <f t="shared" si="5"/>
        <v>3.146399999999999</v>
      </c>
    </row>
    <row r="25" spans="1:23" ht="15.75" thickBot="1" x14ac:dyDescent="0.3">
      <c r="A25" s="43">
        <v>55</v>
      </c>
      <c r="B25" s="4" t="s">
        <v>12</v>
      </c>
      <c r="C25" s="70">
        <f>VLOOKUP(B25,Log!$B$2:$C$8,2,)</f>
        <v>1</v>
      </c>
      <c r="D25" s="5">
        <v>19.88</v>
      </c>
      <c r="E25" s="34">
        <f>IF(OR(AND(OR(B25="Motorbike",B25="CNG",B25="Bicycle",B25="NMV"),D25-D24&lt;Log!$C$13),AND(NOT(OR(B25="Motorbike",B25="CNG",B25="Bicycle",B25="NMV")),D25-D24&lt;Log!$C$12)),0,IF(E24&lt;&gt;0,D25-D24,IF(E23=0,D25-D22,D25-D23)))</f>
        <v>3</v>
      </c>
      <c r="F25" s="34">
        <f t="shared" si="3"/>
        <v>3</v>
      </c>
      <c r="H25" s="16">
        <v>191</v>
      </c>
      <c r="I25" s="4" t="s">
        <v>13</v>
      </c>
      <c r="J25" s="70">
        <f>VLOOKUP(I25,Log!$B$2:$C$8,2,)</f>
        <v>0.38</v>
      </c>
      <c r="K25" s="4">
        <v>32.799999999999997</v>
      </c>
      <c r="L25" s="34">
        <f>IF(OR(AND(OR(I25="Motorbike",I25="CNG",I25="Bicycle",I25="NMV"),K25-K24&lt;Log!$C$13),AND(NOT(OR(I25="Motorbike",I25="CNG",I25="Bicycle",I25="NMV")),K25-K24&lt;Log!$C$12)),0,IF(L24&lt;&gt;0,K25-K24,IF(L23=0,K25-K22,K25-K23)))</f>
        <v>5.8799999999999955</v>
      </c>
      <c r="M25" s="34">
        <f t="shared" si="4"/>
        <v>2.2343999999999982</v>
      </c>
      <c r="N25" s="15"/>
      <c r="O25" s="60">
        <v>90</v>
      </c>
      <c r="P25" s="88" t="s">
        <v>13</v>
      </c>
      <c r="Q25" s="70">
        <f>VLOOKUP(P25,Log!$B$2:$C$8,2,)</f>
        <v>0.38</v>
      </c>
      <c r="R25" s="4">
        <v>15.2</v>
      </c>
      <c r="S25" s="34">
        <f>IF(OR(AND(OR(P25="Motorbike",P25="CNG",P25="Bicycle",P25="NMV"),R25-R24&lt;Log!$C$13),AND(NOT(OR(P25="Motorbike",P25="CNG",P25="Bicycle",P25="NMV")),R25-R24&lt;Log!$C$12)),0,IF(S24&lt;&gt;0,R25-R24,IF(S23=0,R25-R22,R25-R23)))</f>
        <v>0</v>
      </c>
      <c r="T25" s="109">
        <f t="shared" si="5"/>
        <v>0</v>
      </c>
    </row>
    <row r="26" spans="1:23" x14ac:dyDescent="0.25">
      <c r="A26" s="59">
        <v>95</v>
      </c>
      <c r="B26" s="56" t="s">
        <v>12</v>
      </c>
      <c r="C26" s="70">
        <f>VLOOKUP(B26,Log!$B$2:$C$8,2,)</f>
        <v>1</v>
      </c>
      <c r="D26" s="5">
        <v>22.4</v>
      </c>
      <c r="E26" s="34">
        <f>IF(OR(AND(OR(B26="Motorbike",B26="CNG",B26="Bicycle",B26="NMV"),D26-D25&lt;Log!$C$13),AND(NOT(OR(B26="Motorbike",B26="CNG",B26="Bicycle",B26="NMV")),D26-D25&lt;Log!$C$12)),0,IF(E25&lt;&gt;0,D26-D25,IF(E24=0,D26-D23,D26-D24)))</f>
        <v>2.5199999999999996</v>
      </c>
      <c r="F26" s="34">
        <f t="shared" si="3"/>
        <v>2.5199999999999996</v>
      </c>
      <c r="H26" s="16">
        <v>184</v>
      </c>
      <c r="I26" s="4" t="s">
        <v>12</v>
      </c>
      <c r="J26" s="70">
        <f>VLOOKUP(I26,Log!$B$2:$C$8,2,)</f>
        <v>1</v>
      </c>
      <c r="K26" s="4">
        <v>34.880000000000003</v>
      </c>
      <c r="L26" s="34">
        <f>IF(OR(AND(OR(I26="Motorbike",I26="CNG",I26="Bicycle",I26="NMV"),K26-K25&lt;Log!$C$13),AND(NOT(OR(I26="Motorbike",I26="CNG",I26="Bicycle",I26="NMV")),K26-K25&lt;Log!$C$12)),0,IF(L25&lt;&gt;0,K26-K25,IF(L24=0,K26-K23,K26-K24)))</f>
        <v>2.0800000000000054</v>
      </c>
      <c r="M26" s="34">
        <f t="shared" si="4"/>
        <v>2.0800000000000054</v>
      </c>
      <c r="N26" s="15"/>
      <c r="O26" s="60">
        <v>93</v>
      </c>
      <c r="P26" s="72" t="s">
        <v>12</v>
      </c>
      <c r="Q26" s="70">
        <f>VLOOKUP(P26,Log!$B$2:$C$8,2,)</f>
        <v>1</v>
      </c>
      <c r="R26" s="4">
        <v>16.68</v>
      </c>
      <c r="S26" s="34">
        <f>IF(OR(AND(OR(P26="Motorbike",P26="CNG",P26="Bicycle",P26="NMV"),R26-R25&lt;Log!$C$13),AND(NOT(OR(P26="Motorbike",P26="CNG",P26="Bicycle",P26="NMV")),R26-R25&lt;Log!$C$12)),0,IF(S25&lt;&gt;0,R26-R25,IF(S24=0,R26-R23,R26-R24)))</f>
        <v>1.4800000000000004</v>
      </c>
      <c r="T26" s="109">
        <f t="shared" si="5"/>
        <v>1.4800000000000004</v>
      </c>
    </row>
    <row r="27" spans="1:23" ht="15.75" thickBot="1" x14ac:dyDescent="0.3">
      <c r="A27" s="60">
        <v>148</v>
      </c>
      <c r="B27" s="56" t="s">
        <v>12</v>
      </c>
      <c r="C27" s="70">
        <f>VLOOKUP(B27,Log!$B$2:$C$8,2,)</f>
        <v>1</v>
      </c>
      <c r="D27" s="5">
        <v>23.88</v>
      </c>
      <c r="E27" s="34">
        <f>IF(OR(AND(OR(B27="Motorbike",B27="CNG",B27="Bicycle",B27="NMV"),D27-D26&lt;Log!$C$13),AND(NOT(OR(B27="Motorbike",B27="CNG",B27="Bicycle",B27="NMV")),D27-D26&lt;Log!$C$12)),0,IF(E26&lt;&gt;0,D27-D26,IF(E25=0,D27-D24,D27-D25)))</f>
        <v>1.4800000000000004</v>
      </c>
      <c r="F27" s="34">
        <f t="shared" si="3"/>
        <v>1.4800000000000004</v>
      </c>
      <c r="H27" s="16">
        <v>236</v>
      </c>
      <c r="I27" s="4" t="s">
        <v>12</v>
      </c>
      <c r="J27" s="70">
        <f>VLOOKUP(I27,Log!$B$2:$C$8,2,)</f>
        <v>1</v>
      </c>
      <c r="K27" s="4">
        <v>37.799999999999997</v>
      </c>
      <c r="L27" s="34">
        <f>IF(OR(AND(OR(I27="Motorbike",I27="CNG",I27="Bicycle",I27="NMV"),K27-K26&lt;Log!$C$13),AND(NOT(OR(I27="Motorbike",I27="CNG",I27="Bicycle",I27="NMV")),K27-K26&lt;Log!$C$12)),0,IF(L26&lt;&gt;0,K27-K26,IF(L25=0,K27-K24,K27-K25)))</f>
        <v>2.9199999999999946</v>
      </c>
      <c r="M27" s="34">
        <f t="shared" si="4"/>
        <v>2.9199999999999946</v>
      </c>
      <c r="N27" s="15"/>
      <c r="O27" s="60">
        <v>110</v>
      </c>
      <c r="P27" s="71" t="s">
        <v>14</v>
      </c>
      <c r="Q27" s="70">
        <f>VLOOKUP(P27,Log!$B$2:$C$8,2,)</f>
        <v>0.45</v>
      </c>
      <c r="R27" s="4">
        <v>19.48</v>
      </c>
      <c r="S27" s="34">
        <f>IF(OR(AND(OR(P27="Motorbike",P27="CNG",P27="Bicycle",P27="NMV"),R27-R26&lt;Log!$C$13),AND(NOT(OR(P27="Motorbike",P27="CNG",P27="Bicycle",P27="NMV")),R27-R26&lt;Log!$C$12)),0,IF(S26&lt;&gt;0,R27-R26,IF(S25=0,R27-R24,R27-R25)))</f>
        <v>2.8000000000000007</v>
      </c>
      <c r="T27" s="109">
        <f t="shared" si="5"/>
        <v>1.2600000000000005</v>
      </c>
    </row>
    <row r="28" spans="1:23" ht="15.75" thickBot="1" x14ac:dyDescent="0.3">
      <c r="A28" s="60">
        <v>154</v>
      </c>
      <c r="B28" s="71" t="s">
        <v>12</v>
      </c>
      <c r="C28" s="70">
        <f>VLOOKUP(B28,Log!$B$2:$C$8,2,)</f>
        <v>1</v>
      </c>
      <c r="D28" s="5">
        <v>25.8</v>
      </c>
      <c r="E28" s="34">
        <f>IF(OR(AND(OR(B28="Motorbike",B28="CNG",B28="Bicycle",B28="NMV"),D28-D27&lt;Log!$C$13),AND(NOT(OR(B28="Motorbike",B28="CNG",B28="Bicycle",B28="NMV")),D28-D27&lt;Log!$C$12)),0,IF(E27&lt;&gt;0,D28-D27,IF(E26=0,D28-D25,D28-D26)))</f>
        <v>1.9200000000000017</v>
      </c>
      <c r="F28" s="109">
        <f t="shared" si="3"/>
        <v>1.9200000000000017</v>
      </c>
      <c r="H28" s="4">
        <v>262</v>
      </c>
      <c r="I28" s="4" t="s">
        <v>13</v>
      </c>
      <c r="J28" s="70">
        <f>VLOOKUP(I28,Log!$B$2:$C$8,2,)</f>
        <v>0.38</v>
      </c>
      <c r="K28" s="4">
        <v>39.08</v>
      </c>
      <c r="L28" s="34">
        <f>IF(OR(AND(OR(I28="Motorbike",I28="CNG",I28="Bicycle",I28="NMV"),K28-K27&lt;Log!$C$13),AND(NOT(OR(I28="Motorbike",I28="CNG",I28="Bicycle",I28="NMV")),K28-K27&lt;Log!$C$12)),0,IF(L27&lt;&gt;0,K28-K27,IF(L26=0,K28-K25,K28-K26)))</f>
        <v>1.2800000000000011</v>
      </c>
      <c r="M28" s="34">
        <f t="shared" si="4"/>
        <v>0.48640000000000044</v>
      </c>
      <c r="N28" s="15"/>
      <c r="O28" s="60">
        <v>134</v>
      </c>
      <c r="P28" s="87" t="s">
        <v>13</v>
      </c>
      <c r="Q28" s="70">
        <f>VLOOKUP(P28,Log!$B$2:$C$8,2,)</f>
        <v>0.38</v>
      </c>
      <c r="R28" s="4">
        <v>20.12</v>
      </c>
      <c r="S28" s="34">
        <f>IF(OR(AND(OR(P28="Motorbike",P28="CNG",P28="Bicycle",P28="NMV"),R28-R27&lt;Log!$C$13),AND(NOT(OR(P28="Motorbike",P28="CNG",P28="Bicycle",P28="NMV")),R28-R27&lt;Log!$C$12)),0,IF(S27&lt;&gt;0,R28-R27,IF(S26=0,R28-R25,R28-R26)))</f>
        <v>0.64000000000000057</v>
      </c>
      <c r="T28" s="109">
        <f t="shared" si="5"/>
        <v>0.48640000000000044</v>
      </c>
    </row>
    <row r="29" spans="1:23" ht="15.75" thickBot="1" x14ac:dyDescent="0.3">
      <c r="A29" s="60">
        <v>149</v>
      </c>
      <c r="B29" s="87" t="s">
        <v>12</v>
      </c>
      <c r="C29" s="70">
        <f>VLOOKUP(B29,Log!$B$2:$C$8,2,)</f>
        <v>1</v>
      </c>
      <c r="D29" s="5">
        <v>27.92</v>
      </c>
      <c r="E29" s="34">
        <f>IF(OR(AND(OR(B29="Motorbike",B29="CNG",B29="Bicycle",B29="NMV"),D29-D28&lt;Log!$C$13),AND(NOT(OR(B29="Motorbike",B29="CNG",B29="Bicycle",B29="NMV")),D29-D28&lt;Log!$C$12)),0,IF(E28&lt;&gt;0,D29-D28,IF(E27=0,D29-D26,D29-D27)))</f>
        <v>2.120000000000001</v>
      </c>
      <c r="F29" s="109">
        <f t="shared" si="3"/>
        <v>4.240000000000002</v>
      </c>
      <c r="N29" s="15"/>
      <c r="O29" s="60">
        <v>141</v>
      </c>
      <c r="P29" s="88" t="s">
        <v>13</v>
      </c>
      <c r="Q29" s="70">
        <f>VLOOKUP(P29,Log!$B$2:$C$8,2,)</f>
        <v>0.38</v>
      </c>
      <c r="R29" s="4">
        <v>20.399999999999999</v>
      </c>
      <c r="S29" s="34">
        <f>IF(OR(AND(OR(P29="Motorbike",P29="CNG",P29="Bicycle",P29="NMV"),R29-R28&lt;Log!$C$13),AND(NOT(OR(P29="Motorbike",P29="CNG",P29="Bicycle",P29="NMV")),R29-R28&lt;Log!$C$12)),0,IF(S28&lt;&gt;0,R29-R28,IF(S27=0,R29-R26,R29-R27)))</f>
        <v>0</v>
      </c>
      <c r="T29" s="109">
        <f t="shared" si="5"/>
        <v>0</v>
      </c>
      <c r="W29" s="11"/>
    </row>
    <row r="30" spans="1:23" ht="15.75" thickBot="1" x14ac:dyDescent="0.3">
      <c r="A30" s="60">
        <v>164</v>
      </c>
      <c r="B30" s="88" t="s">
        <v>12</v>
      </c>
      <c r="C30" s="70">
        <f>VLOOKUP(B30,Log!$B$2:$C$8,2,)</f>
        <v>1</v>
      </c>
      <c r="D30" s="5">
        <v>28.12</v>
      </c>
      <c r="E30" s="34">
        <f>IF(OR(AND(OR(B30="Motorbike",B30="CNG",B30="Bicycle",B30="NMV"),D30-D29&lt;Log!$C$13),AND(NOT(OR(B30="Motorbike",B30="CNG",B30="Bicycle",B30="NMV")),D30-D29&lt;Log!$C$12)),0,IF(E29&lt;&gt;0,D30-D29,IF(E28=0,D30-D27,D30-D28)))</f>
        <v>0</v>
      </c>
      <c r="F30" s="109">
        <f t="shared" si="3"/>
        <v>0</v>
      </c>
      <c r="N30" s="15"/>
      <c r="O30" s="60">
        <v>120</v>
      </c>
      <c r="P30" s="87" t="s">
        <v>12</v>
      </c>
      <c r="Q30" s="70">
        <f>VLOOKUP(P30,Log!$B$2:$C$8,2,)</f>
        <v>1</v>
      </c>
      <c r="R30" s="4">
        <v>22.2</v>
      </c>
      <c r="S30" s="34">
        <f>IF(OR(AND(OR(P30="Motorbike",P30="CNG",P30="Bicycle",P30="NMV"),R30-R29&lt;Log!$C$13),AND(NOT(OR(P30="Motorbike",P30="CNG",P30="Bicycle",P30="NMV")),R30-R29&lt;Log!$C$12)),0,IF(S29&lt;&gt;0,R30-R29,IF(S28=0,R30-R27,R30-R28)))</f>
        <v>2.0799999999999983</v>
      </c>
      <c r="T30" s="109">
        <f t="shared" si="5"/>
        <v>5.9071999999999951</v>
      </c>
      <c r="W30" s="11"/>
    </row>
    <row r="31" spans="1:23" ht="15.75" thickBot="1" x14ac:dyDescent="0.3">
      <c r="A31" s="60">
        <v>174</v>
      </c>
      <c r="B31" s="87" t="s">
        <v>14</v>
      </c>
      <c r="C31" s="70">
        <f>VLOOKUP(B31,Log!$B$2:$C$8,2,)</f>
        <v>0.45</v>
      </c>
      <c r="D31" s="5">
        <v>29.6</v>
      </c>
      <c r="E31" s="34">
        <f>IF(OR(AND(OR(B31="Motorbike",B31="CNG",B31="Bicycle",B31="NMV"),D31-D30&lt;Log!$C$13),AND(NOT(OR(B31="Motorbike",B31="CNG",B31="Bicycle",B31="NMV")),D31-D30&lt;Log!$C$12)),0,IF(E30&lt;&gt;0,D31-D30,IF(E29=0,D31-D28,D31-D29)))</f>
        <v>1.6799999999999997</v>
      </c>
      <c r="F31" s="109">
        <f t="shared" si="3"/>
        <v>2.4359999999999995</v>
      </c>
      <c r="N31" s="15"/>
      <c r="O31" s="60">
        <v>153</v>
      </c>
      <c r="P31" s="88" t="s">
        <v>33</v>
      </c>
      <c r="Q31" s="70">
        <f>VLOOKUP(P31,Log!$B$2:$C$8,2,)</f>
        <v>1.84</v>
      </c>
      <c r="R31" s="4">
        <v>22.28</v>
      </c>
      <c r="S31" s="34">
        <f>IF(OR(AND(OR(P31="Motorbike",P31="CNG",P31="Bicycle",P31="NMV"),R31-R30&lt;Log!$C$13),AND(NOT(OR(P31="Motorbike",P31="CNG",P31="Bicycle",P31="NMV")),R31-R30&lt;Log!$C$12)),0,IF(S30&lt;&gt;0,R31-R30,IF(S29=0,R31-R28,R31-R29)))</f>
        <v>0</v>
      </c>
      <c r="T31" s="109">
        <f t="shared" si="5"/>
        <v>0</v>
      </c>
      <c r="W31" s="11"/>
    </row>
    <row r="32" spans="1:23" ht="15.75" thickBot="1" x14ac:dyDescent="0.3">
      <c r="A32" s="60">
        <v>126</v>
      </c>
      <c r="B32" s="88" t="s">
        <v>12</v>
      </c>
      <c r="C32" s="70">
        <f>VLOOKUP(B32,Log!$B$2:$C$8,2,)</f>
        <v>1</v>
      </c>
      <c r="D32" s="5">
        <v>30.12</v>
      </c>
      <c r="E32" s="34">
        <f>IF(OR(AND(OR(B32="Motorbike",B32="CNG",B32="Bicycle",B32="NMV"),D32-D31&lt;Log!$C$13),AND(NOT(OR(B32="Motorbike",B32="CNG",B32="Bicycle",B32="NMV")),D32-D31&lt;Log!$C$12)),0,IF(E31&lt;&gt;0,D32-D31,IF(E30=0,D32-D29,D32-D30)))</f>
        <v>0</v>
      </c>
      <c r="F32" s="109">
        <f t="shared" si="3"/>
        <v>0</v>
      </c>
      <c r="N32" s="15"/>
      <c r="O32" s="60">
        <v>166</v>
      </c>
      <c r="P32" s="87" t="s">
        <v>15</v>
      </c>
      <c r="Q32" s="70">
        <f>VLOOKUP(P32,Log!$B$2:$C$8,2,)</f>
        <v>0.33</v>
      </c>
      <c r="R32" s="4">
        <v>23.72</v>
      </c>
      <c r="S32" s="34">
        <f>IF(OR(AND(OR(P32="Motorbike",P32="CNG",P32="Bicycle",P32="NMV"),R32-R31&lt;Log!$C$13),AND(NOT(OR(P32="Motorbike",P32="CNG",P32="Bicycle",P32="NMV")),R32-R31&lt;Log!$C$12)),0,IF(S31&lt;&gt;0,R32-R31,IF(S30=0,R32-R29,R32-R30)))</f>
        <v>1.5199999999999996</v>
      </c>
      <c r="T32" s="109">
        <f t="shared" si="5"/>
        <v>2.0215999999999994</v>
      </c>
      <c r="W32" s="11"/>
    </row>
    <row r="33" spans="1:23" ht="15.75" thickBot="1" x14ac:dyDescent="0.3">
      <c r="A33" s="60">
        <v>181</v>
      </c>
      <c r="B33" s="87" t="s">
        <v>14</v>
      </c>
      <c r="C33" s="70">
        <f>VLOOKUP(B33,Log!$B$2:$C$8,2,)</f>
        <v>0.45</v>
      </c>
      <c r="D33" s="5">
        <v>31.08</v>
      </c>
      <c r="E33" s="34">
        <f>IF(OR(AND(OR(B33="Motorbike",B33="CNG",B33="Bicycle",B33="NMV"),D33-D32&lt;Log!$C$13),AND(NOT(OR(B33="Motorbike",B33="CNG",B33="Bicycle",B33="NMV")),D33-D32&lt;Log!$C$12)),0,IF(E32&lt;&gt;0,D33-D32,IF(E31=0,D33-D30,D33-D31)))</f>
        <v>1.4799999999999969</v>
      </c>
      <c r="F33" s="109">
        <f t="shared" si="3"/>
        <v>1.3319999999999972</v>
      </c>
      <c r="N33" s="15"/>
      <c r="O33" s="60">
        <v>132</v>
      </c>
      <c r="P33" s="88" t="s">
        <v>12</v>
      </c>
      <c r="Q33" s="70">
        <f>VLOOKUP(P33,Log!$B$2:$C$8,2,)</f>
        <v>1</v>
      </c>
      <c r="R33" s="4">
        <v>24</v>
      </c>
      <c r="S33" s="34">
        <f>IF(OR(AND(OR(P33="Motorbike",P33="CNG",P33="Bicycle",P33="NMV"),R33-R32&lt;Log!$C$13),AND(NOT(OR(P33="Motorbike",P33="CNG",P33="Bicycle",P33="NMV")),R33-R32&lt;Log!$C$12)),0,IF(S32&lt;&gt;0,R33-R32,IF(S31=0,R33-R30,R33-R31)))</f>
        <v>0</v>
      </c>
      <c r="T33" s="109">
        <f t="shared" si="5"/>
        <v>0</v>
      </c>
      <c r="W33" s="11"/>
    </row>
    <row r="34" spans="1:23" ht="15.75" thickBot="1" x14ac:dyDescent="0.3">
      <c r="A34" s="60">
        <v>203</v>
      </c>
      <c r="B34" s="88" t="s">
        <v>14</v>
      </c>
      <c r="C34" s="70">
        <f>VLOOKUP(B34,Log!$B$2:$C$8,2,)</f>
        <v>0.45</v>
      </c>
      <c r="D34" s="5">
        <v>31.6</v>
      </c>
      <c r="E34" s="34">
        <f>IF(OR(AND(OR(B34="Motorbike",B34="CNG",B34="Bicycle",B34="NMV"),D34-D33&lt;Log!$C$13),AND(NOT(OR(B34="Motorbike",B34="CNG",B34="Bicycle",B34="NMV")),D34-D33&lt;Log!$C$12)),0,IF(E33&lt;&gt;0,D34-D33,IF(E32=0,D34-D31,D34-D32)))</f>
        <v>0</v>
      </c>
      <c r="F34" s="109">
        <f t="shared" si="3"/>
        <v>0</v>
      </c>
      <c r="N34" s="15"/>
      <c r="O34" s="60">
        <v>165</v>
      </c>
      <c r="P34" s="72" t="s">
        <v>14</v>
      </c>
      <c r="Q34" s="70">
        <f>VLOOKUP(P34,Log!$B$2:$C$8,2,)</f>
        <v>0.45</v>
      </c>
      <c r="R34" s="4">
        <v>26</v>
      </c>
      <c r="S34" s="34">
        <f>IF(OR(AND(OR(P34="Motorbike",P34="CNG",P34="Bicycle",P34="NMV"),R34-R33&lt;Log!$C$13),AND(NOT(OR(P34="Motorbike",P34="CNG",P34="Bicycle",P34="NMV")),R34-R33&lt;Log!$C$12)),0,IF(S33&lt;&gt;0,R34-R33,IF(S32=0,R34-R31,R34-R32)))</f>
        <v>2.2800000000000011</v>
      </c>
      <c r="T34" s="109">
        <f t="shared" si="5"/>
        <v>1.0260000000000005</v>
      </c>
      <c r="W34" s="11"/>
    </row>
    <row r="35" spans="1:23" ht="15.75" thickBot="1" x14ac:dyDescent="0.3">
      <c r="A35" s="60">
        <v>204</v>
      </c>
      <c r="B35" s="87" t="s">
        <v>13</v>
      </c>
      <c r="C35" s="70">
        <f>VLOOKUP(B35,Log!$B$2:$C$8,2,)</f>
        <v>0.38</v>
      </c>
      <c r="D35" s="5">
        <v>32.799999999999997</v>
      </c>
      <c r="E35" s="34">
        <f>IF(OR(AND(OR(B35="Motorbike",B35="CNG",B35="Bicycle",B35="NMV"),D35-D34&lt;Log!$C$13),AND(NOT(OR(B35="Motorbike",B35="CNG",B35="Bicycle",B35="NMV")),D35-D34&lt;Log!$C$12)),0,IF(E34&lt;&gt;0,D35-D34,IF(E33=0,D35-D32,D35-D33)))</f>
        <v>1.7199999999999989</v>
      </c>
      <c r="F35" s="109">
        <f t="shared" si="3"/>
        <v>3.0271999999999974</v>
      </c>
      <c r="O35" s="61">
        <v>176</v>
      </c>
      <c r="P35" s="56" t="s">
        <v>13</v>
      </c>
      <c r="Q35" s="70">
        <f>VLOOKUP(P35,Log!$B$2:$C$8,2,)</f>
        <v>0.38</v>
      </c>
      <c r="R35" s="4">
        <v>27.92</v>
      </c>
      <c r="S35" s="34">
        <f>IF(OR(AND(OR(P35="Motorbike",P35="CNG",P35="Bicycle",P35="NMV"),R35-R34&lt;Log!$C$13),AND(NOT(OR(P35="Motorbike",P35="CNG",P35="Bicycle",P35="NMV")),R35-R34&lt;Log!$C$12)),0,IF(S34&lt;&gt;0,R35-R34,IF(S33=0,R35-R32,R35-R33)))</f>
        <v>1.9200000000000017</v>
      </c>
      <c r="T35" s="109">
        <f t="shared" si="5"/>
        <v>0.72960000000000069</v>
      </c>
      <c r="W35" s="11"/>
    </row>
    <row r="36" spans="1:23" x14ac:dyDescent="0.25">
      <c r="A36" s="60">
        <v>189</v>
      </c>
      <c r="B36" s="89" t="s">
        <v>12</v>
      </c>
      <c r="C36" s="70">
        <f>VLOOKUP(B36,Log!$B$2:$C$8,2,)</f>
        <v>1</v>
      </c>
      <c r="D36" s="5">
        <v>33.479999999999997</v>
      </c>
      <c r="E36" s="34">
        <f>IF(OR(AND(OR(B36="Motorbike",B36="CNG",B36="Bicycle",B36="NMV"),D36-D35&lt;Log!$C$13),AND(NOT(OR(B36="Motorbike",B36="CNG",B36="Bicycle",B36="NMV")),D36-D35&lt;Log!$C$12)),0,IF(E35&lt;&gt;0,D36-D35,IF(E34=0,D36-D33,D36-D34)))</f>
        <v>0</v>
      </c>
      <c r="F36" s="109">
        <f t="shared" si="3"/>
        <v>0</v>
      </c>
      <c r="H36" s="55"/>
      <c r="J36" s="15"/>
      <c r="L36" s="54"/>
      <c r="M36" s="54"/>
      <c r="O36" s="58">
        <v>143</v>
      </c>
      <c r="P36" s="4" t="s">
        <v>12</v>
      </c>
      <c r="Q36" s="70">
        <f>VLOOKUP(P36,Log!$B$2:$C$8,2,)</f>
        <v>1</v>
      </c>
      <c r="R36" s="4">
        <v>31.6</v>
      </c>
      <c r="S36" s="34">
        <f>IF(OR(AND(OR(P36="Motorbike",P36="CNG",P36="Bicycle",P36="NMV"),R36-R35&lt;Log!$C$13),AND(NOT(OR(P36="Motorbike",P36="CNG",P36="Bicycle",P36="NMV")),R36-R35&lt;Log!$C$12)),0,IF(S35&lt;&gt;0,R36-R35,IF(S34=0,R36-R33,R36-R34)))</f>
        <v>3.6799999999999997</v>
      </c>
      <c r="T36" s="34">
        <f t="shared" si="5"/>
        <v>3.6799999999999997</v>
      </c>
      <c r="W36" s="11"/>
    </row>
    <row r="37" spans="1:23" ht="15.75" thickBot="1" x14ac:dyDescent="0.3">
      <c r="A37" s="60">
        <v>217</v>
      </c>
      <c r="B37" s="88" t="s">
        <v>13</v>
      </c>
      <c r="C37" s="70">
        <f>VLOOKUP(B37,Log!$B$2:$C$8,2,)</f>
        <v>0.38</v>
      </c>
      <c r="D37" s="5">
        <v>33.92</v>
      </c>
      <c r="E37" s="34">
        <f>IF(OR(AND(OR(B37="Motorbike",B37="CNG",B37="Bicycle",B37="NMV"),D37-D36&lt;Log!$C$13),AND(NOT(OR(B37="Motorbike",B37="CNG",B37="Bicycle",B37="NMV")),D37-D36&lt;Log!$C$12)),0,IF(E36&lt;&gt;0,D37-D36,IF(E35=0,D37-D34,D37-D35)))</f>
        <v>0</v>
      </c>
      <c r="F37" s="109">
        <f t="shared" si="3"/>
        <v>0</v>
      </c>
      <c r="H37" s="55"/>
      <c r="J37" s="15"/>
      <c r="L37" s="54"/>
      <c r="M37" s="54"/>
      <c r="O37" s="4">
        <v>178</v>
      </c>
      <c r="P37" s="51" t="s">
        <v>12</v>
      </c>
      <c r="Q37" s="70">
        <f>VLOOKUP(P37,Log!$B$2:$C$8,2,)</f>
        <v>1</v>
      </c>
      <c r="R37" s="4">
        <v>32.68</v>
      </c>
      <c r="S37" s="34">
        <f>IF(OR(AND(OR(P37="Motorbike",P37="CNG",P37="Bicycle",P37="NMV"),R37-R36&lt;Log!$C$13),AND(NOT(OR(P37="Motorbike",P37="CNG",P37="Bicycle",P37="NMV")),R37-R36&lt;Log!$C$12)),0,IF(S36&lt;&gt;0,R37-R36,IF(S35=0,R37-R34,R37-R35)))</f>
        <v>1.0799999999999983</v>
      </c>
      <c r="T37" s="34">
        <f t="shared" si="5"/>
        <v>1.0799999999999983</v>
      </c>
      <c r="W37" s="11"/>
    </row>
    <row r="38" spans="1:23" x14ac:dyDescent="0.25">
      <c r="A38" s="60">
        <v>199</v>
      </c>
      <c r="B38" s="72" t="s">
        <v>12</v>
      </c>
      <c r="C38" s="70">
        <f>VLOOKUP(B38,Log!$B$2:$C$8,2,)</f>
        <v>1</v>
      </c>
      <c r="D38" s="5">
        <v>35.08</v>
      </c>
      <c r="E38" s="34">
        <f>IF(OR(AND(OR(B38="Motorbike",B38="CNG",B38="Bicycle",B38="NMV"),D38-D37&lt;Log!$C$13),AND(NOT(OR(B38="Motorbike",B38="CNG",B38="Bicycle",B38="NMV")),D38-D37&lt;Log!$C$12)),0,IF(E37&lt;&gt;0,D38-D37,IF(E36=0,D38-D35,D38-D36)))</f>
        <v>2.2800000000000011</v>
      </c>
      <c r="F38" s="109">
        <f t="shared" si="3"/>
        <v>2.2800000000000011</v>
      </c>
      <c r="O38" s="19">
        <v>223</v>
      </c>
      <c r="P38" s="59" t="s">
        <v>13</v>
      </c>
      <c r="Q38" s="70">
        <f>VLOOKUP(P38,Log!$B$2:$C$8,2,)</f>
        <v>0.38</v>
      </c>
      <c r="R38" s="4">
        <v>33.68</v>
      </c>
      <c r="S38" s="34">
        <f>IF(OR(AND(OR(P38="Motorbike",P38="CNG",P38="Bicycle",P38="NMV"),R38-R37&lt;Log!$C$13),AND(NOT(OR(P38="Motorbike",P38="CNG",P38="Bicycle",P38="NMV")),R38-R37&lt;Log!$C$12)),0,IF(S37&lt;&gt;0,R38-R37,IF(S36=0,R38-R35,R38-R36)))</f>
        <v>1</v>
      </c>
      <c r="T38" s="34">
        <f t="shared" si="5"/>
        <v>0.76</v>
      </c>
      <c r="W38" s="11"/>
    </row>
    <row r="39" spans="1:23" ht="15.75" thickBot="1" x14ac:dyDescent="0.3">
      <c r="A39" s="60">
        <v>195</v>
      </c>
      <c r="B39" s="71" t="s">
        <v>12</v>
      </c>
      <c r="C39" s="70">
        <f>VLOOKUP(B39,Log!$B$2:$C$8,2,)</f>
        <v>1</v>
      </c>
      <c r="D39" s="5">
        <v>36.32</v>
      </c>
      <c r="E39" s="34">
        <f>IF(OR(AND(OR(B39="Motorbike",B39="CNG",B39="Bicycle",B39="NMV"),D39-D38&lt;Log!$C$13),AND(NOT(OR(B39="Motorbike",B39="CNG",B39="Bicycle",B39="NMV")),D39-D38&lt;Log!$C$12)),0,IF(E38&lt;&gt;0,D39-D38,IF(E37=0,D39-D36,D39-D37)))</f>
        <v>1.240000000000002</v>
      </c>
      <c r="F39" s="109">
        <f t="shared" si="3"/>
        <v>1.240000000000002</v>
      </c>
      <c r="O39" s="19">
        <v>207</v>
      </c>
      <c r="P39" s="61" t="s">
        <v>13</v>
      </c>
      <c r="Q39" s="70">
        <f>VLOOKUP(P39,Log!$B$2:$C$8,2,)</f>
        <v>0.38</v>
      </c>
      <c r="R39" s="4">
        <v>34.119999999999997</v>
      </c>
      <c r="S39" s="34">
        <f>IF(OR(AND(OR(P39="Motorbike",P39="CNG",P39="Bicycle",P39="NMV"),R39-R38&lt;Log!$C$13),AND(NOT(OR(P39="Motorbike",P39="CNG",P39="Bicycle",P39="NMV")),R39-R38&lt;Log!$C$12)),0,IF(S38&lt;&gt;0,R39-R38,IF(S37=0,R39-R36,R39-R37)))</f>
        <v>0</v>
      </c>
      <c r="T39" s="34">
        <f t="shared" si="5"/>
        <v>0</v>
      </c>
      <c r="W39" s="11"/>
    </row>
    <row r="40" spans="1:23" x14ac:dyDescent="0.25">
      <c r="A40" s="60">
        <v>209</v>
      </c>
      <c r="B40" s="87" t="s">
        <v>14</v>
      </c>
      <c r="C40" s="70">
        <f>VLOOKUP(B40,Log!$B$2:$C$8,2,)</f>
        <v>0.45</v>
      </c>
      <c r="D40" s="5">
        <v>37.119999999999997</v>
      </c>
      <c r="E40" s="34">
        <f>IF(OR(AND(OR(B40="Motorbike",B40="CNG",B40="Bicycle",B40="NMV"),D40-D39&lt;Log!$C$13),AND(NOT(OR(B40="Motorbike",B40="CNG",B40="Bicycle",B40="NMV")),D40-D39&lt;Log!$C$12)),0,IF(E39&lt;&gt;0,D40-D39,IF(E38=0,D40-D37,D40-D38)))</f>
        <v>0.79999999999999716</v>
      </c>
      <c r="F40" s="109">
        <f t="shared" si="3"/>
        <v>0.6639999999999977</v>
      </c>
      <c r="O40" s="4">
        <v>239</v>
      </c>
      <c r="P40" s="58" t="s">
        <v>13</v>
      </c>
      <c r="Q40" s="70">
        <f>VLOOKUP(P40,Log!$B$2:$C$8,2,)</f>
        <v>0.38</v>
      </c>
      <c r="R40" s="4">
        <v>37.28</v>
      </c>
      <c r="S40" s="34">
        <f>IF(OR(AND(OR(P40="Motorbike",P40="CNG",P40="Bicycle",P40="NMV"),R40-R39&lt;Log!$C$13),AND(NOT(OR(P40="Motorbike",P40="CNG",P40="Bicycle",P40="NMV")),R40-R39&lt;Log!$C$12)),0,IF(S39&lt;&gt;0,R40-R39,IF(S38=0,R40-R37,R40-R38)))</f>
        <v>3.6000000000000014</v>
      </c>
      <c r="T40" s="34">
        <f t="shared" si="5"/>
        <v>1.3680000000000005</v>
      </c>
      <c r="W40" s="11"/>
    </row>
    <row r="41" spans="1:23" ht="15.75" thickBot="1" x14ac:dyDescent="0.3">
      <c r="A41" s="60">
        <v>255</v>
      </c>
      <c r="B41" s="88" t="s">
        <v>13</v>
      </c>
      <c r="C41" s="70">
        <f>VLOOKUP(B41,Log!$B$2:$C$8,2,)</f>
        <v>0.38</v>
      </c>
      <c r="D41" s="5">
        <v>37.32</v>
      </c>
      <c r="E41" s="34">
        <f>IF(OR(AND(OR(B41="Motorbike",B41="CNG",B41="Bicycle",B41="NMV"),D41-D40&lt;Log!$C$13),AND(NOT(OR(B41="Motorbike",B41="CNG",B41="Bicycle",B41="NMV")),D41-D40&lt;Log!$C$12)),0,IF(E40&lt;&gt;0,D41-D40,IF(E39=0,D41-D38,D41-D39)))</f>
        <v>0</v>
      </c>
      <c r="F41" s="109">
        <f t="shared" si="3"/>
        <v>0</v>
      </c>
      <c r="W41" s="11"/>
    </row>
    <row r="42" spans="1:23" x14ac:dyDescent="0.25">
      <c r="A42" s="60">
        <v>221</v>
      </c>
      <c r="B42" s="72" t="s">
        <v>12</v>
      </c>
      <c r="C42" s="70">
        <f>VLOOKUP(B42,Log!$B$2:$C$8,2,)</f>
        <v>1</v>
      </c>
      <c r="D42" s="5">
        <v>39.68</v>
      </c>
      <c r="E42" s="34">
        <f>IF(OR(AND(OR(B42="Motorbike",B42="CNG",B42="Bicycle",B42="NMV"),D42-D41&lt;Log!$C$13),AND(NOT(OR(B42="Motorbike",B42="CNG",B42="Bicycle",B42="NMV")),D42-D41&lt;Log!$C$12)),0,IF(E41&lt;&gt;0,D42-D41,IF(E40=0,D42-D39,D42-D40)))</f>
        <v>2.5600000000000023</v>
      </c>
      <c r="F42" s="109">
        <f t="shared" si="3"/>
        <v>2.5600000000000023</v>
      </c>
      <c r="W42" s="11"/>
    </row>
    <row r="43" spans="1:23" ht="15.75" thickBot="1" x14ac:dyDescent="0.3">
      <c r="A43" s="61">
        <v>264</v>
      </c>
      <c r="B43" s="56" t="s">
        <v>13</v>
      </c>
      <c r="C43" s="70">
        <f>VLOOKUP(B43,Log!$B$2:$C$8,2,)</f>
        <v>0.38</v>
      </c>
      <c r="D43" s="5">
        <v>41.88</v>
      </c>
      <c r="E43" s="34">
        <f>IF(OR(AND(OR(B43="Motorbike",B43="CNG",B43="Bicycle",B43="NMV"),D43-D42&lt;Log!$C$13),AND(NOT(OR(B43="Motorbike",B43="CNG",B43="Bicycle",B43="NMV")),D43-D42&lt;Log!$C$12)),0,IF(E42&lt;&gt;0,D43-D42,IF(E41=0,D43-D40,D43-D41)))</f>
        <v>2.2000000000000028</v>
      </c>
      <c r="F43" s="109">
        <f t="shared" si="3"/>
        <v>0.83600000000000108</v>
      </c>
      <c r="W43" s="11"/>
    </row>
    <row r="44" spans="1:23" x14ac:dyDescent="0.25">
      <c r="W44" s="11"/>
    </row>
    <row r="52" spans="19:20" x14ac:dyDescent="0.25">
      <c r="S52" s="9">
        <f>AVERAGE(S30:S34)</f>
        <v>1.1759999999999997</v>
      </c>
      <c r="T52" s="9">
        <f>AVERAGE(T30:T34)</f>
        <v>1.790959999999999</v>
      </c>
    </row>
    <row r="53" spans="19:20" x14ac:dyDescent="0.25">
      <c r="S53" s="10">
        <f>3600/S52</f>
        <v>3061.224489795919</v>
      </c>
      <c r="T53" s="10">
        <f>3600/T52</f>
        <v>2010.0951445035075</v>
      </c>
    </row>
  </sheetData>
  <mergeCells count="4">
    <mergeCell ref="C1:D1"/>
    <mergeCell ref="A11:F11"/>
    <mergeCell ref="H11:M11"/>
    <mergeCell ref="O11:T11"/>
  </mergeCells>
  <conditionalFormatting sqref="E15:E43">
    <cfRule type="cellIs" dxfId="15" priority="8" operator="greaterThanOrEqual">
      <formula>4</formula>
    </cfRule>
  </conditionalFormatting>
  <conditionalFormatting sqref="E13:F13">
    <cfRule type="cellIs" dxfId="14" priority="52" operator="greaterThan">
      <formula>4</formula>
    </cfRule>
  </conditionalFormatting>
  <conditionalFormatting sqref="F14:F43">
    <cfRule type="cellIs" dxfId="13" priority="27" operator="greaterThan">
      <formula>4</formula>
    </cfRule>
  </conditionalFormatting>
  <conditionalFormatting sqref="L15:L28">
    <cfRule type="cellIs" dxfId="12" priority="5" operator="greaterThanOrEqual">
      <formula>4</formula>
    </cfRule>
  </conditionalFormatting>
  <conditionalFormatting sqref="L13:M13">
    <cfRule type="cellIs" dxfId="11" priority="49" operator="greaterThan">
      <formula>4</formula>
    </cfRule>
  </conditionalFormatting>
  <conditionalFormatting sqref="L36:M37">
    <cfRule type="cellIs" dxfId="10" priority="54" operator="greaterThan">
      <formula>4</formula>
    </cfRule>
  </conditionalFormatting>
  <conditionalFormatting sqref="M14:M28">
    <cfRule type="cellIs" dxfId="9" priority="20" operator="greaterThan">
      <formula>4</formula>
    </cfRule>
  </conditionalFormatting>
  <conditionalFormatting sqref="S15:S40">
    <cfRule type="cellIs" dxfId="8" priority="2" operator="greaterThanOrEqual">
      <formula>4</formula>
    </cfRule>
  </conditionalFormatting>
  <conditionalFormatting sqref="S13:T13">
    <cfRule type="cellIs" dxfId="7" priority="47" operator="greaterThan">
      <formula>4</formula>
    </cfRule>
  </conditionalFormatting>
  <conditionalFormatting sqref="T14:T40">
    <cfRule type="cellIs" dxfId="6" priority="13" operator="greaterThan">
      <formula>4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BC2CD78-9BE6-4C85-A358-F7334B28E536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9" id="{286C6531-3748-491F-A49E-7A09E0BE7DCF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E14:E43</xm:sqref>
        </x14:conditionalFormatting>
        <x14:conditionalFormatting xmlns:xm="http://schemas.microsoft.com/office/excel/2006/main">
          <x14:cfRule type="expression" priority="4" id="{EC04C372-48ED-4B7A-A0EC-4A9F4E1F0334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6" id="{3642726C-21CC-4194-9562-46AAE3A94213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L14:L28</xm:sqref>
        </x14:conditionalFormatting>
        <x14:conditionalFormatting xmlns:xm="http://schemas.microsoft.com/office/excel/2006/main">
          <x14:cfRule type="expression" priority="1" id="{F0DFA01D-CD49-4F1F-8774-83DA01751683}">
            <xm:f>AND(OFFSET(S14,0,-3)="Motorbike", S14&lt;Log!$C$13)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3" id="{41C98D67-6481-4547-B27D-4A03450BA63E}">
            <xm:f>AND(OFFSET(S14,0,-3)&lt;&gt;"Motorbike", S14&lt;Log!$C$12)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S14:S40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Sheet1</vt:lpstr>
      <vt:lpstr>3 lanes</vt:lpstr>
      <vt:lpstr>Startup delay</vt:lpstr>
      <vt:lpstr>Log</vt:lpstr>
      <vt:lpstr>08.58</vt:lpstr>
      <vt:lpstr>8.15</vt:lpstr>
      <vt:lpstr>9.03</vt:lpstr>
      <vt:lpstr>12.07</vt:lpstr>
      <vt:lpstr>12.16</vt:lpstr>
      <vt:lpstr>1.00</vt:lpstr>
      <vt:lpstr>1.04</vt:lpstr>
      <vt:lpstr>3.01</vt:lpstr>
      <vt:lpstr>3.35</vt:lpstr>
      <vt:lpstr>3.40</vt:lpstr>
      <vt:lpstr>5.02</vt:lpstr>
      <vt:lpstr>5.11</vt:lpstr>
      <vt:lpstr>5.21</vt:lpstr>
      <vt:lpstr>Log!Print_Area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Ishayeet</dc:creator>
  <cp:lastModifiedBy>Author</cp:lastModifiedBy>
  <cp:lastPrinted>2026-01-09T08:05:05Z</cp:lastPrinted>
  <dcterms:created xsi:type="dcterms:W3CDTF">2015-06-05T18:17:20Z</dcterms:created>
  <dcterms:modified xsi:type="dcterms:W3CDTF">2026-03-07T18:22:24Z</dcterms:modified>
</cp:coreProperties>
</file>